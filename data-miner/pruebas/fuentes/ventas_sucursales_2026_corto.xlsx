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Jul-Sep" sheetId="1" state="visible" r:id="rId1"/>
    <sheet xmlns:r="http://schemas.openxmlformats.org/officeDocument/2006/relationships" name="Octubre (parcial)" sheetId="2" state="visible" r:id="rId2"/>
    <sheet xmlns:r="http://schemas.openxmlformats.org/officeDocument/2006/relationships" name="Resumen por sucur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12" customWidth="1" min="5" max="5"/>
    <col width="22" customWidth="1" min="6" max="6"/>
    <col width="13" customWidth="1" min="7" max="7"/>
    <col width="16" customWidth="1" min="8" max="8"/>
    <col width="20" customWidth="1" min="9" max="9"/>
    <col width="17" customWidth="1" min="10" max="10"/>
    <col width="12" customWidth="1" min="11" max="11"/>
    <col width="12" customWidth="1" min="12" max="12"/>
    <col width="21" customWidth="1" min="13" max="13"/>
    <col width="16" customWidth="1" min="14" max="14"/>
    <col width="16" customWidth="1" min="15" max="15"/>
    <col width="12" customWidth="1" min="16" max="16"/>
    <col width="12" customWidth="1" min="17" max="17"/>
    <col width="13" customWidth="1" min="18" max="18"/>
    <col width="13" customWidth="1" min="19" max="19"/>
    <col width="18" customWidth="1" min="20" max="20"/>
    <col width="19" customWidth="1" min="21" max="21"/>
    <col width="12" customWidth="1" min="22" max="22"/>
    <col width="15" customWidth="1" min="23" max="23"/>
    <col width="12" customWidth="1" min="24" max="24"/>
    <col width="12" customWidth="1" min="25" max="25"/>
    <col width="12" customWidth="1" min="26" max="26"/>
    <col width="17" customWidth="1" min="27" max="27"/>
    <col width="14" customWidth="1" min="28" max="28"/>
  </cols>
  <sheetData>
    <row r="1">
      <c r="A1" s="1" t="inlineStr">
        <is>
          <t>DISTRIBUIDORA CUSCATLÁN, S.A. DE C.V.</t>
        </is>
      </c>
    </row>
    <row r="2">
      <c r="A2" t="inlineStr">
        <is>
          <t>Reporte de ventas por línea de factura · 3er trimestre 2026 · exportado del POS el 10/10/2026</t>
        </is>
      </c>
    </row>
    <row r="4">
      <c r="A4" s="2" t="inlineStr">
        <is>
          <t>No. Factura</t>
        </is>
      </c>
      <c r="B4" s="2" t="inlineStr">
        <is>
          <t>Fecha</t>
        </is>
      </c>
      <c r="C4" s="2" t="inlineStr">
        <is>
          <t>Tipo DTE</t>
        </is>
      </c>
      <c r="D4" s="2" t="inlineStr">
        <is>
          <t>Cód. Sucursal</t>
        </is>
      </c>
      <c r="E4" s="2" t="inlineStr">
        <is>
          <t>Sucursal</t>
        </is>
      </c>
      <c r="F4" s="2" t="inlineStr">
        <is>
          <t>Dirección sucursal</t>
        </is>
      </c>
      <c r="G4" s="2" t="inlineStr">
        <is>
          <t>Municipio</t>
        </is>
      </c>
      <c r="H4" s="2" t="inlineStr">
        <is>
          <t>Departamento</t>
        </is>
      </c>
      <c r="I4" s="2" t="inlineStr">
        <is>
          <t>Gerente sucursal</t>
        </is>
      </c>
      <c r="J4" s="2" t="inlineStr">
        <is>
          <t>Tel. sucursal</t>
        </is>
      </c>
      <c r="K4" s="2" t="inlineStr">
        <is>
          <t>Vendedor</t>
        </is>
      </c>
      <c r="L4" s="2" t="inlineStr">
        <is>
          <t>Cliente</t>
        </is>
      </c>
      <c r="M4" s="2" t="inlineStr">
        <is>
          <t>DUI / NRC cliente</t>
        </is>
      </c>
      <c r="N4" s="2" t="inlineStr">
        <is>
          <t>Tel. cliente</t>
        </is>
      </c>
      <c r="O4" s="2" t="inlineStr">
        <is>
          <t>Tipo cliente</t>
        </is>
      </c>
      <c r="P4" s="2" t="inlineStr">
        <is>
          <t>SKU</t>
        </is>
      </c>
      <c r="Q4" s="2" t="inlineStr">
        <is>
          <t>Producto</t>
        </is>
      </c>
      <c r="R4" s="2" t="inlineStr">
        <is>
          <t>Categoría</t>
        </is>
      </c>
      <c r="S4" s="2" t="inlineStr">
        <is>
          <t>Proveedor</t>
        </is>
      </c>
      <c r="T4" s="2" t="inlineStr">
        <is>
          <t>Tel. proveedor</t>
        </is>
      </c>
      <c r="U4" s="2" t="inlineStr">
        <is>
          <t>Precio unitario</t>
        </is>
      </c>
      <c r="V4" s="2" t="inlineStr">
        <is>
          <t>Cantidad</t>
        </is>
      </c>
      <c r="W4" s="2" t="inlineStr">
        <is>
          <t>Descuento %</t>
        </is>
      </c>
      <c r="X4" s="2" t="inlineStr">
        <is>
          <t>Subtotal</t>
        </is>
      </c>
      <c r="Y4" s="2" t="inlineStr">
        <is>
          <t>IVA 13%</t>
        </is>
      </c>
      <c r="Z4" s="2" t="inlineStr">
        <is>
          <t>Total</t>
        </is>
      </c>
      <c r="AA4" s="2" t="inlineStr">
        <is>
          <t>Forma de pago</t>
        </is>
      </c>
      <c r="AB4" s="2" t="inlineStr">
        <is>
          <t>Comentario</t>
        </is>
      </c>
    </row>
    <row r="5">
      <c r="A5" t="inlineStr">
        <is>
          <t>F-10453</t>
        </is>
      </c>
      <c r="B5" t="inlineStr">
        <is>
          <t>2026-07-20</t>
        </is>
      </c>
      <c r="C5" t="inlineStr">
        <is>
          <t>Factura</t>
        </is>
      </c>
      <c r="D5" t="inlineStr">
        <is>
          <t>SS03</t>
        </is>
      </c>
      <c r="E5" t="inlineStr">
        <is>
          <t>Soyapango</t>
        </is>
      </c>
      <c r="F5" t="inlineStr">
        <is>
          <t>Blvd. del Ejército km 4</t>
        </is>
      </c>
      <c r="G5" t="inlineStr">
        <is>
          <t>Soyapango</t>
        </is>
      </c>
      <c r="H5" t="inlineStr">
        <is>
          <t>San Salvador</t>
        </is>
      </c>
      <c r="I5" t="inlineStr">
        <is>
          <t>Karla Henríquez</t>
        </is>
      </c>
      <c r="J5" t="inlineStr">
        <is>
          <t>2277-3402</t>
        </is>
      </c>
      <c r="K5" t="inlineStr">
        <is>
          <t>Carlos Molina</t>
        </is>
      </c>
      <c r="L5" t="inlineStr">
        <is>
          <t>Mario Lemus Flores</t>
        </is>
      </c>
      <c r="M5" t="inlineStr">
        <is>
          <t>05465836-8</t>
        </is>
      </c>
      <c r="N5" t="inlineStr">
        <is>
          <t>6555-2967</t>
        </is>
      </c>
      <c r="O5" t="inlineStr">
        <is>
          <t>Consumidor final</t>
        </is>
      </c>
      <c r="P5" t="inlineStr">
        <is>
          <t>ARR-001</t>
        </is>
      </c>
      <c r="Q5" t="inlineStr">
        <is>
          <t>Arroz blanco 5lb</t>
        </is>
      </c>
      <c r="R5" t="inlineStr">
        <is>
          <t>Abarrotes</t>
        </is>
      </c>
      <c r="S5" t="inlineStr">
        <is>
          <t>Granos del Pacífico</t>
        </is>
      </c>
      <c r="T5" t="inlineStr">
        <is>
          <t>2234-8890</t>
        </is>
      </c>
      <c r="U5" t="inlineStr">
        <is>
          <t>$3.95</t>
        </is>
      </c>
      <c r="V5" t="n">
        <v>24</v>
      </c>
      <c r="W5" t="n">
        <v>0</v>
      </c>
      <c r="X5">
        <f>IFERROR(U5*V5*(1-W5/100),"")</f>
        <v/>
      </c>
      <c r="Y5">
        <f>IFERROR(ROUND(X5*0.13,2),"")</f>
        <v/>
      </c>
      <c r="Z5">
        <f>IFERROR(X5+Y5,"")</f>
        <v/>
      </c>
      <c r="AA5" t="inlineStr">
        <is>
          <t>Chivo</t>
        </is>
      </c>
      <c r="AB5" t="inlineStr">
        <is>
          <t>pagó con billete de $100</t>
        </is>
      </c>
    </row>
    <row r="6">
      <c r="A6" t="inlineStr">
        <is>
          <t>F-10453</t>
        </is>
      </c>
      <c r="B6" s="3" t="n">
        <v>46223</v>
      </c>
      <c r="C6" t="inlineStr">
        <is>
          <t>Factura</t>
        </is>
      </c>
      <c r="D6" t="inlineStr">
        <is>
          <t>SS03</t>
        </is>
      </c>
      <c r="E6" t="inlineStr">
        <is>
          <t xml:space="preserve">SOYAPANGO </t>
        </is>
      </c>
      <c r="F6" t="inlineStr">
        <is>
          <t>Blvd. del Ejército km 4</t>
        </is>
      </c>
      <c r="G6" t="inlineStr">
        <is>
          <t>Soyapango</t>
        </is>
      </c>
      <c r="H6" t="inlineStr">
        <is>
          <t>San Salvador</t>
        </is>
      </c>
      <c r="I6" t="inlineStr">
        <is>
          <t>Karla Henríquez</t>
        </is>
      </c>
      <c r="J6" t="inlineStr">
        <is>
          <t>2277-3402</t>
        </is>
      </c>
      <c r="K6" t="inlineStr">
        <is>
          <t>Carlos Molina</t>
        </is>
      </c>
      <c r="L6" t="inlineStr">
        <is>
          <t>Mario Lemus Flores</t>
        </is>
      </c>
      <c r="M6" t="inlineStr">
        <is>
          <t>05465836-8</t>
        </is>
      </c>
      <c r="N6" t="inlineStr">
        <is>
          <t>6555-2967</t>
        </is>
      </c>
      <c r="O6" t="inlineStr">
        <is>
          <t>Consumidor final</t>
        </is>
      </c>
      <c r="P6" t="inlineStr">
        <is>
          <t>FRI-001</t>
        </is>
      </c>
      <c r="Q6" t="inlineStr">
        <is>
          <t>Frijol rojo de seda 2lb</t>
        </is>
      </c>
      <c r="R6" t="inlineStr">
        <is>
          <t>Abarrotes</t>
        </is>
      </c>
      <c r="S6" t="inlineStr">
        <is>
          <t>Granos del Pacífico</t>
        </is>
      </c>
      <c r="T6" t="inlineStr">
        <is>
          <t>2234-8890</t>
        </is>
      </c>
      <c r="U6" t="n">
        <v>2.4</v>
      </c>
      <c r="V6" t="n">
        <v>6</v>
      </c>
      <c r="W6" t="n">
        <v>0</v>
      </c>
      <c r="X6">
        <f>IFERROR(U6*V6*(1-W6/100),"")</f>
        <v/>
      </c>
      <c r="Y6">
        <f>IFERROR(ROUND(X6*0.13,2),"")</f>
        <v/>
      </c>
      <c r="Z6">
        <f>IFERROR(X6+Y6,"")</f>
        <v/>
      </c>
      <c r="AA6" t="inlineStr">
        <is>
          <t>Chivo</t>
        </is>
      </c>
      <c r="AB6" t="inlineStr"/>
    </row>
    <row r="7">
      <c r="A7" t="inlineStr">
        <is>
          <t>F-10453</t>
        </is>
      </c>
      <c r="B7" t="inlineStr">
        <is>
          <t>2026-07-20</t>
        </is>
      </c>
      <c r="C7" t="inlineStr">
        <is>
          <t>Factura</t>
        </is>
      </c>
      <c r="D7" t="inlineStr">
        <is>
          <t>SS03</t>
        </is>
      </c>
      <c r="E7" t="inlineStr">
        <is>
          <t>soyapango</t>
        </is>
      </c>
      <c r="F7" t="inlineStr">
        <is>
          <t>Blvd. del Ejército km 4</t>
        </is>
      </c>
      <c r="G7" t="inlineStr">
        <is>
          <t>Soyapango</t>
        </is>
      </c>
      <c r="H7" t="inlineStr">
        <is>
          <t>San Salvador</t>
        </is>
      </c>
      <c r="I7" t="inlineStr">
        <is>
          <t>Karla Henríquez</t>
        </is>
      </c>
      <c r="J7" t="inlineStr">
        <is>
          <t>2277-3402</t>
        </is>
      </c>
      <c r="K7" t="inlineStr">
        <is>
          <t>Carlos Molina</t>
        </is>
      </c>
      <c r="L7" t="inlineStr">
        <is>
          <t>Mario Lemus Flores</t>
        </is>
      </c>
      <c r="M7" t="inlineStr">
        <is>
          <t>05465836-8</t>
        </is>
      </c>
      <c r="N7" t="inlineStr">
        <is>
          <t>6555-2967</t>
        </is>
      </c>
      <c r="O7" t="inlineStr">
        <is>
          <t>Consumidor final</t>
        </is>
      </c>
      <c r="P7" t="inlineStr">
        <is>
          <t>HIG-001</t>
        </is>
      </c>
      <c r="Q7" t="inlineStr">
        <is>
          <t>Detergente 1kg</t>
        </is>
      </c>
      <c r="R7" t="inlineStr">
        <is>
          <t>Limpieza</t>
        </is>
      </c>
      <c r="S7" t="inlineStr">
        <is>
          <t>Higiene Total C.A.</t>
        </is>
      </c>
      <c r="T7" t="inlineStr">
        <is>
          <t>2207-5566</t>
        </is>
      </c>
      <c r="U7" t="n">
        <v>3.45</v>
      </c>
      <c r="V7" t="n">
        <v>6</v>
      </c>
      <c r="W7" t="n">
        <v>0</v>
      </c>
      <c r="X7">
        <f>IFERROR(U7*V7*(1-W7/100),"")</f>
        <v/>
      </c>
      <c r="Y7">
        <f>IFERROR(ROUND(X7*0.13,2),"")</f>
        <v/>
      </c>
      <c r="Z7">
        <f>IFERROR(X7+Y7,"")</f>
        <v/>
      </c>
      <c r="AA7" t="inlineStr">
        <is>
          <t>Chivo</t>
        </is>
      </c>
      <c r="AB7" t="inlineStr"/>
    </row>
    <row r="8">
      <c r="A8" t="inlineStr">
        <is>
          <t>F-10453</t>
        </is>
      </c>
      <c r="B8" s="3" t="n">
        <v>46223</v>
      </c>
      <c r="C8" t="inlineStr">
        <is>
          <t>Factura</t>
        </is>
      </c>
      <c r="D8" t="inlineStr">
        <is>
          <t>SS03</t>
        </is>
      </c>
      <c r="E8" t="inlineStr">
        <is>
          <t>Soyapango</t>
        </is>
      </c>
      <c r="F8" t="inlineStr">
        <is>
          <t>Blvd. del Ejército km 4</t>
        </is>
      </c>
      <c r="G8" t="inlineStr">
        <is>
          <t>Soyapango</t>
        </is>
      </c>
      <c r="H8" t="inlineStr">
        <is>
          <t>San Salvador</t>
        </is>
      </c>
      <c r="I8" t="inlineStr">
        <is>
          <t>Karla Henríquez</t>
        </is>
      </c>
      <c r="J8" t="inlineStr">
        <is>
          <t>2277-3402</t>
        </is>
      </c>
      <c r="K8" t="inlineStr">
        <is>
          <t>Carlos Molina</t>
        </is>
      </c>
      <c r="L8" t="inlineStr">
        <is>
          <t>Mario Lemus Flores</t>
        </is>
      </c>
      <c r="M8" t="inlineStr">
        <is>
          <t>05465836-8</t>
        </is>
      </c>
      <c r="N8" t="inlineStr">
        <is>
          <t>6555-2967</t>
        </is>
      </c>
      <c r="O8" t="inlineStr">
        <is>
          <t>Consumidor final</t>
        </is>
      </c>
      <c r="P8" t="inlineStr">
        <is>
          <t>AZU-001</t>
        </is>
      </c>
      <c r="Q8" t="inlineStr">
        <is>
          <t>Azúcar blanca 2.5kg</t>
        </is>
      </c>
      <c r="R8" t="inlineStr">
        <is>
          <t>Abarrotes</t>
        </is>
      </c>
      <c r="S8" t="inlineStr">
        <is>
          <t>Granos del Pacífico</t>
        </is>
      </c>
      <c r="T8" t="inlineStr">
        <is>
          <t>2234-8890</t>
        </is>
      </c>
      <c r="U8" t="n">
        <v>3.1</v>
      </c>
      <c r="V8" t="n">
        <v>6</v>
      </c>
      <c r="W8" t="n">
        <v>0</v>
      </c>
      <c r="X8">
        <f>IFERROR(U8*V8*(1-W8/100),"")</f>
        <v/>
      </c>
      <c r="Y8">
        <f>IFERROR(ROUND(X8*0.13,2),"")</f>
        <v/>
      </c>
      <c r="Z8">
        <f>IFERROR(X8+Y8,"")</f>
        <v/>
      </c>
      <c r="AA8" t="inlineStr">
        <is>
          <t>Chivo</t>
        </is>
      </c>
      <c r="AB8" t="inlineStr">
        <is>
          <t>Cliente frecuente</t>
        </is>
      </c>
    </row>
    <row r="9">
      <c r="A9" t="inlineStr">
        <is>
          <t>F-10456</t>
        </is>
      </c>
      <c r="B9" t="inlineStr">
        <is>
          <t>2026-08-08</t>
        </is>
      </c>
      <c r="C9" t="inlineStr">
        <is>
          <t>factura</t>
        </is>
      </c>
      <c r="D9" t="inlineStr">
        <is>
          <t>SA01</t>
        </is>
      </c>
      <c r="E9" t="inlineStr">
        <is>
          <t>STA ANA</t>
        </is>
      </c>
      <c r="F9" t="inlineStr">
        <is>
          <t>Av. Independencia Sur #12</t>
        </is>
      </c>
      <c r="G9" t="inlineStr">
        <is>
          <t>Santa Ana</t>
        </is>
      </c>
      <c r="H9" t="inlineStr">
        <is>
          <t>Santa Ana</t>
        </is>
      </c>
      <c r="I9" t="inlineStr">
        <is>
          <t>Mauricio Linares</t>
        </is>
      </c>
      <c r="J9" t="inlineStr">
        <is>
          <t>2440-9921</t>
        </is>
      </c>
      <c r="K9" t="inlineStr">
        <is>
          <t>Sofía Cáceres</t>
        </is>
      </c>
      <c r="L9" t="inlineStr">
        <is>
          <t>Mario Sorto Castillo</t>
        </is>
      </c>
      <c r="M9" t="inlineStr">
        <is>
          <t>09824839-0</t>
        </is>
      </c>
      <c r="N9" t="inlineStr">
        <is>
          <t>7450-4234</t>
        </is>
      </c>
      <c r="O9" t="inlineStr">
        <is>
          <t>Consumidor final</t>
        </is>
      </c>
      <c r="P9" t="inlineStr">
        <is>
          <t>BEB-003</t>
        </is>
      </c>
      <c r="Q9" t="inlineStr">
        <is>
          <t>Horchata en polvo 400g</t>
        </is>
      </c>
      <c r="R9" t="inlineStr">
        <is>
          <t>Bebidas</t>
        </is>
      </c>
      <c r="S9" t="inlineStr">
        <is>
          <t>Bebidas Izalco</t>
        </is>
      </c>
      <c r="T9" t="inlineStr">
        <is>
          <t>2450-7700</t>
        </is>
      </c>
      <c r="U9" t="n">
        <v>2.6</v>
      </c>
      <c r="V9" t="n">
        <v>1</v>
      </c>
      <c r="W9" t="n">
        <v>0</v>
      </c>
      <c r="X9">
        <f>IFERROR(U9*V9*(1-W9/100),"")</f>
        <v/>
      </c>
      <c r="Y9">
        <f>IFERROR(ROUND(X9*0.13,2),"")</f>
        <v/>
      </c>
      <c r="Z9">
        <f>IFERROR(X9+Y9,"")</f>
        <v/>
      </c>
      <c r="AA9" t="inlineStr">
        <is>
          <t>Efectivo</t>
        </is>
      </c>
      <c r="AB9" t="inlineStr"/>
    </row>
    <row r="10">
      <c r="A10" t="inlineStr">
        <is>
          <t>F-10456</t>
        </is>
      </c>
      <c r="B10" t="inlineStr">
        <is>
          <t>08/08/2026</t>
        </is>
      </c>
      <c r="C10" t="inlineStr">
        <is>
          <t>factura</t>
        </is>
      </c>
      <c r="D10" t="inlineStr">
        <is>
          <t>SA01</t>
        </is>
      </c>
      <c r="E10" t="inlineStr">
        <is>
          <t>STA ANA</t>
        </is>
      </c>
      <c r="F10" t="inlineStr">
        <is>
          <t>Av. Independencia Sur #12</t>
        </is>
      </c>
      <c r="G10" t="inlineStr">
        <is>
          <t>Santa Ana</t>
        </is>
      </c>
      <c r="H10" t="inlineStr">
        <is>
          <t>Santa Ana</t>
        </is>
      </c>
      <c r="I10" t="inlineStr">
        <is>
          <t>Mauricio Linares</t>
        </is>
      </c>
      <c r="J10" t="inlineStr">
        <is>
          <t>2440-9921</t>
        </is>
      </c>
      <c r="K10" t="inlineStr">
        <is>
          <t>Sofía Cáceres</t>
        </is>
      </c>
      <c r="L10" t="inlineStr">
        <is>
          <t>Mario Sorto Castillo</t>
        </is>
      </c>
      <c r="M10" t="inlineStr">
        <is>
          <t>09824839-0</t>
        </is>
      </c>
      <c r="N10" t="inlineStr">
        <is>
          <t>7450-4234</t>
        </is>
      </c>
      <c r="O10" t="inlineStr">
        <is>
          <t>Consumidor final</t>
        </is>
      </c>
      <c r="P10" t="inlineStr">
        <is>
          <t>HIG-003</t>
        </is>
      </c>
      <c r="Q10" t="inlineStr">
        <is>
          <t>Jabón de lavar barra</t>
        </is>
      </c>
      <c r="R10" t="inlineStr">
        <is>
          <t>Limpieza</t>
        </is>
      </c>
      <c r="S10" t="inlineStr">
        <is>
          <t>Higiene Total C.A.</t>
        </is>
      </c>
      <c r="T10" t="inlineStr">
        <is>
          <t>2207-5566</t>
        </is>
      </c>
      <c r="U10" t="n">
        <v>0.75</v>
      </c>
      <c r="V10" t="n">
        <v>4</v>
      </c>
      <c r="W10" t="n">
        <v>0</v>
      </c>
      <c r="X10">
        <f>IFERROR(U10*V10*(1-W10/100),"")</f>
        <v/>
      </c>
      <c r="Y10">
        <f>IFERROR(ROUND(X10*0.13,2),"")</f>
        <v/>
      </c>
      <c r="Z10">
        <f>IFERROR(X10+Y10,"")</f>
        <v/>
      </c>
      <c r="AA10" t="inlineStr">
        <is>
          <t>Efectivo</t>
        </is>
      </c>
      <c r="AB10" t="inlineStr">
        <is>
          <t>Llamar al 7788-1234 antes de entregar</t>
        </is>
      </c>
    </row>
    <row r="11">
      <c r="A11" t="inlineStr">
        <is>
          <t>F-10459</t>
        </is>
      </c>
      <c r="B11" s="3" t="n">
        <v>46248</v>
      </c>
      <c r="C11" t="inlineStr">
        <is>
          <t>factura</t>
        </is>
      </c>
      <c r="D11" t="inlineStr">
        <is>
          <t>SS01</t>
        </is>
      </c>
      <c r="E11" t="inlineStr">
        <is>
          <t>S.S. Centro</t>
        </is>
      </c>
      <c r="F11" t="inlineStr">
        <is>
          <t>4a Calle Poniente #215</t>
        </is>
      </c>
      <c r="G11" t="inlineStr">
        <is>
          <t>San Salvador</t>
        </is>
      </c>
      <c r="H11" t="inlineStr">
        <is>
          <t>San Salvador</t>
        </is>
      </c>
      <c r="I11" t="inlineStr">
        <is>
          <t>Roberto Alfaro</t>
        </is>
      </c>
      <c r="J11" t="inlineStr">
        <is>
          <t>2221-4580</t>
        </is>
      </c>
      <c r="K11" t="inlineStr">
        <is>
          <t>Daniela Orellana</t>
        </is>
      </c>
      <c r="L11" t="inlineStr">
        <is>
          <t>Patricia Guevara Quintanilla</t>
        </is>
      </c>
      <c r="M11" t="inlineStr">
        <is>
          <t>07265655-3</t>
        </is>
      </c>
      <c r="N11" t="inlineStr">
        <is>
          <t>6951-5407</t>
        </is>
      </c>
      <c r="O11" t="inlineStr">
        <is>
          <t>Consumidor final</t>
        </is>
      </c>
      <c r="P11" t="inlineStr">
        <is>
          <t>HAR-001</t>
        </is>
      </c>
      <c r="Q11" t="inlineStr">
        <is>
          <t>Harina de maíz 2lb</t>
        </is>
      </c>
      <c r="R11" t="inlineStr">
        <is>
          <t>Abarrotes</t>
        </is>
      </c>
      <c r="S11" t="inlineStr">
        <is>
          <t>Granos del Pacífico</t>
        </is>
      </c>
      <c r="T11" t="inlineStr">
        <is>
          <t>2234-8890</t>
        </is>
      </c>
      <c r="U11" t="n">
        <v>1.35</v>
      </c>
      <c r="V11" t="n">
        <v>12</v>
      </c>
      <c r="W11" t="n">
        <v>0</v>
      </c>
      <c r="X11">
        <f>IFERROR(U11*V11*(1-W11/100),"")</f>
        <v/>
      </c>
      <c r="Y11">
        <f>IFERROR(ROUND(X11*0.13,2),"")</f>
        <v/>
      </c>
      <c r="Z11">
        <f>IFERROR(X11+Y11,"")</f>
        <v/>
      </c>
      <c r="AA11" t="inlineStr">
        <is>
          <t>Efectivo</t>
        </is>
      </c>
      <c r="AB11" t="inlineStr">
        <is>
          <t>precio especial autorizado por gerente</t>
        </is>
      </c>
    </row>
    <row r="12">
      <c r="A12" t="inlineStr">
        <is>
          <t>F-10459</t>
        </is>
      </c>
      <c r="B12" s="3" t="n">
        <v>46248</v>
      </c>
      <c r="C12" t="inlineStr">
        <is>
          <t>factura</t>
        </is>
      </c>
      <c r="D12" t="inlineStr">
        <is>
          <t>SS01</t>
        </is>
      </c>
      <c r="E12" t="inlineStr">
        <is>
          <t>San Salvador Centro</t>
        </is>
      </c>
      <c r="F12" t="inlineStr">
        <is>
          <t>4a Calle Poniente #215</t>
        </is>
      </c>
      <c r="G12" t="inlineStr">
        <is>
          <t>San Salvador</t>
        </is>
      </c>
      <c r="H12" t="inlineStr">
        <is>
          <t>San Salvador</t>
        </is>
      </c>
      <c r="I12" t="inlineStr">
        <is>
          <t>Roberto Alfaro</t>
        </is>
      </c>
      <c r="J12" t="inlineStr">
        <is>
          <t>2221-4580</t>
        </is>
      </c>
      <c r="K12" t="inlineStr">
        <is>
          <t>Daniela Orellana</t>
        </is>
      </c>
      <c r="L12" t="inlineStr">
        <is>
          <t>Patricia Guevara Quintanilla</t>
        </is>
      </c>
      <c r="M12" t="inlineStr">
        <is>
          <t>07265655-3</t>
        </is>
      </c>
      <c r="N12" t="inlineStr">
        <is>
          <t>6951-5407</t>
        </is>
      </c>
      <c r="O12" t="inlineStr">
        <is>
          <t>Consumidor final</t>
        </is>
      </c>
      <c r="P12" t="inlineStr">
        <is>
          <t>BEB-002</t>
        </is>
      </c>
      <c r="Q12" t="inlineStr">
        <is>
          <t>Agua purificada 1 galón</t>
        </is>
      </c>
      <c r="R12" t="inlineStr">
        <is>
          <t>Bebidas</t>
        </is>
      </c>
      <c r="S12" t="inlineStr">
        <is>
          <t>Bebidas Izalco</t>
        </is>
      </c>
      <c r="T12" t="inlineStr">
        <is>
          <t>2450-7700</t>
        </is>
      </c>
      <c r="U12" t="n">
        <v>1.1</v>
      </c>
      <c r="V12" t="n">
        <v>6</v>
      </c>
      <c r="W12" t="n">
        <v>0</v>
      </c>
      <c r="X12">
        <f>IFERROR(U12*V12*(1-W12/100),"")</f>
        <v/>
      </c>
      <c r="Y12">
        <f>IFERROR(ROUND(X12*0.13,2),"")</f>
        <v/>
      </c>
      <c r="Z12">
        <f>IFERROR(X12+Y12,"")</f>
        <v/>
      </c>
      <c r="AA12" t="inlineStr">
        <is>
          <t>Efectivo</t>
        </is>
      </c>
      <c r="AB12" t="inlineStr"/>
    </row>
    <row r="13">
      <c r="A13" t="inlineStr">
        <is>
          <t>F-10461</t>
        </is>
      </c>
      <c r="B13" s="3" t="n">
        <v>46268</v>
      </c>
      <c r="C13" t="inlineStr">
        <is>
          <t>factura</t>
        </is>
      </c>
      <c r="D13" t="inlineStr">
        <is>
          <t>SS03</t>
        </is>
      </c>
      <c r="E13" t="inlineStr">
        <is>
          <t>soyapango</t>
        </is>
      </c>
      <c r="F13" t="inlineStr">
        <is>
          <t>Blvd. del Ejército km 4</t>
        </is>
      </c>
      <c r="G13" t="inlineStr">
        <is>
          <t>Soyapango</t>
        </is>
      </c>
      <c r="H13" t="inlineStr">
        <is>
          <t>San Salvador</t>
        </is>
      </c>
      <c r="I13" t="inlineStr">
        <is>
          <t>Karla Henríquez</t>
        </is>
      </c>
      <c r="J13" t="inlineStr">
        <is>
          <t>2277-3402</t>
        </is>
      </c>
      <c r="K13" t="inlineStr">
        <is>
          <t>Marta Gómez</t>
        </is>
      </c>
      <c r="L13" t="inlineStr">
        <is>
          <t>Héctor Hernández Quintanilla</t>
        </is>
      </c>
      <c r="M13" t="inlineStr">
        <is>
          <t>05302669-9</t>
        </is>
      </c>
      <c r="N13" t="inlineStr">
        <is>
          <t>2708-8580</t>
        </is>
      </c>
      <c r="O13" t="inlineStr">
        <is>
          <t>Consumidor final</t>
        </is>
      </c>
      <c r="P13" t="inlineStr">
        <is>
          <t>HIG-003</t>
        </is>
      </c>
      <c r="Q13" t="inlineStr">
        <is>
          <t>Jabón de lavar barra</t>
        </is>
      </c>
      <c r="R13" t="inlineStr">
        <is>
          <t>Limpieza</t>
        </is>
      </c>
      <c r="S13" t="inlineStr">
        <is>
          <t>Higiene Total C.A.</t>
        </is>
      </c>
      <c r="T13" t="inlineStr">
        <is>
          <t>2207-5566</t>
        </is>
      </c>
      <c r="U13" t="n">
        <v>0.75</v>
      </c>
      <c r="V13" t="n">
        <v>1</v>
      </c>
      <c r="W13" t="n">
        <v>0</v>
      </c>
      <c r="X13">
        <f>IFERROR(U13*V13*(1-W13/100),"")</f>
        <v/>
      </c>
      <c r="Y13">
        <f>IFERROR(ROUND(X13*0.13,2),"")</f>
        <v/>
      </c>
      <c r="Z13">
        <f>IFERROR(X13+Y13,"")</f>
        <v/>
      </c>
      <c r="AA13" t="inlineStr">
        <is>
          <t>Efectivo</t>
        </is>
      </c>
      <c r="AB13" t="inlineStr">
        <is>
          <t>Cliente frecuente</t>
        </is>
      </c>
    </row>
    <row r="14">
      <c r="A14" t="inlineStr">
        <is>
          <t>F-10461</t>
        </is>
      </c>
      <c r="B14" s="3" t="n">
        <v>46268</v>
      </c>
      <c r="C14" t="inlineStr">
        <is>
          <t>factura</t>
        </is>
      </c>
      <c r="D14" t="inlineStr">
        <is>
          <t>SS03</t>
        </is>
      </c>
      <c r="E14" t="inlineStr">
        <is>
          <t>soyapango</t>
        </is>
      </c>
      <c r="F14" t="inlineStr">
        <is>
          <t>Blvd. del Ejército km 4</t>
        </is>
      </c>
      <c r="G14" t="inlineStr">
        <is>
          <t>Soyapango</t>
        </is>
      </c>
      <c r="H14" t="inlineStr">
        <is>
          <t>San Salvador</t>
        </is>
      </c>
      <c r="I14" t="inlineStr">
        <is>
          <t>Karla Henríquez</t>
        </is>
      </c>
      <c r="J14" t="inlineStr">
        <is>
          <t>2277-3402</t>
        </is>
      </c>
      <c r="K14" t="inlineStr">
        <is>
          <t>Marta Gómez</t>
        </is>
      </c>
      <c r="L14" t="inlineStr">
        <is>
          <t>HÉCTOR HERNÁNDEZ QUINTANILLA</t>
        </is>
      </c>
      <c r="M14" t="inlineStr">
        <is>
          <t>05302669-9</t>
        </is>
      </c>
      <c r="N14" t="inlineStr">
        <is>
          <t>2708-8580</t>
        </is>
      </c>
      <c r="O14" t="inlineStr">
        <is>
          <t>Consumidor final</t>
        </is>
      </c>
      <c r="P14" t="inlineStr">
        <is>
          <t>LAC-002</t>
        </is>
      </c>
      <c r="Q14" t="inlineStr">
        <is>
          <t>Crema 500ml</t>
        </is>
      </c>
      <c r="R14" t="inlineStr">
        <is>
          <t>Lácteos</t>
        </is>
      </c>
      <c r="S14" t="inlineStr">
        <is>
          <t>Lácteos Chalate</t>
        </is>
      </c>
      <c r="T14" t="inlineStr">
        <is>
          <t>2335-1020</t>
        </is>
      </c>
      <c r="U14" t="n">
        <v>2.25</v>
      </c>
      <c r="V14" t="n">
        <v>1</v>
      </c>
      <c r="W14" t="n">
        <v>0</v>
      </c>
      <c r="X14">
        <f>IFERROR(U14*V14*(1-W14/100),"")</f>
        <v/>
      </c>
      <c r="Y14">
        <f>IFERROR(ROUND(X14*0.13,2),"")</f>
        <v/>
      </c>
      <c r="Z14">
        <f>IFERROR(X14+Y14,"")</f>
        <v/>
      </c>
      <c r="AA14" t="inlineStr">
        <is>
          <t>Efectivo</t>
        </is>
      </c>
      <c r="AB14" t="inlineStr">
        <is>
          <t>Llamar al 7788-1234 antes de entregar</t>
        </is>
      </c>
    </row>
    <row r="15">
      <c r="A15" t="inlineStr">
        <is>
          <t>F-10464</t>
        </is>
      </c>
      <c r="B15" s="3" t="n">
        <v>46248</v>
      </c>
      <c r="C15" t="inlineStr">
        <is>
          <t>factura</t>
        </is>
      </c>
      <c r="D15" t="inlineStr">
        <is>
          <t>SM01</t>
        </is>
      </c>
      <c r="E15" t="inlineStr">
        <is>
          <t>S. Miguel</t>
        </is>
      </c>
      <c r="F15" t="inlineStr">
        <is>
          <t>Av. Roosevelt Sur #7</t>
        </is>
      </c>
      <c r="G15" t="inlineStr">
        <is>
          <t>San Miguel</t>
        </is>
      </c>
      <c r="H15" t="inlineStr">
        <is>
          <t>San Miguel</t>
        </is>
      </c>
      <c r="I15" t="inlineStr">
        <is>
          <t>Iris Portillo</t>
        </is>
      </c>
      <c r="J15" t="inlineStr">
        <is>
          <t>2661-5076</t>
        </is>
      </c>
      <c r="K15" t="inlineStr">
        <is>
          <t>Paola Cruz</t>
        </is>
      </c>
      <c r="L15" t="inlineStr">
        <is>
          <t>Mario Sorto Castillo</t>
        </is>
      </c>
      <c r="M15" t="inlineStr">
        <is>
          <t>09824839-0</t>
        </is>
      </c>
      <c r="N15" t="inlineStr">
        <is>
          <t>7450-4234</t>
        </is>
      </c>
      <c r="O15" t="inlineStr">
        <is>
          <t>Consumidor final</t>
        </is>
      </c>
      <c r="P15" t="inlineStr">
        <is>
          <t>AZU-001</t>
        </is>
      </c>
      <c r="Q15" t="inlineStr">
        <is>
          <t>Azúcar blanca 2.5kg</t>
        </is>
      </c>
      <c r="R15" t="inlineStr">
        <is>
          <t>Abarrotes</t>
        </is>
      </c>
      <c r="S15" t="inlineStr">
        <is>
          <t>Granos del Pacífico</t>
        </is>
      </c>
      <c r="T15" t="inlineStr">
        <is>
          <t>2234-8890</t>
        </is>
      </c>
      <c r="U15" t="n">
        <v>3.1</v>
      </c>
      <c r="V15" t="n">
        <v>12</v>
      </c>
      <c r="W15" t="n">
        <v>0</v>
      </c>
      <c r="X15">
        <f>IFERROR(U15*V15*(1-W15/100),"")</f>
        <v/>
      </c>
      <c r="Y15">
        <f>IFERROR(ROUND(X15*0.13,2),"")</f>
        <v/>
      </c>
      <c r="Z15">
        <f>IFERROR(X15+Y15,"")</f>
        <v/>
      </c>
      <c r="AA15" t="inlineStr">
        <is>
          <t>Efectivo</t>
        </is>
      </c>
      <c r="AB15" t="inlineStr"/>
    </row>
    <row r="16">
      <c r="A16" t="inlineStr">
        <is>
          <t>F-10464</t>
        </is>
      </c>
      <c r="B16" t="inlineStr">
        <is>
          <t>2026-08-14</t>
        </is>
      </c>
      <c r="C16" t="inlineStr">
        <is>
          <t>factura</t>
        </is>
      </c>
      <c r="D16" t="inlineStr">
        <is>
          <t>SM01</t>
        </is>
      </c>
      <c r="E16" t="inlineStr">
        <is>
          <t>S. Miguel</t>
        </is>
      </c>
      <c r="F16" t="inlineStr">
        <is>
          <t>Av. Roosevelt Sur #7</t>
        </is>
      </c>
      <c r="G16" t="inlineStr">
        <is>
          <t>San Miguel</t>
        </is>
      </c>
      <c r="H16" t="inlineStr">
        <is>
          <t>San Miguel</t>
        </is>
      </c>
      <c r="I16" t="inlineStr">
        <is>
          <t>Iris Portillo</t>
        </is>
      </c>
      <c r="J16" t="inlineStr">
        <is>
          <t>2661-5076</t>
        </is>
      </c>
      <c r="K16" t="inlineStr">
        <is>
          <t>Paola Cruz</t>
        </is>
      </c>
      <c r="L16" t="inlineStr">
        <is>
          <t>Mario Sorto Castillo</t>
        </is>
      </c>
      <c r="M16" t="inlineStr">
        <is>
          <t>09824839-0</t>
        </is>
      </c>
      <c r="N16" t="inlineStr">
        <is>
          <t>7450-4234</t>
        </is>
      </c>
      <c r="O16" t="inlineStr">
        <is>
          <t>Consumidor final</t>
        </is>
      </c>
      <c r="P16" t="inlineStr">
        <is>
          <t>HIG-002</t>
        </is>
      </c>
      <c r="Q16" t="inlineStr">
        <is>
          <t>Papel higiénico 4 rollos</t>
        </is>
      </c>
      <c r="R16" t="inlineStr">
        <is>
          <t>Higiene</t>
        </is>
      </c>
      <c r="S16" t="inlineStr">
        <is>
          <t>Higiene Total C.A.</t>
        </is>
      </c>
      <c r="T16" t="inlineStr">
        <is>
          <t>2207-5566</t>
        </is>
      </c>
      <c r="U16" t="n">
        <v>2.15</v>
      </c>
      <c r="V16" t="n">
        <v>1</v>
      </c>
      <c r="W16" t="n">
        <v>0</v>
      </c>
      <c r="X16">
        <f>IFERROR(U16*V16*(1-W16/100),"")</f>
        <v/>
      </c>
      <c r="Y16">
        <f>IFERROR(ROUND(X16*0.13,2),"")</f>
        <v/>
      </c>
      <c r="Z16">
        <f>IFERROR(X16+Y16,"")</f>
        <v/>
      </c>
      <c r="AA16" t="inlineStr">
        <is>
          <t>Efectivo</t>
        </is>
      </c>
      <c r="AB16" t="inlineStr"/>
    </row>
    <row r="17">
      <c r="A17" t="inlineStr">
        <is>
          <t>F-10464</t>
        </is>
      </c>
      <c r="B17" s="3" t="n">
        <v>46248</v>
      </c>
      <c r="C17" t="inlineStr">
        <is>
          <t>factura</t>
        </is>
      </c>
      <c r="D17" t="inlineStr">
        <is>
          <t>SM01</t>
        </is>
      </c>
      <c r="E17" t="inlineStr">
        <is>
          <t>SAN MIGUEL</t>
        </is>
      </c>
      <c r="F17" t="inlineStr">
        <is>
          <t>Av. Roosevelt Sur #7</t>
        </is>
      </c>
      <c r="G17" t="inlineStr">
        <is>
          <t>San Miguel</t>
        </is>
      </c>
      <c r="H17" t="inlineStr">
        <is>
          <t>San Miguel</t>
        </is>
      </c>
      <c r="I17" t="inlineStr">
        <is>
          <t>Iris Portillo</t>
        </is>
      </c>
      <c r="J17" t="inlineStr">
        <is>
          <t>2661-5076</t>
        </is>
      </c>
      <c r="K17" t="inlineStr">
        <is>
          <t>Paola Cruz</t>
        </is>
      </c>
      <c r="L17" t="inlineStr">
        <is>
          <t>Mario Sorto Castillo</t>
        </is>
      </c>
      <c r="M17" t="inlineStr"/>
      <c r="N17" t="inlineStr">
        <is>
          <t>7450-4234</t>
        </is>
      </c>
      <c r="O17" t="inlineStr">
        <is>
          <t>Consumidor final</t>
        </is>
      </c>
      <c r="P17" t="inlineStr">
        <is>
          <t>LAC-003</t>
        </is>
      </c>
      <c r="Q17" t="inlineStr">
        <is>
          <t>Leche entera 1L</t>
        </is>
      </c>
      <c r="R17" t="inlineStr">
        <is>
          <t>Lácteos</t>
        </is>
      </c>
      <c r="S17" t="inlineStr">
        <is>
          <t>Lácteos Chalate</t>
        </is>
      </c>
      <c r="T17" t="inlineStr">
        <is>
          <t>7120-4455</t>
        </is>
      </c>
      <c r="U17" t="inlineStr">
        <is>
          <t>1,20</t>
        </is>
      </c>
      <c r="V17" t="n">
        <v>1</v>
      </c>
      <c r="W17" t="n">
        <v>0</v>
      </c>
      <c r="X17">
        <f>IFERROR(U17*V17*(1-W17/100),"")</f>
        <v/>
      </c>
      <c r="Y17">
        <f>IFERROR(ROUND(X17*0.13,2),"")</f>
        <v/>
      </c>
      <c r="Z17">
        <f>IFERROR(X17+Y17,"")</f>
        <v/>
      </c>
      <c r="AA17" t="inlineStr">
        <is>
          <t>Efectivo</t>
        </is>
      </c>
      <c r="AB17" t="inlineStr">
        <is>
          <t>entregar en bodega</t>
        </is>
      </c>
    </row>
    <row r="18">
      <c r="A18" t="inlineStr">
        <is>
          <t>F-10464</t>
        </is>
      </c>
      <c r="B18" s="4" t="n">
        <v>46248</v>
      </c>
      <c r="C18" t="inlineStr">
        <is>
          <t>factura</t>
        </is>
      </c>
      <c r="D18" t="inlineStr">
        <is>
          <t>SM01</t>
        </is>
      </c>
      <c r="E18" t="inlineStr">
        <is>
          <t>SAN MIGUEL</t>
        </is>
      </c>
      <c r="F18" t="inlineStr">
        <is>
          <t>Av. Roosevelt Sur #7</t>
        </is>
      </c>
      <c r="G18" t="inlineStr">
        <is>
          <t>San Miguel</t>
        </is>
      </c>
      <c r="H18" t="inlineStr">
        <is>
          <t>San Miguel</t>
        </is>
      </c>
      <c r="I18" t="inlineStr">
        <is>
          <t>Iris Portillo</t>
        </is>
      </c>
      <c r="J18" t="inlineStr">
        <is>
          <t>2661-5076</t>
        </is>
      </c>
      <c r="K18" t="inlineStr">
        <is>
          <t>Paola Cruz</t>
        </is>
      </c>
      <c r="L18" t="inlineStr">
        <is>
          <t>Mario Sorto Castillo</t>
        </is>
      </c>
      <c r="M18" t="inlineStr"/>
      <c r="N18" t="inlineStr">
        <is>
          <t>7450-4234</t>
        </is>
      </c>
      <c r="O18" t="inlineStr">
        <is>
          <t>Consumidor final</t>
        </is>
      </c>
      <c r="P18" t="inlineStr">
        <is>
          <t>LAC-003</t>
        </is>
      </c>
      <c r="Q18" t="inlineStr">
        <is>
          <t>Leche entera 1L</t>
        </is>
      </c>
      <c r="R18" t="inlineStr">
        <is>
          <t>Lácteos</t>
        </is>
      </c>
      <c r="S18" t="inlineStr">
        <is>
          <t>Lácteos Chalate</t>
        </is>
      </c>
      <c r="T18" t="inlineStr">
        <is>
          <t>7120-4455</t>
        </is>
      </c>
      <c r="U18" t="inlineStr">
        <is>
          <t>1,20</t>
        </is>
      </c>
      <c r="V18" t="n">
        <v>1</v>
      </c>
      <c r="W18" t="n">
        <v>0</v>
      </c>
      <c r="X18">
        <f>IFERROR(U18*V18*(1-W18/100),"")</f>
        <v/>
      </c>
      <c r="Y18">
        <f>IFERROR(ROUND(X18*0.13,2),"")</f>
        <v/>
      </c>
      <c r="Z18">
        <f>IFERROR(X18+Y18,"")</f>
        <v/>
      </c>
      <c r="AA18" t="inlineStr">
        <is>
          <t>Efectivo</t>
        </is>
      </c>
      <c r="AB18" t="inlineStr">
        <is>
          <t>entregar en bodega</t>
        </is>
      </c>
    </row>
    <row r="19">
      <c r="A19" t="inlineStr">
        <is>
          <t>F-10464</t>
        </is>
      </c>
      <c r="B19" s="3" t="n">
        <v>46248</v>
      </c>
      <c r="C19" t="inlineStr">
        <is>
          <t>factura</t>
        </is>
      </c>
      <c r="D19" t="inlineStr">
        <is>
          <t>SM01</t>
        </is>
      </c>
      <c r="E19" t="inlineStr">
        <is>
          <t>San Miguel</t>
        </is>
      </c>
      <c r="F19" t="inlineStr">
        <is>
          <t>Av. Roosevelt Sur #7</t>
        </is>
      </c>
      <c r="G19" t="inlineStr">
        <is>
          <t>San Miguel</t>
        </is>
      </c>
      <c r="H19" t="inlineStr">
        <is>
          <t>San Miguel</t>
        </is>
      </c>
      <c r="I19" t="inlineStr">
        <is>
          <t>Iris Portillo</t>
        </is>
      </c>
      <c r="J19" t="inlineStr">
        <is>
          <t>2661-5076</t>
        </is>
      </c>
      <c r="K19" t="inlineStr">
        <is>
          <t>Paola Cruz</t>
        </is>
      </c>
      <c r="L19" t="inlineStr">
        <is>
          <t>Mario Sorto Castillo</t>
        </is>
      </c>
      <c r="M19" t="inlineStr">
        <is>
          <t>09824839-0</t>
        </is>
      </c>
      <c r="N19" t="inlineStr">
        <is>
          <t>7450-4234</t>
        </is>
      </c>
      <c r="O19" t="inlineStr">
        <is>
          <t>Consumidor final</t>
        </is>
      </c>
      <c r="P19" t="inlineStr">
        <is>
          <t>HAR-001</t>
        </is>
      </c>
      <c r="Q19" t="inlineStr">
        <is>
          <t>Harina de maíz 2lb</t>
        </is>
      </c>
      <c r="R19" t="inlineStr">
        <is>
          <t>Abarrotes</t>
        </is>
      </c>
      <c r="S19" t="inlineStr">
        <is>
          <t>Granos del Pacífico</t>
        </is>
      </c>
      <c r="T19" t="inlineStr">
        <is>
          <t>2234-8890</t>
        </is>
      </c>
      <c r="U19" t="n">
        <v>1.35</v>
      </c>
      <c r="V19" t="n">
        <v>2</v>
      </c>
      <c r="W19" t="n">
        <v>0</v>
      </c>
      <c r="X19">
        <f>IFERROR(U19*V19*(1-W19/100),"")</f>
        <v/>
      </c>
      <c r="Y19">
        <f>IFERROR(ROUND(X19*0.13,2),"")</f>
        <v/>
      </c>
      <c r="Z19">
        <f>IFERROR(X19+Y19,"")</f>
        <v/>
      </c>
      <c r="AA19" t="inlineStr">
        <is>
          <t>Efectivo</t>
        </is>
      </c>
      <c r="AB19" t="inlineStr">
        <is>
          <t>precio especial autorizado por gerente</t>
        </is>
      </c>
    </row>
    <row r="20">
      <c r="A20" t="inlineStr">
        <is>
          <t>F-10465</t>
        </is>
      </c>
      <c r="B20" s="3" t="n">
        <v>46244</v>
      </c>
      <c r="C20" t="inlineStr">
        <is>
          <t>Factura</t>
        </is>
      </c>
      <c r="D20" t="inlineStr">
        <is>
          <t>SS02</t>
        </is>
      </c>
      <c r="E20" t="inlineStr">
        <is>
          <t>Escalon</t>
        </is>
      </c>
      <c r="F20" t="inlineStr">
        <is>
          <t>Paseo General Escalón #3910</t>
        </is>
      </c>
      <c r="G20" t="inlineStr">
        <is>
          <t>San Salvador</t>
        </is>
      </c>
      <c r="H20" t="inlineStr">
        <is>
          <t>San Salvador</t>
        </is>
      </c>
      <c r="I20" t="inlineStr">
        <is>
          <t>Claudia Menjívar</t>
        </is>
      </c>
      <c r="J20" t="inlineStr">
        <is>
          <t>2264-1190</t>
        </is>
      </c>
      <c r="K20" t="inlineStr">
        <is>
          <t>Fátima Rosales</t>
        </is>
      </c>
      <c r="L20" t="inlineStr">
        <is>
          <t>Walter Hernández Flores</t>
        </is>
      </c>
      <c r="M20" t="inlineStr">
        <is>
          <t>01412764-4</t>
        </is>
      </c>
      <c r="N20" t="inlineStr">
        <is>
          <t>6659-5342</t>
        </is>
      </c>
      <c r="O20" t="inlineStr">
        <is>
          <t>Consumidor final</t>
        </is>
      </c>
      <c r="P20" t="inlineStr">
        <is>
          <t>LAC-002</t>
        </is>
      </c>
      <c r="Q20" t="inlineStr">
        <is>
          <t>Crema 500ml</t>
        </is>
      </c>
      <c r="R20" t="inlineStr">
        <is>
          <t>Lácteos</t>
        </is>
      </c>
      <c r="S20" t="inlineStr">
        <is>
          <t>Lácteos Chalate</t>
        </is>
      </c>
      <c r="T20" t="inlineStr">
        <is>
          <t>2335-1020</t>
        </is>
      </c>
      <c r="U20" t="n">
        <v>2.25</v>
      </c>
      <c r="V20" t="n">
        <v>1</v>
      </c>
      <c r="W20" t="n">
        <v>0</v>
      </c>
      <c r="X20">
        <f>IFERROR(U20*V20*(1-W20/100),"")</f>
        <v/>
      </c>
      <c r="Y20">
        <f>IFERROR(ROUND(X20*0.13,2),"")</f>
        <v/>
      </c>
      <c r="Z20">
        <f>IFERROR(X20+Y20,"")</f>
        <v/>
      </c>
      <c r="AA20" t="inlineStr">
        <is>
          <t>Tarjeta</t>
        </is>
      </c>
      <c r="AB20" t="inlineStr"/>
    </row>
    <row r="21">
      <c r="A21" t="inlineStr">
        <is>
          <t>F-10465</t>
        </is>
      </c>
      <c r="B21" s="3" t="n">
        <v>46244</v>
      </c>
      <c r="C21" t="inlineStr">
        <is>
          <t>Factura</t>
        </is>
      </c>
      <c r="D21" t="inlineStr">
        <is>
          <t>SS02</t>
        </is>
      </c>
      <c r="E21" t="inlineStr">
        <is>
          <t>ESCALON</t>
        </is>
      </c>
      <c r="F21" t="inlineStr">
        <is>
          <t>Paseo General Escalón #3910</t>
        </is>
      </c>
      <c r="G21" t="inlineStr">
        <is>
          <t>San Salvador</t>
        </is>
      </c>
      <c r="H21" t="inlineStr">
        <is>
          <t>San Salvador</t>
        </is>
      </c>
      <c r="I21" t="inlineStr">
        <is>
          <t>Claudia Menjívar</t>
        </is>
      </c>
      <c r="J21" t="inlineStr">
        <is>
          <t>2264-1190</t>
        </is>
      </c>
      <c r="K21" t="inlineStr">
        <is>
          <t>Fátima Rosales</t>
        </is>
      </c>
      <c r="L21" t="inlineStr">
        <is>
          <t>WALTER HERNÁNDEZ FLORES</t>
        </is>
      </c>
      <c r="M21" t="inlineStr">
        <is>
          <t>01412764-4</t>
        </is>
      </c>
      <c r="N21" t="inlineStr">
        <is>
          <t>6659-5342</t>
        </is>
      </c>
      <c r="O21" t="inlineStr">
        <is>
          <t>Consumidor final</t>
        </is>
      </c>
      <c r="P21" t="inlineStr">
        <is>
          <t>BEB-002</t>
        </is>
      </c>
      <c r="Q21" t="inlineStr">
        <is>
          <t>Agua purificada 1 galón</t>
        </is>
      </c>
      <c r="R21" t="inlineStr">
        <is>
          <t>Bebidas</t>
        </is>
      </c>
      <c r="S21" t="inlineStr">
        <is>
          <t>Bebidas Izalco</t>
        </is>
      </c>
      <c r="T21" t="inlineStr">
        <is>
          <t>2450-7700</t>
        </is>
      </c>
      <c r="U21" t="n">
        <v>1.1</v>
      </c>
      <c r="V21" t="n">
        <v>6</v>
      </c>
      <c r="W21" t="n">
        <v>0</v>
      </c>
      <c r="X21">
        <f>IFERROR(U21*V21*(1-W21/100),"")</f>
        <v/>
      </c>
      <c r="Y21">
        <f>IFERROR(ROUND(X21*0.13,2),"")</f>
        <v/>
      </c>
      <c r="Z21">
        <f>IFERROR(X21+Y21,"")</f>
        <v/>
      </c>
      <c r="AA21" t="inlineStr">
        <is>
          <t>Tarjeta</t>
        </is>
      </c>
      <c r="AB21" t="inlineStr"/>
    </row>
    <row r="22">
      <c r="A22" t="inlineStr">
        <is>
          <t>F-10465</t>
        </is>
      </c>
      <c r="B22" s="3" t="n">
        <v>46244</v>
      </c>
      <c r="C22" t="inlineStr">
        <is>
          <t>Factura</t>
        </is>
      </c>
      <c r="D22" t="inlineStr">
        <is>
          <t>SS02</t>
        </is>
      </c>
      <c r="E22" t="inlineStr">
        <is>
          <t>ESCALON</t>
        </is>
      </c>
      <c r="F22" t="inlineStr">
        <is>
          <t>Paseo General Escalón #3910</t>
        </is>
      </c>
      <c r="G22" t="inlineStr">
        <is>
          <t>San Salvador</t>
        </is>
      </c>
      <c r="H22" t="inlineStr">
        <is>
          <t>San Salvador</t>
        </is>
      </c>
      <c r="I22" t="inlineStr">
        <is>
          <t>Claudia Menjívar</t>
        </is>
      </c>
      <c r="J22" t="inlineStr">
        <is>
          <t>2264-1190</t>
        </is>
      </c>
      <c r="K22" t="inlineStr">
        <is>
          <t>Fátima Rosales</t>
        </is>
      </c>
      <c r="L22" t="inlineStr">
        <is>
          <t>Walter Hernández Flores</t>
        </is>
      </c>
      <c r="M22" t="inlineStr">
        <is>
          <t>01412764-4</t>
        </is>
      </c>
      <c r="N22" t="inlineStr">
        <is>
          <t>6659-5342</t>
        </is>
      </c>
      <c r="O22" t="inlineStr">
        <is>
          <t>Consumidor final</t>
        </is>
      </c>
      <c r="P22" t="inlineStr">
        <is>
          <t>AZU-001</t>
        </is>
      </c>
      <c r="Q22" t="inlineStr">
        <is>
          <t>Azúcar blanca 2.5kg</t>
        </is>
      </c>
      <c r="R22" t="inlineStr">
        <is>
          <t>Abarrotes</t>
        </is>
      </c>
      <c r="S22" t="inlineStr">
        <is>
          <t>Granos del Pacífico</t>
        </is>
      </c>
      <c r="T22" t="inlineStr">
        <is>
          <t>2234-8890</t>
        </is>
      </c>
      <c r="U22" t="inlineStr">
        <is>
          <t>$3.10</t>
        </is>
      </c>
      <c r="V22" t="n">
        <v>1</v>
      </c>
      <c r="W22" t="n">
        <v>0</v>
      </c>
      <c r="X22">
        <f>IFERROR(U22*V22*(1-W22/100),"")</f>
        <v/>
      </c>
      <c r="Y22">
        <f>IFERROR(ROUND(X22*0.13,2),"")</f>
        <v/>
      </c>
      <c r="Z22">
        <f>IFERROR(X22+Y22,"")</f>
        <v/>
      </c>
      <c r="AA22" t="inlineStr">
        <is>
          <t>Tarjeta</t>
        </is>
      </c>
      <c r="AB22" t="inlineStr"/>
    </row>
    <row r="23">
      <c r="A23" t="inlineStr">
        <is>
          <t>F-10468</t>
        </is>
      </c>
      <c r="B23" s="3" t="n">
        <v>46219</v>
      </c>
      <c r="C23" t="inlineStr">
        <is>
          <t>factura</t>
        </is>
      </c>
      <c r="D23" t="inlineStr">
        <is>
          <t>SS02</t>
        </is>
      </c>
      <c r="E23" t="inlineStr">
        <is>
          <t>ESCALON</t>
        </is>
      </c>
      <c r="F23" t="inlineStr">
        <is>
          <t>Paseo General Escalón #3910</t>
        </is>
      </c>
      <c r="G23" t="inlineStr">
        <is>
          <t>San Salvador</t>
        </is>
      </c>
      <c r="H23" t="inlineStr">
        <is>
          <t>San Salvador</t>
        </is>
      </c>
      <c r="I23" t="inlineStr">
        <is>
          <t>Claudia Menjívar</t>
        </is>
      </c>
      <c r="J23" t="inlineStr">
        <is>
          <t>2264-1190</t>
        </is>
      </c>
      <c r="K23" t="inlineStr">
        <is>
          <t>Kevin Benítez</t>
        </is>
      </c>
      <c r="L23" t="inlineStr">
        <is>
          <t>Xiomara Hernández Quintanilla</t>
        </is>
      </c>
      <c r="M23" t="inlineStr">
        <is>
          <t>06385104-8</t>
        </is>
      </c>
      <c r="N23" t="inlineStr">
        <is>
          <t>7931-3589</t>
        </is>
      </c>
      <c r="O23" t="inlineStr">
        <is>
          <t>Consumidor final</t>
        </is>
      </c>
      <c r="P23" t="inlineStr">
        <is>
          <t>HIG-002</t>
        </is>
      </c>
      <c r="Q23" t="inlineStr">
        <is>
          <t>Papel higiénico 4 rollos</t>
        </is>
      </c>
      <c r="R23" t="inlineStr">
        <is>
          <t>Limpieza</t>
        </is>
      </c>
      <c r="S23" t="inlineStr">
        <is>
          <t>Higiene Total C.A.</t>
        </is>
      </c>
      <c r="T23" t="inlineStr">
        <is>
          <t>2207-5566</t>
        </is>
      </c>
      <c r="U23" t="n">
        <v>2.15</v>
      </c>
      <c r="V23" t="n">
        <v>12</v>
      </c>
      <c r="W23" t="n">
        <v>0</v>
      </c>
      <c r="X23">
        <f>IFERROR(U23*V23*(1-W23/100),"")</f>
        <v/>
      </c>
      <c r="Y23">
        <f>IFERROR(ROUND(X23*0.13,2),"")</f>
        <v/>
      </c>
      <c r="Z23">
        <f>IFERROR(X23+Y23,"")</f>
        <v/>
      </c>
      <c r="AA23" t="inlineStr">
        <is>
          <t>Efectivo</t>
        </is>
      </c>
      <c r="AB23" t="inlineStr"/>
    </row>
    <row r="24">
      <c r="A24" t="inlineStr">
        <is>
          <t>F-10468</t>
        </is>
      </c>
      <c r="B24" s="3" t="n">
        <v>46219</v>
      </c>
      <c r="C24" t="inlineStr">
        <is>
          <t>factura</t>
        </is>
      </c>
      <c r="D24" t="inlineStr">
        <is>
          <t>SS02</t>
        </is>
      </c>
      <c r="E24" t="inlineStr">
        <is>
          <t>ESCALON</t>
        </is>
      </c>
      <c r="F24" t="inlineStr">
        <is>
          <t>Paseo General Escalón #3910</t>
        </is>
      </c>
      <c r="G24" t="inlineStr">
        <is>
          <t>San Salvador</t>
        </is>
      </c>
      <c r="H24" t="inlineStr">
        <is>
          <t>San Salvador</t>
        </is>
      </c>
      <c r="I24" t="inlineStr">
        <is>
          <t>Claudia Menjívar</t>
        </is>
      </c>
      <c r="J24" t="inlineStr">
        <is>
          <t>2264-1190</t>
        </is>
      </c>
      <c r="K24" t="inlineStr">
        <is>
          <t>Kevin Benítez</t>
        </is>
      </c>
      <c r="L24" t="inlineStr">
        <is>
          <t>Xiomara Hernández Quintanilla</t>
        </is>
      </c>
      <c r="M24" t="inlineStr">
        <is>
          <t>06385104-8</t>
        </is>
      </c>
      <c r="N24" t="inlineStr">
        <is>
          <t>7931-3589</t>
        </is>
      </c>
      <c r="O24" t="inlineStr">
        <is>
          <t>Consumidor final</t>
        </is>
      </c>
      <c r="P24" t="inlineStr">
        <is>
          <t>BEB-002</t>
        </is>
      </c>
      <c r="Q24" t="inlineStr">
        <is>
          <t>Agua purificada 1 galón</t>
        </is>
      </c>
      <c r="R24" t="inlineStr">
        <is>
          <t>Bebidas</t>
        </is>
      </c>
      <c r="S24" t="inlineStr">
        <is>
          <t>Bebidas Izalco</t>
        </is>
      </c>
      <c r="T24" t="inlineStr">
        <is>
          <t>2450-7700</t>
        </is>
      </c>
      <c r="U24" t="inlineStr">
        <is>
          <t>1,10</t>
        </is>
      </c>
      <c r="V24" t="n">
        <v>3</v>
      </c>
      <c r="W24" t="n">
        <v>0</v>
      </c>
      <c r="X24">
        <f>IFERROR(U24*V24*(1-W24/100),"")</f>
        <v/>
      </c>
      <c r="Y24">
        <f>IFERROR(ROUND(X24*0.13,2),"")</f>
        <v/>
      </c>
      <c r="Z24">
        <f>IFERROR(X24+Y24,"")</f>
        <v/>
      </c>
      <c r="AA24" t="inlineStr">
        <is>
          <t>Efectivo</t>
        </is>
      </c>
      <c r="AB24" t="inlineStr"/>
    </row>
    <row r="25">
      <c r="A25" t="inlineStr">
        <is>
          <t>F-10468</t>
        </is>
      </c>
      <c r="B25" t="inlineStr">
        <is>
          <t>2026-07-16</t>
        </is>
      </c>
      <c r="C25" t="inlineStr">
        <is>
          <t>factura</t>
        </is>
      </c>
      <c r="D25" t="inlineStr">
        <is>
          <t>SS02</t>
        </is>
      </c>
      <c r="E25" t="inlineStr">
        <is>
          <t>Col. Escalón</t>
        </is>
      </c>
      <c r="F25" t="inlineStr">
        <is>
          <t>Paseo General Escalón #3910</t>
        </is>
      </c>
      <c r="G25" t="inlineStr">
        <is>
          <t>San Salvador</t>
        </is>
      </c>
      <c r="H25" t="inlineStr">
        <is>
          <t>San Salvador</t>
        </is>
      </c>
      <c r="I25" t="inlineStr">
        <is>
          <t>Claudia Menjívar</t>
        </is>
      </c>
      <c r="J25" t="inlineStr">
        <is>
          <t>2264-1190</t>
        </is>
      </c>
      <c r="K25" t="inlineStr">
        <is>
          <t>Kevin Benítez</t>
        </is>
      </c>
      <c r="L25" t="inlineStr">
        <is>
          <t>Xiomara Hernández Quintanilla</t>
        </is>
      </c>
      <c r="M25" t="inlineStr">
        <is>
          <t>06385104-8</t>
        </is>
      </c>
      <c r="N25" t="inlineStr">
        <is>
          <t>7931-3589</t>
        </is>
      </c>
      <c r="O25" t="inlineStr">
        <is>
          <t>Consumidor final</t>
        </is>
      </c>
      <c r="P25" t="inlineStr">
        <is>
          <t>ARR-001</t>
        </is>
      </c>
      <c r="Q25" t="inlineStr">
        <is>
          <t>Arroz blanco 5lb</t>
        </is>
      </c>
      <c r="R25" t="inlineStr">
        <is>
          <t>Abarrotes</t>
        </is>
      </c>
      <c r="S25" t="inlineStr">
        <is>
          <t>Granos del Pacífico</t>
        </is>
      </c>
      <c r="T25" t="inlineStr">
        <is>
          <t>2234-8890</t>
        </is>
      </c>
      <c r="U25" t="n">
        <v>3.95</v>
      </c>
      <c r="V25" t="n">
        <v>2</v>
      </c>
      <c r="W25" t="n">
        <v>0</v>
      </c>
      <c r="X25">
        <f>IFERROR(U25*V25*(1-W25/100),"")</f>
        <v/>
      </c>
      <c r="Y25">
        <f>IFERROR(ROUND(X25*0.13,2),"")</f>
        <v/>
      </c>
      <c r="Z25">
        <f>IFERROR(X25+Y25,"")</f>
        <v/>
      </c>
      <c r="AA25" t="inlineStr">
        <is>
          <t>Efectivo</t>
        </is>
      </c>
      <c r="AB25" t="inlineStr"/>
    </row>
    <row r="26">
      <c r="A26" t="inlineStr">
        <is>
          <t>F-10471</t>
        </is>
      </c>
      <c r="B26" s="3" t="n">
        <v>46267</v>
      </c>
      <c r="C26" t="inlineStr">
        <is>
          <t>CCF</t>
        </is>
      </c>
      <c r="D26" t="inlineStr">
        <is>
          <t>LL02</t>
        </is>
      </c>
      <c r="E26" t="inlineStr">
        <is>
          <t>Puerto de La Libertad</t>
        </is>
      </c>
      <c r="F26" t="inlineStr">
        <is>
          <t>Calle El Malecón, Local 4</t>
        </is>
      </c>
      <c r="G26" t="inlineStr">
        <is>
          <t>La Libertad</t>
        </is>
      </c>
      <c r="H26" t="inlineStr">
        <is>
          <t>La Libertad</t>
        </is>
      </c>
      <c r="I26" t="inlineStr">
        <is>
          <t>Wendy Aguilar</t>
        </is>
      </c>
      <c r="J26" t="inlineStr">
        <is>
          <t>2335-6140</t>
        </is>
      </c>
      <c r="K26" t="inlineStr">
        <is>
          <t>Gabriela Saravia</t>
        </is>
      </c>
      <c r="L26" t="inlineStr">
        <is>
          <t>Restaurante El Guanaco</t>
        </is>
      </c>
      <c r="M26" t="inlineStr">
        <is>
          <t>168675-3</t>
        </is>
      </c>
      <c r="N26" t="inlineStr">
        <is>
          <t>6165-7029</t>
        </is>
      </c>
      <c r="O26" t="inlineStr">
        <is>
          <t>Contribuyente</t>
        </is>
      </c>
      <c r="P26" t="inlineStr">
        <is>
          <t>CAF-002</t>
        </is>
      </c>
      <c r="Q26" t="inlineStr">
        <is>
          <t>Café en grano 1lb</t>
        </is>
      </c>
      <c r="R26" t="inlineStr">
        <is>
          <t>Abarrotes</t>
        </is>
      </c>
      <c r="S26" t="inlineStr">
        <is>
          <t>Café Volcán S.A.</t>
        </is>
      </c>
      <c r="T26" t="inlineStr">
        <is>
          <t>2510-3344</t>
        </is>
      </c>
      <c r="U26" t="n">
        <v>6.75</v>
      </c>
      <c r="V26" t="n">
        <v>4</v>
      </c>
      <c r="W26" t="n">
        <v>0</v>
      </c>
      <c r="X26">
        <f>IFERROR(U26*V26*(1-W26/100),"")</f>
        <v/>
      </c>
      <c r="Y26">
        <f>IFERROR(ROUND(X26*0.13,2),"")</f>
        <v/>
      </c>
      <c r="Z26">
        <f>IFERROR(X26+Y26,"")</f>
        <v/>
      </c>
      <c r="AA26" t="inlineStr">
        <is>
          <t>Tarjeta</t>
        </is>
      </c>
      <c r="AB26" t="inlineStr"/>
    </row>
    <row r="27">
      <c r="A27" t="inlineStr">
        <is>
          <t>F-10471</t>
        </is>
      </c>
      <c r="B27" s="3" t="n">
        <v>46267</v>
      </c>
      <c r="C27" t="inlineStr">
        <is>
          <t>CCF</t>
        </is>
      </c>
      <c r="D27" t="inlineStr"/>
      <c r="E27" t="inlineStr">
        <is>
          <t>La Libertad Puerto</t>
        </is>
      </c>
      <c r="F27" t="inlineStr">
        <is>
          <t>Calle El Malecón, Local 4</t>
        </is>
      </c>
      <c r="G27" t="inlineStr">
        <is>
          <t>La Libertad</t>
        </is>
      </c>
      <c r="H27" t="inlineStr">
        <is>
          <t>La Libertad</t>
        </is>
      </c>
      <c r="I27" t="inlineStr">
        <is>
          <t>Wendy Aguilar</t>
        </is>
      </c>
      <c r="J27" t="inlineStr">
        <is>
          <t>2335-6140</t>
        </is>
      </c>
      <c r="K27" t="inlineStr">
        <is>
          <t>Gabriela Saravia</t>
        </is>
      </c>
      <c r="L27" t="inlineStr">
        <is>
          <t>Restaurante El Guanaco</t>
        </is>
      </c>
      <c r="M27" t="inlineStr">
        <is>
          <t>168675-3</t>
        </is>
      </c>
      <c r="N27" t="inlineStr">
        <is>
          <t>6165-7029</t>
        </is>
      </c>
      <c r="O27" t="inlineStr">
        <is>
          <t>Contribuyente</t>
        </is>
      </c>
      <c r="P27" t="inlineStr">
        <is>
          <t>HIG-001</t>
        </is>
      </c>
      <c r="Q27" t="inlineStr">
        <is>
          <t>Detergente 1kg</t>
        </is>
      </c>
      <c r="R27" t="inlineStr">
        <is>
          <t>limpieza</t>
        </is>
      </c>
      <c r="S27" t="inlineStr">
        <is>
          <t>Higiene Total C.A.</t>
        </is>
      </c>
      <c r="T27" t="inlineStr">
        <is>
          <t>2207-5566</t>
        </is>
      </c>
      <c r="U27" t="inlineStr">
        <is>
          <t>3,45</t>
        </is>
      </c>
      <c r="V27" t="n">
        <v>2</v>
      </c>
      <c r="W27" t="n">
        <v>0</v>
      </c>
      <c r="X27">
        <f>IFERROR(U27*V27*(1-W27/100),"")</f>
        <v/>
      </c>
      <c r="Y27">
        <f>IFERROR(ROUND(X27*0.13,2),"")</f>
        <v/>
      </c>
      <c r="Z27">
        <f>IFERROR(X27+Y27,"")</f>
        <v/>
      </c>
      <c r="AA27" t="inlineStr">
        <is>
          <t>Tarjeta</t>
        </is>
      </c>
      <c r="AB27" t="inlineStr">
        <is>
          <t>Llamar al 7788-1234 antes de entregar</t>
        </is>
      </c>
    </row>
    <row r="28">
      <c r="A28" t="inlineStr">
        <is>
          <t>F-10471</t>
        </is>
      </c>
      <c r="B28" t="inlineStr">
        <is>
          <t>02/09/2026</t>
        </is>
      </c>
      <c r="C28" t="inlineStr">
        <is>
          <t>CCF</t>
        </is>
      </c>
      <c r="D28" t="inlineStr">
        <is>
          <t>LL02</t>
        </is>
      </c>
      <c r="E28" t="inlineStr">
        <is>
          <t>La Libertad Puerto</t>
        </is>
      </c>
      <c r="F28" t="inlineStr">
        <is>
          <t>Calle El Malecón, Local 4</t>
        </is>
      </c>
      <c r="G28" t="inlineStr">
        <is>
          <t>La Libertad</t>
        </is>
      </c>
      <c r="H28" t="inlineStr">
        <is>
          <t>La Libertad</t>
        </is>
      </c>
      <c r="I28" t="inlineStr">
        <is>
          <t>Wendy Aguilar</t>
        </is>
      </c>
      <c r="J28" t="inlineStr">
        <is>
          <t>2335-6140</t>
        </is>
      </c>
      <c r="K28" t="inlineStr">
        <is>
          <t>Gabriela Saravia</t>
        </is>
      </c>
      <c r="L28" t="inlineStr">
        <is>
          <t>Restaurante El Guanaco</t>
        </is>
      </c>
      <c r="M28" t="inlineStr">
        <is>
          <t>168675-3</t>
        </is>
      </c>
      <c r="N28" t="inlineStr">
        <is>
          <t>6165-7029</t>
        </is>
      </c>
      <c r="O28" t="inlineStr">
        <is>
          <t>Contribuyente</t>
        </is>
      </c>
      <c r="P28" t="inlineStr">
        <is>
          <t>HAR-001</t>
        </is>
      </c>
      <c r="Q28" t="inlineStr">
        <is>
          <t>Harina de maíz 2lb</t>
        </is>
      </c>
      <c r="R28" t="inlineStr">
        <is>
          <t>Abarrotes</t>
        </is>
      </c>
      <c r="S28" t="inlineStr">
        <is>
          <t>Granos del Pacífico</t>
        </is>
      </c>
      <c r="T28" t="inlineStr">
        <is>
          <t>2234-8890</t>
        </is>
      </c>
      <c r="U28" t="n">
        <v>1.35</v>
      </c>
      <c r="V28" t="n">
        <v>12</v>
      </c>
      <c r="W28" t="n">
        <v>0</v>
      </c>
      <c r="X28">
        <f>IFERROR(U28*V28*(1-W28/100),"")</f>
        <v/>
      </c>
      <c r="Y28">
        <f>IFERROR(ROUND(X28*0.13,2),"")</f>
        <v/>
      </c>
      <c r="Z28">
        <f>IFERROR(X28+Y28,"")</f>
        <v/>
      </c>
      <c r="AA28" t="inlineStr">
        <is>
          <t>Tarjeta</t>
        </is>
      </c>
      <c r="AB28" t="inlineStr"/>
    </row>
    <row r="29">
      <c r="A29" t="inlineStr">
        <is>
          <t>F-10472</t>
        </is>
      </c>
      <c r="B29" s="3" t="n">
        <v>46238</v>
      </c>
      <c r="C29" t="inlineStr">
        <is>
          <t>Factura</t>
        </is>
      </c>
      <c r="D29" t="inlineStr">
        <is>
          <t>SS03</t>
        </is>
      </c>
      <c r="E29" t="inlineStr">
        <is>
          <t>soyapango</t>
        </is>
      </c>
      <c r="F29" t="inlineStr">
        <is>
          <t>Blvd. del Ejército km 4</t>
        </is>
      </c>
      <c r="G29" t="inlineStr">
        <is>
          <t>Soyapango</t>
        </is>
      </c>
      <c r="H29" t="inlineStr">
        <is>
          <t>San Salvador</t>
        </is>
      </c>
      <c r="I29" t="inlineStr">
        <is>
          <t>Karla Henríquez</t>
        </is>
      </c>
      <c r="J29" t="inlineStr">
        <is>
          <t>2277-3402</t>
        </is>
      </c>
      <c r="K29" t="inlineStr">
        <is>
          <t>Marta Gómez</t>
        </is>
      </c>
      <c r="L29" t="inlineStr">
        <is>
          <t>Patricia Argueta Mejía</t>
        </is>
      </c>
      <c r="M29" t="inlineStr">
        <is>
          <t>01586554-3</t>
        </is>
      </c>
      <c r="N29" t="inlineStr">
        <is>
          <t>2105-2525</t>
        </is>
      </c>
      <c r="O29" t="inlineStr">
        <is>
          <t>Consumidor final</t>
        </is>
      </c>
      <c r="P29" t="inlineStr">
        <is>
          <t>PAN-001</t>
        </is>
      </c>
      <c r="Q29" t="inlineStr">
        <is>
          <t>Pan francés bolsa 10u</t>
        </is>
      </c>
      <c r="R29" t="inlineStr">
        <is>
          <t>Panadería</t>
        </is>
      </c>
      <c r="S29" t="inlineStr">
        <is>
          <t>Panificadora Ilopango</t>
        </is>
      </c>
      <c r="T29" t="inlineStr">
        <is>
          <t>2295-0081</t>
        </is>
      </c>
      <c r="U29" t="n">
        <v>1</v>
      </c>
      <c r="V29" t="n">
        <v>3</v>
      </c>
      <c r="W29" t="n">
        <v>0</v>
      </c>
      <c r="X29">
        <f>IFERROR(U29*V29*(1-W29/100),"")</f>
        <v/>
      </c>
      <c r="Y29">
        <f>IFERROR(ROUND(X29*0.13,2),"")</f>
        <v/>
      </c>
      <c r="Z29">
        <f>IFERROR(X29+Y29,"")</f>
        <v/>
      </c>
      <c r="AA29" t="inlineStr">
        <is>
          <t>Tarjeta</t>
        </is>
      </c>
      <c r="AB29" t="inlineStr">
        <is>
          <t>precio especial autorizado por gerente</t>
        </is>
      </c>
    </row>
    <row r="30">
      <c r="A30" t="inlineStr">
        <is>
          <t>F-10472</t>
        </is>
      </c>
      <c r="B30" s="3" t="n">
        <v>46238</v>
      </c>
      <c r="C30" t="inlineStr">
        <is>
          <t>Factura</t>
        </is>
      </c>
      <c r="D30" t="inlineStr">
        <is>
          <t>SS03</t>
        </is>
      </c>
      <c r="E30" t="inlineStr">
        <is>
          <t xml:space="preserve">SOYAPANGO </t>
        </is>
      </c>
      <c r="F30" t="inlineStr">
        <is>
          <t>Blvd. del Ejército km 4</t>
        </is>
      </c>
      <c r="G30" t="inlineStr">
        <is>
          <t>Soyapango</t>
        </is>
      </c>
      <c r="H30" t="inlineStr">
        <is>
          <t>San Salvador</t>
        </is>
      </c>
      <c r="I30" t="inlineStr">
        <is>
          <t>Karla Henríquez</t>
        </is>
      </c>
      <c r="J30" t="inlineStr">
        <is>
          <t>2277-3402</t>
        </is>
      </c>
      <c r="K30" t="inlineStr">
        <is>
          <t>Marta Gómez</t>
        </is>
      </c>
      <c r="L30" t="inlineStr">
        <is>
          <t>Patricia Argueta Mejía</t>
        </is>
      </c>
      <c r="M30" t="inlineStr">
        <is>
          <t>01586554-3</t>
        </is>
      </c>
      <c r="N30" t="inlineStr">
        <is>
          <t>2105-2525</t>
        </is>
      </c>
      <c r="O30" t="inlineStr">
        <is>
          <t>Consumidor final</t>
        </is>
      </c>
      <c r="P30" t="inlineStr">
        <is>
          <t>PAN-003</t>
        </is>
      </c>
      <c r="Q30" t="inlineStr">
        <is>
          <t>Quesadilla salvadoreña</t>
        </is>
      </c>
      <c r="R30" t="inlineStr">
        <is>
          <t>Panadería</t>
        </is>
      </c>
      <c r="S30" t="inlineStr">
        <is>
          <t>Panificadora Ilopango</t>
        </is>
      </c>
      <c r="T30" t="inlineStr">
        <is>
          <t>2295-0081</t>
        </is>
      </c>
      <c r="U30" t="n">
        <v>2.5</v>
      </c>
      <c r="V30" t="n">
        <v>-24</v>
      </c>
      <c r="W30" t="n">
        <v>0</v>
      </c>
      <c r="X30">
        <f>IFERROR(U30*V30*(1-W30/100),"")</f>
        <v/>
      </c>
      <c r="Y30">
        <f>IFERROR(ROUND(X30*0.13,2),"")</f>
        <v/>
      </c>
      <c r="Z30">
        <f>IFERROR(X30+Y30,"")</f>
        <v/>
      </c>
      <c r="AA30" t="inlineStr">
        <is>
          <t>Tarjeta</t>
        </is>
      </c>
      <c r="AB30" t="inlineStr"/>
    </row>
    <row r="31">
      <c r="A31" t="inlineStr">
        <is>
          <t>F-10472</t>
        </is>
      </c>
      <c r="B31" t="inlineStr">
        <is>
          <t>04-Aug-26</t>
        </is>
      </c>
      <c r="C31" t="inlineStr">
        <is>
          <t>Factura</t>
        </is>
      </c>
      <c r="D31" t="inlineStr"/>
      <c r="E31" t="inlineStr">
        <is>
          <t>Soyapango</t>
        </is>
      </c>
      <c r="F31" t="inlineStr">
        <is>
          <t>Blvd. del Ejército km 4</t>
        </is>
      </c>
      <c r="G31" t="inlineStr">
        <is>
          <t>Soyapango</t>
        </is>
      </c>
      <c r="H31" t="inlineStr">
        <is>
          <t>San Salvador</t>
        </is>
      </c>
      <c r="I31" t="inlineStr">
        <is>
          <t>Karla Henríquez</t>
        </is>
      </c>
      <c r="J31" t="inlineStr">
        <is>
          <t>2277-3402</t>
        </is>
      </c>
      <c r="K31" t="inlineStr">
        <is>
          <t>Marta Gómez</t>
        </is>
      </c>
      <c r="L31" t="inlineStr">
        <is>
          <t>Patricia Argueta Mejía</t>
        </is>
      </c>
      <c r="M31" t="inlineStr">
        <is>
          <t>01586554-3</t>
        </is>
      </c>
      <c r="N31" t="inlineStr">
        <is>
          <t>2105-2525</t>
        </is>
      </c>
      <c r="O31" t="inlineStr">
        <is>
          <t>Consumidor final</t>
        </is>
      </c>
      <c r="P31" t="inlineStr">
        <is>
          <t>BEB-002</t>
        </is>
      </c>
      <c r="Q31" t="inlineStr">
        <is>
          <t>Agua purificada 1 galón</t>
        </is>
      </c>
      <c r="R31" t="inlineStr">
        <is>
          <t>Bebidas</t>
        </is>
      </c>
      <c r="S31" t="inlineStr">
        <is>
          <t>Bebidas Izalco</t>
        </is>
      </c>
      <c r="T31" t="inlineStr">
        <is>
          <t>2450-7700</t>
        </is>
      </c>
      <c r="U31" t="n">
        <v>1.1</v>
      </c>
      <c r="V31" t="n">
        <v>2</v>
      </c>
      <c r="W31" t="n">
        <v>0</v>
      </c>
      <c r="X31">
        <f>IFERROR(U31*V31*(1-W31/100),"")</f>
        <v/>
      </c>
      <c r="Y31">
        <f>IFERROR(ROUND(X31*0.13,2),"")</f>
        <v/>
      </c>
      <c r="Z31">
        <f>IFERROR(X31+Y31,"")</f>
        <v/>
      </c>
      <c r="AA31" t="inlineStr">
        <is>
          <t>Tarjeta</t>
        </is>
      </c>
      <c r="AB31" t="inlineStr">
        <is>
          <t>precio especial autorizado por gerente</t>
        </is>
      </c>
    </row>
    <row r="32">
      <c r="A32" t="inlineStr">
        <is>
          <t>F-10472</t>
        </is>
      </c>
      <c r="B32" s="3" t="n">
        <v>46238</v>
      </c>
      <c r="C32" t="inlineStr">
        <is>
          <t>Factura</t>
        </is>
      </c>
      <c r="D32" t="inlineStr">
        <is>
          <t>SS03</t>
        </is>
      </c>
      <c r="E32" t="inlineStr">
        <is>
          <t>soyapango</t>
        </is>
      </c>
      <c r="F32" t="inlineStr">
        <is>
          <t>Blvd. del Ejército km 4</t>
        </is>
      </c>
      <c r="G32" t="inlineStr">
        <is>
          <t>Soyapango</t>
        </is>
      </c>
      <c r="H32" t="inlineStr">
        <is>
          <t>San Salvador</t>
        </is>
      </c>
      <c r="I32" t="inlineStr">
        <is>
          <t>Karla Henríquez</t>
        </is>
      </c>
      <c r="J32" t="inlineStr">
        <is>
          <t>2277-3402</t>
        </is>
      </c>
      <c r="K32" t="inlineStr">
        <is>
          <t>Marta Gómez</t>
        </is>
      </c>
      <c r="L32" t="inlineStr">
        <is>
          <t>Patricia Argueta Mejía</t>
        </is>
      </c>
      <c r="M32" t="inlineStr">
        <is>
          <t>01586554-3</t>
        </is>
      </c>
      <c r="N32" t="inlineStr">
        <is>
          <t>2105-2525</t>
        </is>
      </c>
      <c r="O32" t="inlineStr">
        <is>
          <t>Consumidor final</t>
        </is>
      </c>
      <c r="P32" t="inlineStr">
        <is>
          <t>CAF-001</t>
        </is>
      </c>
      <c r="Q32" t="inlineStr">
        <is>
          <t>Café molido 400g</t>
        </is>
      </c>
      <c r="R32" t="inlineStr">
        <is>
          <t>ABARROTES</t>
        </is>
      </c>
      <c r="S32" t="inlineStr">
        <is>
          <t>Café Volcán S.A.</t>
        </is>
      </c>
      <c r="T32" t="inlineStr">
        <is>
          <t>2510-3344</t>
        </is>
      </c>
      <c r="U32" t="n">
        <v>4.25</v>
      </c>
      <c r="V32" t="n">
        <v>1</v>
      </c>
      <c r="W32" t="n">
        <v>0</v>
      </c>
      <c r="X32">
        <f>IFERROR(U32*V32*(1-W32/100),"")</f>
        <v/>
      </c>
      <c r="Y32">
        <f>IFERROR(ROUND(X32*0.13,2),"")</f>
        <v/>
      </c>
      <c r="Z32">
        <f>IFERROR(X32+Y32,"")</f>
        <v/>
      </c>
      <c r="AA32" t="inlineStr">
        <is>
          <t>Tarjeta</t>
        </is>
      </c>
      <c r="AB32" t="inlineStr"/>
    </row>
    <row r="33">
      <c r="A33" t="inlineStr">
        <is>
          <t>F-10473</t>
        </is>
      </c>
      <c r="B33" t="inlineStr">
        <is>
          <t>29/07/2026</t>
        </is>
      </c>
      <c r="C33" t="inlineStr">
        <is>
          <t>Factura</t>
        </is>
      </c>
      <c r="D33" t="inlineStr">
        <is>
          <t>SA01</t>
        </is>
      </c>
      <c r="E33" t="inlineStr">
        <is>
          <t>Santa  Ana</t>
        </is>
      </c>
      <c r="F33" t="inlineStr">
        <is>
          <t>Av. Independencia Sur #12</t>
        </is>
      </c>
      <c r="G33" t="inlineStr">
        <is>
          <t>Santa Ana</t>
        </is>
      </c>
      <c r="H33" t="inlineStr">
        <is>
          <t>Santa Ana</t>
        </is>
      </c>
      <c r="I33" t="inlineStr">
        <is>
          <t>Mauricio Linares</t>
        </is>
      </c>
      <c r="J33" t="inlineStr">
        <is>
          <t>2440-9921</t>
        </is>
      </c>
      <c r="K33" t="inlineStr">
        <is>
          <t>Diego Zelaya</t>
        </is>
      </c>
      <c r="L33" t="inlineStr">
        <is>
          <t>René Cornejo Cornejo</t>
        </is>
      </c>
      <c r="M33" t="inlineStr">
        <is>
          <t>03632979-1</t>
        </is>
      </c>
      <c r="N33" t="inlineStr">
        <is>
          <t>7833-5595</t>
        </is>
      </c>
      <c r="O33" t="inlineStr">
        <is>
          <t>Consumidor final</t>
        </is>
      </c>
      <c r="P33" t="inlineStr">
        <is>
          <t>PAN-002</t>
        </is>
      </c>
      <c r="Q33" t="inlineStr">
        <is>
          <t>Semita alta</t>
        </is>
      </c>
      <c r="R33" t="inlineStr">
        <is>
          <t>Panadería</t>
        </is>
      </c>
      <c r="S33" t="inlineStr">
        <is>
          <t>Panificadora Ilopango</t>
        </is>
      </c>
      <c r="T33" t="inlineStr">
        <is>
          <t>2295-0081</t>
        </is>
      </c>
      <c r="U33" t="inlineStr">
        <is>
          <t>1,75</t>
        </is>
      </c>
      <c r="V33" t="n">
        <v>3</v>
      </c>
      <c r="W33" t="n">
        <v>0</v>
      </c>
      <c r="X33">
        <f>IFERROR(U33*V33*(1-W33/100),"")</f>
        <v/>
      </c>
      <c r="Y33">
        <f>IFERROR(ROUND(X33*0.13,2),"")</f>
        <v/>
      </c>
      <c r="Z33">
        <f>IFERROR(X33+Y33,"")</f>
        <v/>
      </c>
      <c r="AA33" t="inlineStr">
        <is>
          <t>Transferencia</t>
        </is>
      </c>
      <c r="AB33" t="inlineStr"/>
    </row>
    <row r="34">
      <c r="A34" t="inlineStr">
        <is>
          <t>F-10473</t>
        </is>
      </c>
      <c r="B34" t="inlineStr">
        <is>
          <t>29/07/2026</t>
        </is>
      </c>
      <c r="C34" t="inlineStr">
        <is>
          <t>Factura</t>
        </is>
      </c>
      <c r="D34" t="inlineStr">
        <is>
          <t>SA01</t>
        </is>
      </c>
      <c r="E34" t="inlineStr">
        <is>
          <t>STA ANA</t>
        </is>
      </c>
      <c r="F34" t="inlineStr">
        <is>
          <t>Av. Independencia Sur #12</t>
        </is>
      </c>
      <c r="G34" t="inlineStr">
        <is>
          <t>Santa Ana</t>
        </is>
      </c>
      <c r="H34" t="inlineStr">
        <is>
          <t>Santa Ana</t>
        </is>
      </c>
      <c r="I34" t="inlineStr">
        <is>
          <t>Mauricio Linares</t>
        </is>
      </c>
      <c r="J34" t="inlineStr">
        <is>
          <t>2440-9921</t>
        </is>
      </c>
      <c r="K34" t="inlineStr">
        <is>
          <t>Diego Zelaya</t>
        </is>
      </c>
      <c r="L34" t="inlineStr">
        <is>
          <t>René Cornejo Cornejo</t>
        </is>
      </c>
      <c r="M34" t="inlineStr">
        <is>
          <t>03632979-1</t>
        </is>
      </c>
      <c r="N34" t="inlineStr">
        <is>
          <t>7833-5595</t>
        </is>
      </c>
      <c r="O34" t="inlineStr">
        <is>
          <t>Consumidor final</t>
        </is>
      </c>
      <c r="P34" t="inlineStr">
        <is>
          <t>LAC-003</t>
        </is>
      </c>
      <c r="Q34" t="inlineStr">
        <is>
          <t>Leche entera 1L</t>
        </is>
      </c>
      <c r="R34" t="inlineStr">
        <is>
          <t>Lácteos</t>
        </is>
      </c>
      <c r="S34" t="inlineStr">
        <is>
          <t>Lácteos Chalate</t>
        </is>
      </c>
      <c r="T34" t="inlineStr">
        <is>
          <t>2335-1020</t>
        </is>
      </c>
      <c r="U34" t="inlineStr">
        <is>
          <t>1,20</t>
        </is>
      </c>
      <c r="V34" t="n">
        <v>3</v>
      </c>
      <c r="W34" t="n">
        <v>0</v>
      </c>
      <c r="X34">
        <f>IFERROR(U34*V34*(1-W34/100),"")</f>
        <v/>
      </c>
      <c r="Y34">
        <f>IFERROR(ROUND(X34*0.13,2),"")</f>
        <v/>
      </c>
      <c r="Z34">
        <f>IFERROR(X34+Y34,"")</f>
        <v/>
      </c>
      <c r="AA34" t="inlineStr">
        <is>
          <t>Transferencia</t>
        </is>
      </c>
      <c r="AB34" t="inlineStr">
        <is>
          <t>entregar en bodega</t>
        </is>
      </c>
    </row>
    <row r="35">
      <c r="A35" t="inlineStr">
        <is>
          <t>F-10473</t>
        </is>
      </c>
      <c r="B35" t="inlineStr">
        <is>
          <t>29-Jul-26</t>
        </is>
      </c>
      <c r="C35" t="inlineStr">
        <is>
          <t>Factura</t>
        </is>
      </c>
      <c r="D35" t="inlineStr">
        <is>
          <t>SA01</t>
        </is>
      </c>
      <c r="E35" t="inlineStr">
        <is>
          <t>STA ANA</t>
        </is>
      </c>
      <c r="F35" t="inlineStr">
        <is>
          <t>Av. Independencia Sur #12</t>
        </is>
      </c>
      <c r="G35" t="inlineStr">
        <is>
          <t>Santa Ana</t>
        </is>
      </c>
      <c r="H35" t="inlineStr">
        <is>
          <t>Santa Ana</t>
        </is>
      </c>
      <c r="I35" t="inlineStr">
        <is>
          <t>Mauricio Linares</t>
        </is>
      </c>
      <c r="J35" t="inlineStr">
        <is>
          <t>2440-9921</t>
        </is>
      </c>
      <c r="K35" t="inlineStr">
        <is>
          <t>Diego Zelaya</t>
        </is>
      </c>
      <c r="L35" t="inlineStr">
        <is>
          <t>René Cornejo Cornejo</t>
        </is>
      </c>
      <c r="M35" t="inlineStr">
        <is>
          <t>03632979-1</t>
        </is>
      </c>
      <c r="N35" t="inlineStr">
        <is>
          <t>7833-5595</t>
        </is>
      </c>
      <c r="O35" t="inlineStr">
        <is>
          <t>Consumidor final</t>
        </is>
      </c>
      <c r="P35" t="inlineStr">
        <is>
          <t>BEB-003</t>
        </is>
      </c>
      <c r="Q35" t="inlineStr">
        <is>
          <t>Horchata en polvo 400g</t>
        </is>
      </c>
      <c r="R35" t="inlineStr">
        <is>
          <t>Abarrotes</t>
        </is>
      </c>
      <c r="S35" t="inlineStr">
        <is>
          <t>Bebidas Izalco</t>
        </is>
      </c>
      <c r="T35" t="inlineStr">
        <is>
          <t>2450-7700</t>
        </is>
      </c>
      <c r="U35" t="inlineStr">
        <is>
          <t>$2.60</t>
        </is>
      </c>
      <c r="V35" t="n">
        <v>6</v>
      </c>
      <c r="W35" t="n">
        <v>0</v>
      </c>
      <c r="X35">
        <f>IFERROR(U35*V35*(1-W35/100),"")</f>
        <v/>
      </c>
      <c r="Y35">
        <f>IFERROR(ROUND(X35*0.13,2),"")</f>
        <v/>
      </c>
      <c r="Z35">
        <f>IFERROR(X35+Y35,"")</f>
        <v/>
      </c>
      <c r="AA35" t="inlineStr">
        <is>
          <t>Transferencia</t>
        </is>
      </c>
      <c r="AB35" t="inlineStr">
        <is>
          <t>Llamar al 7788-1234 antes de entregar</t>
        </is>
      </c>
    </row>
    <row r="36">
      <c r="A36" t="inlineStr">
        <is>
          <t>F-10473</t>
        </is>
      </c>
      <c r="B36" s="3" t="n">
        <v>46232</v>
      </c>
      <c r="C36" t="inlineStr">
        <is>
          <t>Factura</t>
        </is>
      </c>
      <c r="D36" t="inlineStr">
        <is>
          <t>SA01</t>
        </is>
      </c>
      <c r="E36" t="inlineStr">
        <is>
          <t>STA ANA</t>
        </is>
      </c>
      <c r="F36" t="inlineStr">
        <is>
          <t>Av. Independencia Sur #12</t>
        </is>
      </c>
      <c r="G36" t="inlineStr">
        <is>
          <t>Santa Ana</t>
        </is>
      </c>
      <c r="H36" t="inlineStr">
        <is>
          <t>Santa Ana</t>
        </is>
      </c>
      <c r="I36" t="inlineStr">
        <is>
          <t>Mauricio Linares</t>
        </is>
      </c>
      <c r="J36" t="inlineStr">
        <is>
          <t>2440-9921</t>
        </is>
      </c>
      <c r="K36" t="inlineStr">
        <is>
          <t>Diego Zelaya</t>
        </is>
      </c>
      <c r="L36" t="inlineStr">
        <is>
          <t>René Cornejo Cornejo</t>
        </is>
      </c>
      <c r="M36" t="inlineStr">
        <is>
          <t>03632979-1</t>
        </is>
      </c>
      <c r="N36" t="inlineStr">
        <is>
          <t>7833-5595</t>
        </is>
      </c>
      <c r="O36" t="inlineStr">
        <is>
          <t>Consumidor final</t>
        </is>
      </c>
      <c r="P36" t="inlineStr">
        <is>
          <t>CAF-002</t>
        </is>
      </c>
      <c r="Q36" t="inlineStr">
        <is>
          <t>Café en grano 1lb</t>
        </is>
      </c>
      <c r="R36" t="inlineStr">
        <is>
          <t>Abarrotes</t>
        </is>
      </c>
      <c r="S36" t="inlineStr">
        <is>
          <t>Café Volcán S.A.</t>
        </is>
      </c>
      <c r="T36" t="inlineStr">
        <is>
          <t>2510-3344</t>
        </is>
      </c>
      <c r="U36" t="n">
        <v>6.75</v>
      </c>
      <c r="V36" t="n">
        <v>1</v>
      </c>
      <c r="W36" t="n">
        <v>0</v>
      </c>
      <c r="X36">
        <f>IFERROR(U36*V36*(1-W36/100),"")</f>
        <v/>
      </c>
      <c r="Y36">
        <f>IFERROR(ROUND(X36*0.13,2),"")</f>
        <v/>
      </c>
      <c r="Z36">
        <f>IFERROR(X36+Y36,"")</f>
        <v/>
      </c>
      <c r="AA36" t="inlineStr">
        <is>
          <t>Transferencia</t>
        </is>
      </c>
      <c r="AB36" t="inlineStr"/>
    </row>
    <row r="37">
      <c r="A37" t="inlineStr">
        <is>
          <t>F-10476</t>
        </is>
      </c>
      <c r="B37" t="inlineStr">
        <is>
          <t>2026-09-27</t>
        </is>
      </c>
      <c r="C37" t="inlineStr">
        <is>
          <t>Factura</t>
        </is>
      </c>
      <c r="D37" t="inlineStr">
        <is>
          <t>SS02</t>
        </is>
      </c>
      <c r="E37" t="inlineStr">
        <is>
          <t>ESCALON</t>
        </is>
      </c>
      <c r="F37" t="inlineStr">
        <is>
          <t>Paseo General Escalón #3910</t>
        </is>
      </c>
      <c r="G37" t="inlineStr">
        <is>
          <t>San Salvador</t>
        </is>
      </c>
      <c r="H37" t="inlineStr">
        <is>
          <t>San Salvador</t>
        </is>
      </c>
      <c r="I37" t="inlineStr">
        <is>
          <t>Claudia Menjívar</t>
        </is>
      </c>
      <c r="J37" t="inlineStr">
        <is>
          <t>2264-1190</t>
        </is>
      </c>
      <c r="K37" t="inlineStr">
        <is>
          <t>Fátima Rosales</t>
        </is>
      </c>
      <c r="L37" t="inlineStr">
        <is>
          <t>Xiomara Cornejo Guevara</t>
        </is>
      </c>
      <c r="M37" t="inlineStr">
        <is>
          <t>09840186-7</t>
        </is>
      </c>
      <c r="N37" t="inlineStr">
        <is>
          <t>2102-2322</t>
        </is>
      </c>
      <c r="O37" t="inlineStr">
        <is>
          <t>Consumidor final</t>
        </is>
      </c>
      <c r="P37" t="inlineStr">
        <is>
          <t>HIG-003</t>
        </is>
      </c>
      <c r="Q37" t="inlineStr">
        <is>
          <t>Jabón de lavar barra</t>
        </is>
      </c>
      <c r="R37" t="inlineStr">
        <is>
          <t>Limpieza</t>
        </is>
      </c>
      <c r="S37" t="inlineStr">
        <is>
          <t>Higiene Total C.A.</t>
        </is>
      </c>
      <c r="T37" t="inlineStr">
        <is>
          <t>2207-5566</t>
        </is>
      </c>
      <c r="U37" t="inlineStr">
        <is>
          <t>$0.75</t>
        </is>
      </c>
      <c r="V37" t="n">
        <v>2</v>
      </c>
      <c r="W37" t="n">
        <v>0</v>
      </c>
      <c r="X37">
        <f>IFERROR(U37*V37*(1-W37/100),"")</f>
        <v/>
      </c>
      <c r="Y37">
        <f>IFERROR(ROUND(X37*0.13,2),"")</f>
        <v/>
      </c>
      <c r="Z37">
        <f>IFERROR(X37+Y37,"")</f>
        <v/>
      </c>
      <c r="AA37" t="inlineStr">
        <is>
          <t>Efectivo</t>
        </is>
      </c>
      <c r="AB37" t="inlineStr">
        <is>
          <t>entregar en bodega</t>
        </is>
      </c>
    </row>
    <row r="38">
      <c r="A38" t="inlineStr">
        <is>
          <t>F-10476</t>
        </is>
      </c>
      <c r="B38" s="3" t="n">
        <v>46292</v>
      </c>
      <c r="C38" t="inlineStr">
        <is>
          <t>Factura</t>
        </is>
      </c>
      <c r="D38" t="inlineStr">
        <is>
          <t>SS02</t>
        </is>
      </c>
      <c r="E38" t="inlineStr">
        <is>
          <t>ESCALON</t>
        </is>
      </c>
      <c r="F38" t="inlineStr">
        <is>
          <t>Paseo General Escalón #3910</t>
        </is>
      </c>
      <c r="G38" t="inlineStr">
        <is>
          <t>San Salvador</t>
        </is>
      </c>
      <c r="H38" t="inlineStr">
        <is>
          <t>San Salvador</t>
        </is>
      </c>
      <c r="I38" t="inlineStr">
        <is>
          <t>Claudia Menjívar</t>
        </is>
      </c>
      <c r="J38" t="inlineStr">
        <is>
          <t>2264-1190</t>
        </is>
      </c>
      <c r="K38" t="inlineStr">
        <is>
          <t>Fátima Rosales</t>
        </is>
      </c>
      <c r="L38" t="inlineStr">
        <is>
          <t>Xiomara Cornejo Guevara</t>
        </is>
      </c>
      <c r="M38" t="inlineStr">
        <is>
          <t>09840186-7</t>
        </is>
      </c>
      <c r="N38" t="inlineStr">
        <is>
          <t>2102-2322</t>
        </is>
      </c>
      <c r="O38" t="inlineStr">
        <is>
          <t>Consumidor final</t>
        </is>
      </c>
      <c r="P38" t="inlineStr">
        <is>
          <t>LAC-001</t>
        </is>
      </c>
      <c r="Q38" t="inlineStr">
        <is>
          <t>Quesillo 1lb</t>
        </is>
      </c>
      <c r="R38" t="inlineStr">
        <is>
          <t>Lácteos</t>
        </is>
      </c>
      <c r="S38" t="inlineStr">
        <is>
          <t>Lácteos Chalate</t>
        </is>
      </c>
      <c r="T38" t="inlineStr">
        <is>
          <t>2335-1020</t>
        </is>
      </c>
      <c r="U38" t="n">
        <v>3.8</v>
      </c>
      <c r="V38" t="n">
        <v>12</v>
      </c>
      <c r="W38" t="n">
        <v>0</v>
      </c>
      <c r="X38">
        <f>IFERROR(U38*V38*(1-W38/100),"")</f>
        <v/>
      </c>
      <c r="Y38">
        <f>IFERROR(ROUND(X38*0.13,2),"")</f>
        <v/>
      </c>
      <c r="Z38">
        <f>IFERROR(X38+Y38,"")</f>
        <v/>
      </c>
      <c r="AA38" t="inlineStr">
        <is>
          <t>Efectivo</t>
        </is>
      </c>
      <c r="AB38" t="inlineStr"/>
    </row>
    <row r="39">
      <c r="A39" t="inlineStr">
        <is>
          <t>F-10479</t>
        </is>
      </c>
      <c r="B39" s="3" t="n">
        <v>46290</v>
      </c>
      <c r="C39" t="inlineStr">
        <is>
          <t>Factura</t>
        </is>
      </c>
      <c r="D39" t="inlineStr">
        <is>
          <t>SS01</t>
        </is>
      </c>
      <c r="E39" t="inlineStr">
        <is>
          <t>San Salvador Centro</t>
        </is>
      </c>
      <c r="F39" t="inlineStr">
        <is>
          <t>4a Calle Poniente #215</t>
        </is>
      </c>
      <c r="G39" t="inlineStr">
        <is>
          <t>San Salvador</t>
        </is>
      </c>
      <c r="H39" t="inlineStr">
        <is>
          <t>San Salvador</t>
        </is>
      </c>
      <c r="I39" t="inlineStr">
        <is>
          <t>Roberto Alfaro</t>
        </is>
      </c>
      <c r="J39" t="inlineStr">
        <is>
          <t>2221-4580</t>
        </is>
      </c>
      <c r="K39" t="inlineStr">
        <is>
          <t>Daniela Orellana</t>
        </is>
      </c>
      <c r="L39" t="inlineStr">
        <is>
          <t>Sandra Sorto López</t>
        </is>
      </c>
      <c r="M39" t="inlineStr"/>
      <c r="N39" t="inlineStr">
        <is>
          <t>2123-6077</t>
        </is>
      </c>
      <c r="O39" t="inlineStr">
        <is>
          <t>Consumidor final</t>
        </is>
      </c>
      <c r="P39" t="inlineStr">
        <is>
          <t>ARR-001</t>
        </is>
      </c>
      <c r="Q39" t="inlineStr">
        <is>
          <t>Arroz blanco 5lb</t>
        </is>
      </c>
      <c r="R39" t="inlineStr">
        <is>
          <t>Granos básicos</t>
        </is>
      </c>
      <c r="S39" t="inlineStr">
        <is>
          <t>Granos del Pacífico</t>
        </is>
      </c>
      <c r="T39" t="inlineStr">
        <is>
          <t>2234-8890</t>
        </is>
      </c>
      <c r="U39" t="n">
        <v>3.95</v>
      </c>
      <c r="V39" t="n">
        <v>12</v>
      </c>
      <c r="W39" t="n">
        <v>0</v>
      </c>
      <c r="X39">
        <f>IFERROR(U39*V39*(1-W39/100),"")</f>
        <v/>
      </c>
      <c r="Y39">
        <f>IFERROR(ROUND(X39*0.13,2),"")</f>
        <v/>
      </c>
      <c r="Z39">
        <f>IFERROR(X39+Y39,"")</f>
        <v/>
      </c>
      <c r="AA39" t="inlineStr">
        <is>
          <t>Transferencia</t>
        </is>
      </c>
      <c r="AB39" t="inlineStr"/>
    </row>
    <row r="40">
      <c r="A40" t="inlineStr">
        <is>
          <t>F-10479</t>
        </is>
      </c>
      <c r="B40" t="inlineStr">
        <is>
          <t>25/09/2026</t>
        </is>
      </c>
      <c r="C40" t="inlineStr">
        <is>
          <t>Factura</t>
        </is>
      </c>
      <c r="D40" t="inlineStr">
        <is>
          <t>SS01</t>
        </is>
      </c>
      <c r="E40" t="inlineStr">
        <is>
          <t>SAN SALVADOR CENTRO</t>
        </is>
      </c>
      <c r="F40" t="inlineStr">
        <is>
          <t>4a Calle Poniente #215</t>
        </is>
      </c>
      <c r="G40" t="inlineStr">
        <is>
          <t>San Salvador</t>
        </is>
      </c>
      <c r="H40" t="inlineStr">
        <is>
          <t>San Salvador</t>
        </is>
      </c>
      <c r="I40" t="inlineStr">
        <is>
          <t>Roberto Alfaro</t>
        </is>
      </c>
      <c r="J40" t="inlineStr">
        <is>
          <t>2221-4580</t>
        </is>
      </c>
      <c r="K40" t="inlineStr">
        <is>
          <t>Daniela Orellana</t>
        </is>
      </c>
      <c r="L40" t="inlineStr">
        <is>
          <t>Sandra Sorto López</t>
        </is>
      </c>
      <c r="M40" t="inlineStr">
        <is>
          <t>00961529-1</t>
        </is>
      </c>
      <c r="N40" t="inlineStr">
        <is>
          <t>2123-6077</t>
        </is>
      </c>
      <c r="O40" t="inlineStr">
        <is>
          <t>Consumidor final</t>
        </is>
      </c>
      <c r="P40" t="inlineStr">
        <is>
          <t>CAF-001</t>
        </is>
      </c>
      <c r="Q40" t="inlineStr">
        <is>
          <t>Café molido 400g</t>
        </is>
      </c>
      <c r="R40" t="inlineStr">
        <is>
          <t>Abarrotes</t>
        </is>
      </c>
      <c r="S40" t="inlineStr">
        <is>
          <t>Café Volcán S.A.</t>
        </is>
      </c>
      <c r="T40" t="inlineStr">
        <is>
          <t>2510-3344</t>
        </is>
      </c>
      <c r="U40" t="n">
        <v>4.5</v>
      </c>
      <c r="V40" t="n">
        <v>1</v>
      </c>
      <c r="W40" t="n">
        <v>0</v>
      </c>
      <c r="X40">
        <f>IFERROR(U40*V40*(1-W40/100),"")</f>
        <v/>
      </c>
      <c r="Y40">
        <f>IFERROR(ROUND(X40*0.13,2),"")</f>
        <v/>
      </c>
      <c r="Z40">
        <f>IFERROR(X40+Y40,"")</f>
        <v/>
      </c>
      <c r="AA40" t="inlineStr">
        <is>
          <t>Transferencia</t>
        </is>
      </c>
      <c r="AB40" t="inlineStr"/>
    </row>
    <row r="41">
      <c r="A41" t="inlineStr">
        <is>
          <t>F-10479</t>
        </is>
      </c>
      <c r="B41" t="inlineStr">
        <is>
          <t>25/09/2026</t>
        </is>
      </c>
      <c r="C41" t="inlineStr">
        <is>
          <t>Factura</t>
        </is>
      </c>
      <c r="D41" t="inlineStr">
        <is>
          <t>SS01</t>
        </is>
      </c>
      <c r="E41" t="inlineStr">
        <is>
          <t>SAN SALVADOR CENTRO</t>
        </is>
      </c>
      <c r="F41" t="inlineStr">
        <is>
          <t>4a Calle Poniente #215</t>
        </is>
      </c>
      <c r="G41" t="inlineStr">
        <is>
          <t>San Salvador</t>
        </is>
      </c>
      <c r="H41" t="inlineStr">
        <is>
          <t>San Salvador</t>
        </is>
      </c>
      <c r="I41" t="inlineStr">
        <is>
          <t>Roberto Alfaro</t>
        </is>
      </c>
      <c r="J41" t="inlineStr">
        <is>
          <t>2221-4580</t>
        </is>
      </c>
      <c r="K41" t="inlineStr">
        <is>
          <t>Daniela Orellana</t>
        </is>
      </c>
      <c r="L41" t="inlineStr">
        <is>
          <t>Sandra Sorto López</t>
        </is>
      </c>
      <c r="M41" t="inlineStr">
        <is>
          <t>00961529-1</t>
        </is>
      </c>
      <c r="N41" t="inlineStr">
        <is>
          <t>2123-6077</t>
        </is>
      </c>
      <c r="O41" t="inlineStr">
        <is>
          <t>Consumidor final</t>
        </is>
      </c>
      <c r="P41" t="inlineStr">
        <is>
          <t>CAF-001</t>
        </is>
      </c>
      <c r="Q41" t="inlineStr">
        <is>
          <t>Café molido 400g</t>
        </is>
      </c>
      <c r="R41" t="inlineStr">
        <is>
          <t>Abarrotes</t>
        </is>
      </c>
      <c r="S41" t="inlineStr">
        <is>
          <t>Café Volcán S.A.</t>
        </is>
      </c>
      <c r="T41" t="inlineStr">
        <is>
          <t>2510-3344</t>
        </is>
      </c>
      <c r="U41" t="n">
        <v>4.5</v>
      </c>
      <c r="V41" t="n">
        <v>1</v>
      </c>
      <c r="W41" t="n">
        <v>0</v>
      </c>
      <c r="X41">
        <f>IFERROR(U41*V41*(1-W41/100),"")</f>
        <v/>
      </c>
      <c r="Y41">
        <f>IFERROR(ROUND(X41*0.13,2),"")</f>
        <v/>
      </c>
      <c r="Z41">
        <f>IFERROR(X41+Y41,"")</f>
        <v/>
      </c>
      <c r="AA41" t="inlineStr">
        <is>
          <t>Transferencia</t>
        </is>
      </c>
      <c r="AB41" t="inlineStr"/>
    </row>
    <row r="42">
      <c r="A42" t="inlineStr">
        <is>
          <t>F-10481</t>
        </is>
      </c>
      <c r="B42" s="3" t="n">
        <v>46257</v>
      </c>
      <c r="C42" t="inlineStr">
        <is>
          <t>CCF</t>
        </is>
      </c>
      <c r="D42" t="inlineStr">
        <is>
          <t>SS01</t>
        </is>
      </c>
      <c r="E42" t="inlineStr">
        <is>
          <t xml:space="preserve">san salvador centro </t>
        </is>
      </c>
      <c r="F42" t="inlineStr">
        <is>
          <t>4a Calle Poniente #215</t>
        </is>
      </c>
      <c r="G42" t="inlineStr">
        <is>
          <t>San Salvador</t>
        </is>
      </c>
      <c r="H42" t="inlineStr">
        <is>
          <t>San Salvador</t>
        </is>
      </c>
      <c r="I42" t="inlineStr">
        <is>
          <t>Roberto Alfaro</t>
        </is>
      </c>
      <c r="J42" t="inlineStr">
        <is>
          <t>2221-4580</t>
        </is>
      </c>
      <c r="K42" t="inlineStr">
        <is>
          <t>José Martínez</t>
        </is>
      </c>
      <c r="L42" t="inlineStr">
        <is>
          <t>Hotel Brisas del Mar</t>
        </is>
      </c>
      <c r="M42" t="inlineStr">
        <is>
          <t>280004-0</t>
        </is>
      </c>
      <c r="N42" t="inlineStr">
        <is>
          <t>2129-2911</t>
        </is>
      </c>
      <c r="O42" t="inlineStr">
        <is>
          <t>Contribuyente</t>
        </is>
      </c>
      <c r="P42" t="inlineStr">
        <is>
          <t>BEB-002</t>
        </is>
      </c>
      <c r="Q42" t="inlineStr">
        <is>
          <t>Agua purificada 1 galón</t>
        </is>
      </c>
      <c r="R42" t="inlineStr">
        <is>
          <t>Bebidas</t>
        </is>
      </c>
      <c r="S42" t="inlineStr">
        <is>
          <t>Bebidas Izalco</t>
        </is>
      </c>
      <c r="T42" t="inlineStr">
        <is>
          <t>2450-7700</t>
        </is>
      </c>
      <c r="U42" t="inlineStr">
        <is>
          <t>$1.10</t>
        </is>
      </c>
      <c r="V42" t="n">
        <v>12</v>
      </c>
      <c r="W42" t="n">
        <v>0</v>
      </c>
      <c r="X42">
        <f>IFERROR(U42*V42*(1-W42/100),"")</f>
        <v/>
      </c>
      <c r="Y42">
        <f>IFERROR(ROUND(X42*0.13,2),"")</f>
        <v/>
      </c>
      <c r="Z42">
        <f>IFERROR(X42+Y42,"")</f>
        <v/>
      </c>
      <c r="AA42" t="inlineStr">
        <is>
          <t>Chivo</t>
        </is>
      </c>
      <c r="AB42" t="inlineStr">
        <is>
          <t>precio especial autorizado por gerente</t>
        </is>
      </c>
    </row>
    <row r="43">
      <c r="A43" t="inlineStr">
        <is>
          <t>10481</t>
        </is>
      </c>
      <c r="B43" s="3" t="n">
        <v>46257</v>
      </c>
      <c r="C43" t="inlineStr">
        <is>
          <t>CCF</t>
        </is>
      </c>
      <c r="D43" t="inlineStr">
        <is>
          <t>SS01</t>
        </is>
      </c>
      <c r="E43" t="inlineStr">
        <is>
          <t>San Salvador Centro</t>
        </is>
      </c>
      <c r="F43" t="inlineStr">
        <is>
          <t>4a Calle Poniente #215</t>
        </is>
      </c>
      <c r="G43" t="inlineStr">
        <is>
          <t>San Salvador</t>
        </is>
      </c>
      <c r="H43" t="inlineStr">
        <is>
          <t>San Salvador</t>
        </is>
      </c>
      <c r="I43" t="inlineStr">
        <is>
          <t>Roberto Alfaro</t>
        </is>
      </c>
      <c r="J43" t="inlineStr">
        <is>
          <t>2221-4580</t>
        </is>
      </c>
      <c r="K43" t="inlineStr">
        <is>
          <t>José Martínez</t>
        </is>
      </c>
      <c r="L43" t="inlineStr">
        <is>
          <t>HOTEL BRISAS DEL MAR</t>
        </is>
      </c>
      <c r="M43" t="inlineStr">
        <is>
          <t>280004-0</t>
        </is>
      </c>
      <c r="N43" t="inlineStr">
        <is>
          <t>2129-2911</t>
        </is>
      </c>
      <c r="O43" t="inlineStr">
        <is>
          <t>Contribuyente</t>
        </is>
      </c>
      <c r="P43" t="inlineStr">
        <is>
          <t>PAN-003</t>
        </is>
      </c>
      <c r="Q43" t="inlineStr">
        <is>
          <t>Quesadilla salvadoreña</t>
        </is>
      </c>
      <c r="R43" t="inlineStr">
        <is>
          <t>PANADERIA</t>
        </is>
      </c>
      <c r="S43" t="inlineStr">
        <is>
          <t>Panificadora Ilopango</t>
        </is>
      </c>
      <c r="T43" t="inlineStr">
        <is>
          <t>2295-0081</t>
        </is>
      </c>
      <c r="U43" t="n">
        <v>2.5</v>
      </c>
      <c r="V43" t="n">
        <v>2</v>
      </c>
      <c r="W43" t="n">
        <v>0</v>
      </c>
      <c r="X43">
        <f>IFERROR(U43*V43*(1-W43/100),"")</f>
        <v/>
      </c>
      <c r="Y43">
        <f>IFERROR(ROUND(X43*0.13,2),"")</f>
        <v/>
      </c>
      <c r="Z43">
        <f>IFERROR(X43+Y43,"")</f>
        <v/>
      </c>
      <c r="AA43" t="inlineStr">
        <is>
          <t>Chivo</t>
        </is>
      </c>
      <c r="AB43" t="inlineStr"/>
    </row>
    <row r="44">
      <c r="A44" t="inlineStr">
        <is>
          <t>F-10481</t>
        </is>
      </c>
      <c r="B44" t="inlineStr">
        <is>
          <t>23-Aug-26</t>
        </is>
      </c>
      <c r="C44" t="inlineStr">
        <is>
          <t>CCF</t>
        </is>
      </c>
      <c r="D44" t="inlineStr">
        <is>
          <t>SS01</t>
        </is>
      </c>
      <c r="E44" t="inlineStr">
        <is>
          <t xml:space="preserve">san salvador centro </t>
        </is>
      </c>
      <c r="F44" t="inlineStr">
        <is>
          <t>4a Calle Poniente #215</t>
        </is>
      </c>
      <c r="G44" t="inlineStr">
        <is>
          <t>San Salvador</t>
        </is>
      </c>
      <c r="H44" t="inlineStr">
        <is>
          <t>San Salvador</t>
        </is>
      </c>
      <c r="I44" t="inlineStr">
        <is>
          <t>Roberto Alfaro</t>
        </is>
      </c>
      <c r="J44" t="inlineStr">
        <is>
          <t>2221-4580</t>
        </is>
      </c>
      <c r="K44" t="inlineStr">
        <is>
          <t>José Martínez</t>
        </is>
      </c>
      <c r="L44" t="inlineStr">
        <is>
          <t>Hotel Brisas del Mar</t>
        </is>
      </c>
      <c r="M44" t="inlineStr">
        <is>
          <t>280004-0</t>
        </is>
      </c>
      <c r="N44" t="inlineStr">
        <is>
          <t>2129-2911</t>
        </is>
      </c>
      <c r="O44" t="inlineStr">
        <is>
          <t>Contribuyente</t>
        </is>
      </c>
      <c r="P44" t="inlineStr">
        <is>
          <t>BEB-003</t>
        </is>
      </c>
      <c r="Q44" t="inlineStr">
        <is>
          <t>Horchata en polvo 400g</t>
        </is>
      </c>
      <c r="R44" t="inlineStr">
        <is>
          <t>Abarrotes</t>
        </is>
      </c>
      <c r="S44" t="inlineStr">
        <is>
          <t>Bebidas Izalco</t>
        </is>
      </c>
      <c r="T44" t="inlineStr">
        <is>
          <t>2450-7700</t>
        </is>
      </c>
      <c r="U44" t="n">
        <v>2.6</v>
      </c>
      <c r="V44" t="n">
        <v>2</v>
      </c>
      <c r="W44" t="n">
        <v>0</v>
      </c>
      <c r="X44">
        <f>IFERROR(U44*V44*(1-W44/100),"")</f>
        <v/>
      </c>
      <c r="Y44">
        <f>IFERROR(ROUND(X44*0.13,2),"")</f>
        <v/>
      </c>
      <c r="Z44">
        <f>IFERROR(X44+Y44,"")</f>
        <v/>
      </c>
      <c r="AA44" t="inlineStr">
        <is>
          <t>Chivo</t>
        </is>
      </c>
      <c r="AB44" t="inlineStr">
        <is>
          <t>entregar en bodega</t>
        </is>
      </c>
    </row>
    <row r="45">
      <c r="A45" t="inlineStr">
        <is>
          <t>F-10481</t>
        </is>
      </c>
      <c r="B45" s="3" t="n">
        <v>46257</v>
      </c>
      <c r="C45" t="inlineStr">
        <is>
          <t>CCF</t>
        </is>
      </c>
      <c r="D45" t="inlineStr">
        <is>
          <t>SS01</t>
        </is>
      </c>
      <c r="E45" t="inlineStr">
        <is>
          <t>SAN SALVADOR CENTRO</t>
        </is>
      </c>
      <c r="F45" t="inlineStr">
        <is>
          <t>4a Calle Poniente #215</t>
        </is>
      </c>
      <c r="G45" t="inlineStr">
        <is>
          <t>San Salvador</t>
        </is>
      </c>
      <c r="H45" t="inlineStr">
        <is>
          <t>San Salvador</t>
        </is>
      </c>
      <c r="I45" t="inlineStr">
        <is>
          <t>Roberto Alfaro</t>
        </is>
      </c>
      <c r="J45" t="inlineStr">
        <is>
          <t>2221-4580</t>
        </is>
      </c>
      <c r="K45" t="inlineStr">
        <is>
          <t>José Martínez</t>
        </is>
      </c>
      <c r="L45" t="inlineStr">
        <is>
          <t>Hotel Brisas del Mar</t>
        </is>
      </c>
      <c r="M45" t="inlineStr">
        <is>
          <t>280004-0</t>
        </is>
      </c>
      <c r="N45" t="inlineStr">
        <is>
          <t>2129-2911</t>
        </is>
      </c>
      <c r="O45" t="inlineStr">
        <is>
          <t>Contribuyente</t>
        </is>
      </c>
      <c r="P45" t="inlineStr">
        <is>
          <t>HAR-001</t>
        </is>
      </c>
      <c r="Q45" t="inlineStr">
        <is>
          <t>Harina de maíz 2lb</t>
        </is>
      </c>
      <c r="R45" t="inlineStr">
        <is>
          <t>Abarrotes</t>
        </is>
      </c>
      <c r="S45" t="inlineStr">
        <is>
          <t>Granos del Pacífico</t>
        </is>
      </c>
      <c r="T45" t="inlineStr">
        <is>
          <t>2234-8890</t>
        </is>
      </c>
      <c r="U45" t="n">
        <v>1.35</v>
      </c>
      <c r="V45" t="n">
        <v>1</v>
      </c>
      <c r="W45" t="n">
        <v>0</v>
      </c>
      <c r="X45">
        <f>IFERROR(U45*V45*(1-W45/100),"")</f>
        <v/>
      </c>
      <c r="Y45">
        <f>IFERROR(ROUND(X45*0.13,2),"")</f>
        <v/>
      </c>
      <c r="Z45">
        <f>IFERROR(X45+Y45,"")</f>
        <v/>
      </c>
      <c r="AA45" t="inlineStr">
        <is>
          <t>Chivo</t>
        </is>
      </c>
      <c r="AB45" t="inlineStr">
        <is>
          <t>Llamar al 7788-1234 antes de entregar</t>
        </is>
      </c>
    </row>
    <row r="46">
      <c r="A46" t="inlineStr">
        <is>
          <t>F-10484</t>
        </is>
      </c>
      <c r="B46" s="3" t="n">
        <v>46265</v>
      </c>
      <c r="C46" t="inlineStr">
        <is>
          <t>Factura</t>
        </is>
      </c>
      <c r="D46" t="inlineStr">
        <is>
          <t>SS02</t>
        </is>
      </c>
      <c r="E46" t="inlineStr">
        <is>
          <t>Escalón</t>
        </is>
      </c>
      <c r="F46" t="inlineStr">
        <is>
          <t>Paseo General Escalón #3910</t>
        </is>
      </c>
      <c r="G46" t="inlineStr">
        <is>
          <t>San Salvador</t>
        </is>
      </c>
      <c r="H46" t="inlineStr">
        <is>
          <t>San Salvador</t>
        </is>
      </c>
      <c r="I46" t="inlineStr">
        <is>
          <t>Claudia Menjívar</t>
        </is>
      </c>
      <c r="J46" t="inlineStr">
        <is>
          <t>2264-1190</t>
        </is>
      </c>
      <c r="K46" t="inlineStr">
        <is>
          <t>Fátima Rosales</t>
        </is>
      </c>
      <c r="L46" t="inlineStr">
        <is>
          <t>Héctor Hernández Quintanilla</t>
        </is>
      </c>
      <c r="M46" t="inlineStr">
        <is>
          <t>05302669-9</t>
        </is>
      </c>
      <c r="N46" t="inlineStr">
        <is>
          <t>2708-8580</t>
        </is>
      </c>
      <c r="O46" t="inlineStr">
        <is>
          <t>Consumidor final</t>
        </is>
      </c>
      <c r="P46" t="inlineStr">
        <is>
          <t>CAF-001</t>
        </is>
      </c>
      <c r="Q46" t="inlineStr">
        <is>
          <t>Café molido 400g</t>
        </is>
      </c>
      <c r="R46" t="inlineStr">
        <is>
          <t>Abarrotes</t>
        </is>
      </c>
      <c r="S46" t="inlineStr">
        <is>
          <t>Café Volcán S.A.</t>
        </is>
      </c>
      <c r="T46" t="inlineStr">
        <is>
          <t>2510-3344</t>
        </is>
      </c>
      <c r="U46" t="n">
        <v>4.25</v>
      </c>
      <c r="V46" t="n">
        <v>24</v>
      </c>
      <c r="W46" t="n">
        <v>0</v>
      </c>
      <c r="X46">
        <f>IFERROR(U46*V46*(1-W46/100),"")</f>
        <v/>
      </c>
      <c r="Y46">
        <f>IFERROR(ROUND(X46*0.13,2),"")</f>
        <v/>
      </c>
      <c r="Z46">
        <f>IFERROR(X46+Y46,"")</f>
        <v/>
      </c>
      <c r="AA46" t="inlineStr">
        <is>
          <t>Tarjeta</t>
        </is>
      </c>
      <c r="AB46" t="inlineStr">
        <is>
          <t>Llamar al 7788-1234 antes de entregar</t>
        </is>
      </c>
    </row>
    <row r="47">
      <c r="A47" t="inlineStr">
        <is>
          <t>F-10484</t>
        </is>
      </c>
      <c r="B47" s="3" t="n">
        <v>46265</v>
      </c>
      <c r="C47" t="inlineStr">
        <is>
          <t>Factura</t>
        </is>
      </c>
      <c r="D47" t="inlineStr">
        <is>
          <t>SS02</t>
        </is>
      </c>
      <c r="E47" t="inlineStr">
        <is>
          <t>Escalón</t>
        </is>
      </c>
      <c r="F47" t="inlineStr">
        <is>
          <t>Paseo General Escalón #3910</t>
        </is>
      </c>
      <c r="G47" t="inlineStr">
        <is>
          <t>San Salvador</t>
        </is>
      </c>
      <c r="H47" t="inlineStr">
        <is>
          <t>San Salvador</t>
        </is>
      </c>
      <c r="I47" t="inlineStr">
        <is>
          <t>Claudia Menjívar</t>
        </is>
      </c>
      <c r="J47" t="inlineStr">
        <is>
          <t>2264-1190</t>
        </is>
      </c>
      <c r="K47" t="inlineStr">
        <is>
          <t>Fátima Rosales</t>
        </is>
      </c>
      <c r="L47" t="inlineStr">
        <is>
          <t>Héctor Hernández Quintanilla</t>
        </is>
      </c>
      <c r="M47" t="inlineStr">
        <is>
          <t>05302669-9</t>
        </is>
      </c>
      <c r="N47" t="inlineStr">
        <is>
          <t>2708-8580</t>
        </is>
      </c>
      <c r="O47" t="inlineStr">
        <is>
          <t>Consumidor final</t>
        </is>
      </c>
      <c r="P47" t="inlineStr">
        <is>
          <t>PAN-001</t>
        </is>
      </c>
      <c r="Q47" t="inlineStr">
        <is>
          <t>Pan francés bolsa 10u</t>
        </is>
      </c>
      <c r="R47" t="inlineStr">
        <is>
          <t>Panadería</t>
        </is>
      </c>
      <c r="S47" t="inlineStr">
        <is>
          <t>Panificadora Ilopango</t>
        </is>
      </c>
      <c r="T47" t="inlineStr">
        <is>
          <t>2295-0081</t>
        </is>
      </c>
      <c r="U47" t="n">
        <v>1</v>
      </c>
      <c r="V47" t="n">
        <v>1</v>
      </c>
      <c r="W47" t="n">
        <v>0</v>
      </c>
      <c r="X47">
        <f>IFERROR(U47*V47*(1-W47/100),"")</f>
        <v/>
      </c>
      <c r="Y47">
        <f>IFERROR(ROUND(X47*0.13,2),"")</f>
        <v/>
      </c>
      <c r="Z47">
        <f>IFERROR(X47+Y47,"")</f>
        <v/>
      </c>
      <c r="AA47" t="inlineStr">
        <is>
          <t>Tarjeta</t>
        </is>
      </c>
      <c r="AB47" t="inlineStr">
        <is>
          <t>Cliente frecuente</t>
        </is>
      </c>
    </row>
    <row r="48">
      <c r="A48" t="inlineStr">
        <is>
          <t>F-10486</t>
        </is>
      </c>
      <c r="B48" s="3" t="n">
        <v>46236</v>
      </c>
      <c r="C48" t="inlineStr">
        <is>
          <t>Factura</t>
        </is>
      </c>
      <c r="D48" t="inlineStr">
        <is>
          <t>SO01</t>
        </is>
      </c>
      <c r="E48" t="inlineStr">
        <is>
          <t>Sonsonate</t>
        </is>
      </c>
      <c r="F48" t="inlineStr">
        <is>
          <t>Calle Obispo Marroquín #3</t>
        </is>
      </c>
      <c r="G48" t="inlineStr">
        <is>
          <t>Sonsonate</t>
        </is>
      </c>
      <c r="H48" t="inlineStr">
        <is>
          <t>Sonsonate</t>
        </is>
      </c>
      <c r="I48" t="inlineStr">
        <is>
          <t>Ernesto Chávez</t>
        </is>
      </c>
      <c r="J48" t="inlineStr">
        <is>
          <t>2451-2288</t>
        </is>
      </c>
      <c r="K48" t="inlineStr">
        <is>
          <t>Ricardo Funes</t>
        </is>
      </c>
      <c r="L48" t="inlineStr">
        <is>
          <t>Patricia García Martínez</t>
        </is>
      </c>
      <c r="M48" t="inlineStr">
        <is>
          <t>02380558-6</t>
        </is>
      </c>
      <c r="N48" t="inlineStr">
        <is>
          <t>6660-5283</t>
        </is>
      </c>
      <c r="O48" t="inlineStr">
        <is>
          <t>Consumidor final</t>
        </is>
      </c>
      <c r="P48" t="inlineStr">
        <is>
          <t>BEB-001</t>
        </is>
      </c>
      <c r="Q48" t="inlineStr">
        <is>
          <t>Gaseosa 2.5L</t>
        </is>
      </c>
      <c r="R48" t="inlineStr">
        <is>
          <t>bebidas</t>
        </is>
      </c>
      <c r="S48" t="inlineStr">
        <is>
          <t>Bebidas Izalco</t>
        </is>
      </c>
      <c r="T48" t="inlineStr">
        <is>
          <t>2450-7700</t>
        </is>
      </c>
      <c r="U48" t="n">
        <v>1.95</v>
      </c>
      <c r="V48" t="n">
        <v>2</v>
      </c>
      <c r="W48" t="n">
        <v>0</v>
      </c>
      <c r="X48">
        <f>IFERROR(U48*V48*(1-W48/100),"")</f>
        <v/>
      </c>
      <c r="Y48">
        <f>IFERROR(ROUND(X48*0.13,2),"")</f>
        <v/>
      </c>
      <c r="Z48">
        <f>IFERROR(X48+Y48,"")</f>
        <v/>
      </c>
      <c r="AA48" t="inlineStr">
        <is>
          <t>Efectivo</t>
        </is>
      </c>
      <c r="AB48" t="inlineStr">
        <is>
          <t>Llamar al 7788-1234 antes de entregar</t>
        </is>
      </c>
    </row>
    <row r="49">
      <c r="A49" t="inlineStr">
        <is>
          <t>F-10486</t>
        </is>
      </c>
      <c r="B49" s="3" t="n">
        <v>46236</v>
      </c>
      <c r="C49" t="inlineStr">
        <is>
          <t>Factura</t>
        </is>
      </c>
      <c r="D49" t="inlineStr">
        <is>
          <t>SO01</t>
        </is>
      </c>
      <c r="E49" t="inlineStr">
        <is>
          <t>SONSONATE</t>
        </is>
      </c>
      <c r="F49" t="inlineStr">
        <is>
          <t>Calle Obispo Marroquín #3</t>
        </is>
      </c>
      <c r="G49" t="inlineStr">
        <is>
          <t>Sonsonate</t>
        </is>
      </c>
      <c r="H49" t="inlineStr">
        <is>
          <t>Sonsonate</t>
        </is>
      </c>
      <c r="I49" t="inlineStr">
        <is>
          <t>Ernesto Chávez</t>
        </is>
      </c>
      <c r="J49" t="inlineStr">
        <is>
          <t>2451-2288</t>
        </is>
      </c>
      <c r="K49" t="inlineStr">
        <is>
          <t>Ricardo Funes</t>
        </is>
      </c>
      <c r="L49" t="inlineStr">
        <is>
          <t>Patricia García Martínez</t>
        </is>
      </c>
      <c r="M49" t="inlineStr">
        <is>
          <t>02380558-6</t>
        </is>
      </c>
      <c r="N49" t="inlineStr">
        <is>
          <t>6660-5283</t>
        </is>
      </c>
      <c r="O49" t="inlineStr">
        <is>
          <t>Consumidor final</t>
        </is>
      </c>
      <c r="P49" t="inlineStr">
        <is>
          <t>LAC-001</t>
        </is>
      </c>
      <c r="Q49" t="inlineStr">
        <is>
          <t>Quesillo 1lb</t>
        </is>
      </c>
      <c r="R49" t="inlineStr">
        <is>
          <t>LACTEOS</t>
        </is>
      </c>
      <c r="S49" t="inlineStr">
        <is>
          <t>Lácteos Chalate</t>
        </is>
      </c>
      <c r="T49" t="inlineStr">
        <is>
          <t>2335-1020</t>
        </is>
      </c>
      <c r="U49" t="n">
        <v>3.8</v>
      </c>
      <c r="V49" t="n">
        <v>6</v>
      </c>
      <c r="W49" t="n">
        <v>0</v>
      </c>
      <c r="X49">
        <f>IFERROR(U49*V49*(1-W49/100),"")</f>
        <v/>
      </c>
      <c r="Y49">
        <f>IFERROR(ROUND(X49*0.13,2),"")</f>
        <v/>
      </c>
      <c r="Z49">
        <f>IFERROR(X49+Y49,"")</f>
        <v/>
      </c>
      <c r="AA49" t="inlineStr">
        <is>
          <t>Efectivo</t>
        </is>
      </c>
      <c r="AB49" t="inlineStr"/>
    </row>
    <row r="50">
      <c r="A50" t="inlineStr">
        <is>
          <t>F-10486</t>
        </is>
      </c>
      <c r="B50" t="inlineStr">
        <is>
          <t>02/08/2026</t>
        </is>
      </c>
      <c r="C50" t="inlineStr">
        <is>
          <t>Factura</t>
        </is>
      </c>
      <c r="D50" t="inlineStr">
        <is>
          <t>SO01</t>
        </is>
      </c>
      <c r="E50" t="inlineStr">
        <is>
          <t>Sonsonate</t>
        </is>
      </c>
      <c r="F50" t="inlineStr">
        <is>
          <t>Calle Obispo Marroquín #3</t>
        </is>
      </c>
      <c r="G50" t="inlineStr">
        <is>
          <t>Sonsonate</t>
        </is>
      </c>
      <c r="H50" t="inlineStr">
        <is>
          <t>Sonsonate</t>
        </is>
      </c>
      <c r="I50" t="inlineStr">
        <is>
          <t>Ernesto Chávez</t>
        </is>
      </c>
      <c r="J50" t="inlineStr">
        <is>
          <t>2451-2288</t>
        </is>
      </c>
      <c r="K50" t="inlineStr">
        <is>
          <t>Ricardo Funes</t>
        </is>
      </c>
      <c r="L50" t="inlineStr">
        <is>
          <t>PATRICIA GARCÍA MARTÍNEZ</t>
        </is>
      </c>
      <c r="M50" t="inlineStr">
        <is>
          <t>02380558-6</t>
        </is>
      </c>
      <c r="N50" t="inlineStr">
        <is>
          <t>6660-5283</t>
        </is>
      </c>
      <c r="O50" t="inlineStr">
        <is>
          <t>Consumidor final</t>
        </is>
      </c>
      <c r="P50" t="inlineStr">
        <is>
          <t>CAF-002</t>
        </is>
      </c>
      <c r="Q50" t="inlineStr">
        <is>
          <t>Café en grano 1lb</t>
        </is>
      </c>
      <c r="R50" t="inlineStr">
        <is>
          <t>Abarrotes</t>
        </is>
      </c>
      <c r="S50" t="inlineStr">
        <is>
          <t>Café Volcán S.A.</t>
        </is>
      </c>
      <c r="T50" t="inlineStr">
        <is>
          <t>2510-3344</t>
        </is>
      </c>
      <c r="U50" t="n">
        <v>6.75</v>
      </c>
      <c r="V50" t="n">
        <v>4</v>
      </c>
      <c r="W50" t="n">
        <v>0</v>
      </c>
      <c r="X50">
        <f>IFERROR(U50*V50*(1-W50/100),"")</f>
        <v/>
      </c>
      <c r="Y50">
        <f>IFERROR(ROUND(X50*0.13,2),"")</f>
        <v/>
      </c>
      <c r="Z50">
        <f>IFERROR(X50+Y50,"")</f>
        <v/>
      </c>
      <c r="AA50" t="inlineStr">
        <is>
          <t>Efectivo</t>
        </is>
      </c>
      <c r="AB50" t="inlineStr"/>
    </row>
    <row r="51">
      <c r="A51" t="inlineStr">
        <is>
          <t>F-10486</t>
        </is>
      </c>
      <c r="B51" s="3" t="n">
        <v>46236</v>
      </c>
      <c r="C51" t="inlineStr">
        <is>
          <t>Factura</t>
        </is>
      </c>
      <c r="D51" t="inlineStr">
        <is>
          <t>SO01</t>
        </is>
      </c>
      <c r="E51" t="inlineStr">
        <is>
          <t>SONSONATE</t>
        </is>
      </c>
      <c r="F51" t="inlineStr">
        <is>
          <t>Calle Obispo Marroquín #3</t>
        </is>
      </c>
      <c r="G51" t="inlineStr">
        <is>
          <t>Sonsonate</t>
        </is>
      </c>
      <c r="H51" t="inlineStr">
        <is>
          <t>Sonsonate</t>
        </is>
      </c>
      <c r="I51" t="inlineStr">
        <is>
          <t>Ernesto Chávez</t>
        </is>
      </c>
      <c r="J51" t="inlineStr">
        <is>
          <t>2451-2288</t>
        </is>
      </c>
      <c r="K51" t="inlineStr">
        <is>
          <t>Ricardo Funes</t>
        </is>
      </c>
      <c r="L51" t="inlineStr">
        <is>
          <t>Patricia García Martínez</t>
        </is>
      </c>
      <c r="M51" t="inlineStr"/>
      <c r="N51" t="inlineStr">
        <is>
          <t>6660-5283</t>
        </is>
      </c>
      <c r="O51" t="inlineStr">
        <is>
          <t>Consumidor final</t>
        </is>
      </c>
      <c r="P51" t="inlineStr">
        <is>
          <t>HIG-002</t>
        </is>
      </c>
      <c r="Q51" t="inlineStr">
        <is>
          <t>Papel higiénico 4 rollos</t>
        </is>
      </c>
      <c r="R51" t="inlineStr">
        <is>
          <t>Limpieza</t>
        </is>
      </c>
      <c r="S51" t="inlineStr">
        <is>
          <t>Higiene Total C.A.</t>
        </is>
      </c>
      <c r="T51" t="inlineStr">
        <is>
          <t>2207-5566</t>
        </is>
      </c>
      <c r="U51" t="n">
        <v>2.15</v>
      </c>
      <c r="V51" t="n">
        <v>1</v>
      </c>
      <c r="W51" t="n">
        <v>0</v>
      </c>
      <c r="X51">
        <f>IFERROR(U51*V51*(1-W51/100),"")</f>
        <v/>
      </c>
      <c r="Y51">
        <f>IFERROR(ROUND(X51*0.13,2),"")</f>
        <v/>
      </c>
      <c r="Z51">
        <f>IFERROR(X51+Y51,"")</f>
        <v/>
      </c>
      <c r="AA51" t="inlineStr">
        <is>
          <t>Efectivo</t>
        </is>
      </c>
      <c r="AB51" t="inlineStr"/>
    </row>
    <row r="52">
      <c r="A52" t="inlineStr">
        <is>
          <t>F-10488</t>
        </is>
      </c>
      <c r="B52" s="3" t="n">
        <v>46212</v>
      </c>
      <c r="C52" t="inlineStr">
        <is>
          <t>CCF</t>
        </is>
      </c>
      <c r="D52" t="inlineStr"/>
      <c r="E52" t="inlineStr">
        <is>
          <t>San Miguel</t>
        </is>
      </c>
      <c r="F52" t="inlineStr">
        <is>
          <t>Av. Roosevelt Sur #7</t>
        </is>
      </c>
      <c r="G52" t="inlineStr">
        <is>
          <t>San Miguel</t>
        </is>
      </c>
      <c r="H52" t="inlineStr">
        <is>
          <t>San Miguel</t>
        </is>
      </c>
      <c r="I52" t="inlineStr">
        <is>
          <t>Iris Portillo</t>
        </is>
      </c>
      <c r="J52" t="inlineStr">
        <is>
          <t>2661-5076</t>
        </is>
      </c>
      <c r="K52" t="inlineStr">
        <is>
          <t>Paola Cruz</t>
        </is>
      </c>
      <c r="L52" t="inlineStr">
        <is>
          <t>Hotel Brisas del Mar</t>
        </is>
      </c>
      <c r="M52" t="inlineStr">
        <is>
          <t>280004-0</t>
        </is>
      </c>
      <c r="N52" t="inlineStr">
        <is>
          <t>2129-2911</t>
        </is>
      </c>
      <c r="O52" t="inlineStr">
        <is>
          <t>Contribuyente</t>
        </is>
      </c>
      <c r="P52" t="inlineStr">
        <is>
          <t>PAN-002</t>
        </is>
      </c>
      <c r="Q52" t="inlineStr">
        <is>
          <t>Semita alta</t>
        </is>
      </c>
      <c r="R52" t="inlineStr">
        <is>
          <t>Panadería</t>
        </is>
      </c>
      <c r="S52" t="inlineStr">
        <is>
          <t>Panificadora Ilopango</t>
        </is>
      </c>
      <c r="T52" t="inlineStr">
        <is>
          <t>2295-0081</t>
        </is>
      </c>
      <c r="U52" t="inlineStr">
        <is>
          <t>$1.75</t>
        </is>
      </c>
      <c r="V52" t="n">
        <v>1</v>
      </c>
      <c r="W52" t="n">
        <v>5</v>
      </c>
      <c r="X52">
        <f>IFERROR(U52*V52*(1-W52/100),"")</f>
        <v/>
      </c>
      <c r="Y52">
        <f>IFERROR(ROUND(X52*0.13,2),"")</f>
        <v/>
      </c>
      <c r="Z52">
        <f>IFERROR(X52+Y52,"")</f>
        <v/>
      </c>
      <c r="AA52" t="inlineStr">
        <is>
          <t>Chivo</t>
        </is>
      </c>
      <c r="AB52" t="inlineStr"/>
    </row>
    <row r="53">
      <c r="A53" t="inlineStr">
        <is>
          <t>F-10491</t>
        </is>
      </c>
      <c r="B53" s="3" t="n">
        <v>46280</v>
      </c>
      <c r="C53" t="inlineStr">
        <is>
          <t>Factura</t>
        </is>
      </c>
      <c r="D53" t="inlineStr">
        <is>
          <t>SS02</t>
        </is>
      </c>
      <c r="E53" t="inlineStr">
        <is>
          <t>Col. Escalón</t>
        </is>
      </c>
      <c r="F53" t="inlineStr">
        <is>
          <t>Paseo General Escalón #3910</t>
        </is>
      </c>
      <c r="G53" t="inlineStr">
        <is>
          <t>San Salvador</t>
        </is>
      </c>
      <c r="H53" t="inlineStr">
        <is>
          <t>San Salvador</t>
        </is>
      </c>
      <c r="I53" t="inlineStr">
        <is>
          <t>Claudia Menjívar</t>
        </is>
      </c>
      <c r="J53" t="inlineStr">
        <is>
          <t>2264-1190</t>
        </is>
      </c>
      <c r="K53" t="inlineStr">
        <is>
          <t>Kevin Benítez</t>
        </is>
      </c>
      <c r="L53" t="inlineStr">
        <is>
          <t>Carlos García Cornejo</t>
        </is>
      </c>
      <c r="M53" t="inlineStr">
        <is>
          <t>09671747-5</t>
        </is>
      </c>
      <c r="N53" t="inlineStr">
        <is>
          <t>6898-8471</t>
        </is>
      </c>
      <c r="O53" t="inlineStr">
        <is>
          <t>Consumidor final</t>
        </is>
      </c>
      <c r="P53" t="inlineStr">
        <is>
          <t>LAC-003</t>
        </is>
      </c>
      <c r="Q53" t="inlineStr">
        <is>
          <t>Leche entera 1L</t>
        </is>
      </c>
      <c r="R53" t="inlineStr">
        <is>
          <t>Lácteos</t>
        </is>
      </c>
      <c r="S53" t="inlineStr">
        <is>
          <t>Lácteos Chalate</t>
        </is>
      </c>
      <c r="T53" t="inlineStr">
        <is>
          <t>2335-1020</t>
        </is>
      </c>
      <c r="U53" t="n">
        <v>1.2</v>
      </c>
      <c r="V53" t="n">
        <v>1</v>
      </c>
      <c r="W53" t="n">
        <v>0</v>
      </c>
      <c r="X53">
        <f>IFERROR(U53*V53*(1-W53/100),"")</f>
        <v/>
      </c>
      <c r="Y53">
        <f>IFERROR(ROUND(X53*0.13,2),"")</f>
        <v/>
      </c>
      <c r="Z53">
        <f>IFERROR(X53+Y53,"")</f>
        <v/>
      </c>
      <c r="AA53" t="inlineStr">
        <is>
          <t>Efectivo</t>
        </is>
      </c>
      <c r="AB53" t="inlineStr">
        <is>
          <t>Llamar al 7788-1234 antes de entregar</t>
        </is>
      </c>
    </row>
    <row r="54">
      <c r="A54" t="inlineStr">
        <is>
          <t>F-10491</t>
        </is>
      </c>
      <c r="B54" s="3" t="n">
        <v>46280</v>
      </c>
      <c r="C54" t="inlineStr">
        <is>
          <t>Factura</t>
        </is>
      </c>
      <c r="D54" t="inlineStr">
        <is>
          <t>SS02</t>
        </is>
      </c>
      <c r="E54" t="inlineStr">
        <is>
          <t>Col. Escalón</t>
        </is>
      </c>
      <c r="F54" t="inlineStr">
        <is>
          <t>Paseo General Escalón #3910</t>
        </is>
      </c>
      <c r="G54" t="inlineStr">
        <is>
          <t>San Salvador</t>
        </is>
      </c>
      <c r="H54" t="inlineStr">
        <is>
          <t>San Salvador</t>
        </is>
      </c>
      <c r="I54" t="inlineStr">
        <is>
          <t>Claudia Menjívar</t>
        </is>
      </c>
      <c r="J54" t="inlineStr">
        <is>
          <t>2264-1190</t>
        </is>
      </c>
      <c r="K54" t="inlineStr">
        <is>
          <t>Kevin Benítez</t>
        </is>
      </c>
      <c r="L54" t="inlineStr">
        <is>
          <t>Carlos García Cornejo</t>
        </is>
      </c>
      <c r="M54" t="inlineStr">
        <is>
          <t>09671747-5</t>
        </is>
      </c>
      <c r="N54" t="inlineStr">
        <is>
          <t>6898-8471</t>
        </is>
      </c>
      <c r="O54" t="inlineStr">
        <is>
          <t>Consumidor final</t>
        </is>
      </c>
      <c r="P54" t="inlineStr">
        <is>
          <t>PAN-002</t>
        </is>
      </c>
      <c r="Q54" t="inlineStr">
        <is>
          <t>Semita alta</t>
        </is>
      </c>
      <c r="R54" t="inlineStr">
        <is>
          <t>Panadería</t>
        </is>
      </c>
      <c r="S54" t="inlineStr">
        <is>
          <t>Panificadora Ilopango</t>
        </is>
      </c>
      <c r="T54" t="inlineStr">
        <is>
          <t>2295-0081</t>
        </is>
      </c>
      <c r="U54" t="n">
        <v>1.75</v>
      </c>
      <c r="V54" t="n">
        <v>6</v>
      </c>
      <c r="W54" t="n">
        <v>0</v>
      </c>
      <c r="X54">
        <f>IFERROR(U54*V54*(1-W54/100),"")</f>
        <v/>
      </c>
      <c r="Y54">
        <f>IFERROR(ROUND(X54*0.13,2),"")</f>
        <v/>
      </c>
      <c r="Z54">
        <f>IFERROR(X54+Y54,"")</f>
        <v/>
      </c>
      <c r="AA54" t="inlineStr">
        <is>
          <t>Efectivo</t>
        </is>
      </c>
      <c r="AB54" t="inlineStr"/>
    </row>
    <row r="55">
      <c r="A55" t="inlineStr">
        <is>
          <t>F-10494</t>
        </is>
      </c>
      <c r="B55" s="3" t="n">
        <v>46253</v>
      </c>
      <c r="C55" t="inlineStr">
        <is>
          <t>Factura</t>
        </is>
      </c>
      <c r="D55" t="inlineStr">
        <is>
          <t>SA01</t>
        </is>
      </c>
      <c r="E55" t="inlineStr">
        <is>
          <t>Santa  Ana</t>
        </is>
      </c>
      <c r="F55" t="inlineStr">
        <is>
          <t>Av. Independencia Sur #12</t>
        </is>
      </c>
      <c r="G55" t="inlineStr">
        <is>
          <t>Santa Ana</t>
        </is>
      </c>
      <c r="H55" t="inlineStr">
        <is>
          <t>Santa Ana</t>
        </is>
      </c>
      <c r="I55" t="inlineStr">
        <is>
          <t>Mauricio Linares</t>
        </is>
      </c>
      <c r="J55" t="inlineStr">
        <is>
          <t>2440-9921</t>
        </is>
      </c>
      <c r="K55" t="inlineStr">
        <is>
          <t>Sofía Cáceres</t>
        </is>
      </c>
      <c r="L55" t="inlineStr">
        <is>
          <t>José Cornejo Hernández</t>
        </is>
      </c>
      <c r="M55" t="inlineStr">
        <is>
          <t>07580296-3</t>
        </is>
      </c>
      <c r="N55" t="inlineStr">
        <is>
          <t>6828-1335</t>
        </is>
      </c>
      <c r="O55" t="inlineStr">
        <is>
          <t>Consumidor final</t>
        </is>
      </c>
      <c r="P55" t="inlineStr">
        <is>
          <t>PAN-002</t>
        </is>
      </c>
      <c r="Q55" t="inlineStr">
        <is>
          <t>Semita alta</t>
        </is>
      </c>
      <c r="R55" t="inlineStr">
        <is>
          <t>Panadería</t>
        </is>
      </c>
      <c r="S55" t="inlineStr">
        <is>
          <t>Panificadora Ilopango</t>
        </is>
      </c>
      <c r="T55" t="inlineStr">
        <is>
          <t>2295-0081</t>
        </is>
      </c>
      <c r="U55" t="n">
        <v>1.75</v>
      </c>
      <c r="V55" t="n">
        <v>-1</v>
      </c>
      <c r="W55" t="n">
        <v>0</v>
      </c>
      <c r="X55">
        <f>IFERROR(U55*V55*(1-W55/100),"")</f>
        <v/>
      </c>
      <c r="Y55">
        <f>IFERROR(ROUND(X55*0.13,2),"")</f>
        <v/>
      </c>
      <c r="Z55">
        <f>IFERROR(X55+Y55,"")</f>
        <v/>
      </c>
      <c r="AA55" t="inlineStr">
        <is>
          <t>Efectivo</t>
        </is>
      </c>
      <c r="AB55" t="inlineStr"/>
    </row>
    <row r="56">
      <c r="A56" t="inlineStr">
        <is>
          <t>F-10494</t>
        </is>
      </c>
      <c r="B56" s="3" t="n">
        <v>46253</v>
      </c>
      <c r="C56" t="inlineStr">
        <is>
          <t>Factura</t>
        </is>
      </c>
      <c r="D56" t="inlineStr">
        <is>
          <t>SA01</t>
        </is>
      </c>
      <c r="E56" t="inlineStr">
        <is>
          <t>Santa  Ana</t>
        </is>
      </c>
      <c r="F56" t="inlineStr">
        <is>
          <t>Av. Independencia Sur #12</t>
        </is>
      </c>
      <c r="G56" t="inlineStr">
        <is>
          <t>Santa Ana</t>
        </is>
      </c>
      <c r="H56" t="inlineStr">
        <is>
          <t>Santa Ana</t>
        </is>
      </c>
      <c r="I56" t="inlineStr">
        <is>
          <t>Mauricio Linares</t>
        </is>
      </c>
      <c r="J56" t="inlineStr">
        <is>
          <t>2440-9921</t>
        </is>
      </c>
      <c r="K56" t="inlineStr">
        <is>
          <t>Sofía Cáceres</t>
        </is>
      </c>
      <c r="L56" t="inlineStr">
        <is>
          <t>José Cornejo Hernández</t>
        </is>
      </c>
      <c r="M56" t="inlineStr"/>
      <c r="N56" t="inlineStr">
        <is>
          <t>6828-1335</t>
        </is>
      </c>
      <c r="O56" t="inlineStr">
        <is>
          <t>Consumidor final</t>
        </is>
      </c>
      <c r="P56" t="inlineStr">
        <is>
          <t>PAN-003</t>
        </is>
      </c>
      <c r="Q56" t="inlineStr">
        <is>
          <t>Quesadilla salvadoreña</t>
        </is>
      </c>
      <c r="R56" t="inlineStr">
        <is>
          <t>Panadería</t>
        </is>
      </c>
      <c r="S56" t="inlineStr">
        <is>
          <t>Panificadora Ilopango</t>
        </is>
      </c>
      <c r="T56" t="inlineStr">
        <is>
          <t>2295-0081</t>
        </is>
      </c>
      <c r="U56" t="n">
        <v>2.5</v>
      </c>
      <c r="V56" t="n">
        <v>4</v>
      </c>
      <c r="W56" t="n">
        <v>0</v>
      </c>
      <c r="X56">
        <f>IFERROR(U56*V56*(1-W56/100),"")</f>
        <v/>
      </c>
      <c r="Y56">
        <f>IFERROR(ROUND(X56*0.13,2),"")</f>
        <v/>
      </c>
      <c r="Z56">
        <f>IFERROR(X56+Y56,"")</f>
        <v/>
      </c>
      <c r="AA56" t="inlineStr">
        <is>
          <t>Efectivo</t>
        </is>
      </c>
      <c r="AB56" t="inlineStr">
        <is>
          <t>Llamar al 7788-1234 antes de entregar</t>
        </is>
      </c>
    </row>
    <row r="57">
      <c r="A57" t="inlineStr">
        <is>
          <t>F-10494</t>
        </is>
      </c>
      <c r="B57" t="inlineStr">
        <is>
          <t>19/08/2026</t>
        </is>
      </c>
      <c r="C57" t="inlineStr">
        <is>
          <t>Factura</t>
        </is>
      </c>
      <c r="D57" t="inlineStr">
        <is>
          <t>SA01</t>
        </is>
      </c>
      <c r="E57" t="inlineStr">
        <is>
          <t>Santa  Ana</t>
        </is>
      </c>
      <c r="F57" t="inlineStr">
        <is>
          <t>Av. Independencia Sur #12</t>
        </is>
      </c>
      <c r="G57" t="inlineStr">
        <is>
          <t>Santa Ana</t>
        </is>
      </c>
      <c r="H57" t="inlineStr">
        <is>
          <t>Santa Ana</t>
        </is>
      </c>
      <c r="I57" t="inlineStr">
        <is>
          <t>Mauricio Linares</t>
        </is>
      </c>
      <c r="J57" t="inlineStr">
        <is>
          <t>2440-9921</t>
        </is>
      </c>
      <c r="K57" t="inlineStr">
        <is>
          <t>Sofía Cáceres</t>
        </is>
      </c>
      <c r="L57" t="inlineStr">
        <is>
          <t>José Cornejo Hernández</t>
        </is>
      </c>
      <c r="M57" t="inlineStr">
        <is>
          <t>07580296-3</t>
        </is>
      </c>
      <c r="N57" t="inlineStr">
        <is>
          <t>6828-1335</t>
        </is>
      </c>
      <c r="O57" t="inlineStr">
        <is>
          <t>Consumidor final</t>
        </is>
      </c>
      <c r="P57" t="inlineStr">
        <is>
          <t>AZU-001</t>
        </is>
      </c>
      <c r="Q57" t="inlineStr">
        <is>
          <t>Azúcar blanca 2.5kg</t>
        </is>
      </c>
      <c r="R57" t="inlineStr">
        <is>
          <t>Abarrotes</t>
        </is>
      </c>
      <c r="S57" t="inlineStr">
        <is>
          <t>Granos del Pacífico</t>
        </is>
      </c>
      <c r="T57" t="inlineStr">
        <is>
          <t>2234-8890</t>
        </is>
      </c>
      <c r="U57" t="n">
        <v>3.1</v>
      </c>
      <c r="V57" t="n">
        <v>1</v>
      </c>
      <c r="W57" t="n">
        <v>0</v>
      </c>
      <c r="X57">
        <f>IFERROR(U57*V57*(1-W57/100),"")</f>
        <v/>
      </c>
      <c r="Y57">
        <f>IFERROR(ROUND(X57*0.13,2),"")</f>
        <v/>
      </c>
      <c r="Z57">
        <f>IFERROR(X57+Y57,"")</f>
        <v/>
      </c>
      <c r="AA57" t="inlineStr">
        <is>
          <t>Efectivo</t>
        </is>
      </c>
      <c r="AB57" t="inlineStr">
        <is>
          <t>entregar en bodega</t>
        </is>
      </c>
    </row>
    <row r="58">
      <c r="A58" t="inlineStr">
        <is>
          <t>F-10494</t>
        </is>
      </c>
      <c r="B58" s="3" t="n">
        <v>46253</v>
      </c>
      <c r="C58" t="inlineStr">
        <is>
          <t>Factura</t>
        </is>
      </c>
      <c r="D58" t="inlineStr">
        <is>
          <t>SA01</t>
        </is>
      </c>
      <c r="E58" t="inlineStr">
        <is>
          <t>Santa Ana</t>
        </is>
      </c>
      <c r="F58" t="inlineStr">
        <is>
          <t>Av. Independencia Sur #12</t>
        </is>
      </c>
      <c r="G58" t="inlineStr">
        <is>
          <t>Santa Ana</t>
        </is>
      </c>
      <c r="H58" t="inlineStr">
        <is>
          <t>Santa Ana</t>
        </is>
      </c>
      <c r="I58" t="inlineStr">
        <is>
          <t>Mauricio Linares</t>
        </is>
      </c>
      <c r="J58" t="inlineStr">
        <is>
          <t>2440-9921</t>
        </is>
      </c>
      <c r="K58" t="inlineStr">
        <is>
          <t>Sofía Cáceres</t>
        </is>
      </c>
      <c r="L58" t="inlineStr">
        <is>
          <t>José Cornejo Hernández</t>
        </is>
      </c>
      <c r="M58" t="inlineStr">
        <is>
          <t>07580296-3</t>
        </is>
      </c>
      <c r="N58" t="inlineStr">
        <is>
          <t>6828-1335</t>
        </is>
      </c>
      <c r="O58" t="inlineStr">
        <is>
          <t>Consumidor final</t>
        </is>
      </c>
      <c r="P58" t="inlineStr">
        <is>
          <t>LAC-003</t>
        </is>
      </c>
      <c r="Q58" t="inlineStr">
        <is>
          <t>Leche entera 1L</t>
        </is>
      </c>
      <c r="R58" t="inlineStr">
        <is>
          <t>Lácteos</t>
        </is>
      </c>
      <c r="S58" t="inlineStr">
        <is>
          <t>Lácteos Chalate</t>
        </is>
      </c>
      <c r="T58" t="inlineStr">
        <is>
          <t>2335-1020</t>
        </is>
      </c>
      <c r="U58" t="n">
        <v>1.2</v>
      </c>
      <c r="V58" t="n">
        <v>-3</v>
      </c>
      <c r="W58" t="n">
        <v>0</v>
      </c>
      <c r="X58">
        <f>IFERROR(U58*V58*(1-W58/100),"")</f>
        <v/>
      </c>
      <c r="Y58">
        <f>IFERROR(ROUND(X58*0.13,2),"")</f>
        <v/>
      </c>
      <c r="Z58">
        <f>IFERROR(X58+Y58,"")</f>
        <v/>
      </c>
      <c r="AA58" t="inlineStr">
        <is>
          <t>Efectivo</t>
        </is>
      </c>
      <c r="AB58" t="inlineStr"/>
    </row>
    <row r="59">
      <c r="A59" t="inlineStr">
        <is>
          <t>10495</t>
        </is>
      </c>
      <c r="B59" s="3" t="n">
        <v>46238</v>
      </c>
      <c r="C59" t="inlineStr">
        <is>
          <t>CCF</t>
        </is>
      </c>
      <c r="D59" t="inlineStr">
        <is>
          <t>SM01</t>
        </is>
      </c>
      <c r="E59" t="inlineStr">
        <is>
          <t>San Miguel</t>
        </is>
      </c>
      <c r="F59" t="inlineStr">
        <is>
          <t>Av. Roosevelt Sur #7</t>
        </is>
      </c>
      <c r="G59" t="inlineStr">
        <is>
          <t>San Miguel</t>
        </is>
      </c>
      <c r="H59" t="inlineStr">
        <is>
          <t>San Miguel</t>
        </is>
      </c>
      <c r="I59" t="inlineStr">
        <is>
          <t>Iris Portillo</t>
        </is>
      </c>
      <c r="J59" t="inlineStr">
        <is>
          <t>2661-5076</t>
        </is>
      </c>
      <c r="K59" t="inlineStr">
        <is>
          <t>Jorge Villalta</t>
        </is>
      </c>
      <c r="L59" t="inlineStr">
        <is>
          <t>Pupusería El Comal</t>
        </is>
      </c>
      <c r="M59" t="inlineStr">
        <is>
          <t>261664-6</t>
        </is>
      </c>
      <c r="N59" t="inlineStr">
        <is>
          <t>6293-1154</t>
        </is>
      </c>
      <c r="O59" t="inlineStr">
        <is>
          <t>Contribuyente</t>
        </is>
      </c>
      <c r="P59" t="inlineStr">
        <is>
          <t>BEB-003</t>
        </is>
      </c>
      <c r="Q59" t="inlineStr">
        <is>
          <t>Horchata en polvo 400g</t>
        </is>
      </c>
      <c r="R59" t="inlineStr">
        <is>
          <t>Bebidas</t>
        </is>
      </c>
      <c r="S59" t="inlineStr">
        <is>
          <t>Bebidas Izalco</t>
        </is>
      </c>
      <c r="T59" t="inlineStr">
        <is>
          <t>2450-7700</t>
        </is>
      </c>
      <c r="U59" t="n">
        <v>2.6</v>
      </c>
      <c r="V59" t="n">
        <v>1</v>
      </c>
      <c r="W59" t="n">
        <v>0</v>
      </c>
      <c r="X59">
        <f>IFERROR(U59*V59*(1-W59/100),"")</f>
        <v/>
      </c>
      <c r="Y59">
        <f>IFERROR(ROUND(X59*0.13,2),"")</f>
        <v/>
      </c>
      <c r="Z59">
        <f>IFERROR(X59+Y59,"")</f>
        <v/>
      </c>
      <c r="AA59" t="inlineStr">
        <is>
          <t>Tarjeta</t>
        </is>
      </c>
      <c r="AB59" t="inlineStr">
        <is>
          <t>Cliente frecuente</t>
        </is>
      </c>
    </row>
    <row r="60">
      <c r="A60" t="inlineStr">
        <is>
          <t>F-10495</t>
        </is>
      </c>
      <c r="B60" s="3" t="n">
        <v>46238</v>
      </c>
      <c r="C60" t="inlineStr">
        <is>
          <t>CCF</t>
        </is>
      </c>
      <c r="D60" t="inlineStr">
        <is>
          <t>SM01</t>
        </is>
      </c>
      <c r="E60" t="inlineStr">
        <is>
          <t>SAN MIGUEL</t>
        </is>
      </c>
      <c r="F60" t="inlineStr">
        <is>
          <t>Av. Roosevelt Sur #7</t>
        </is>
      </c>
      <c r="G60" t="inlineStr">
        <is>
          <t>San Miguel</t>
        </is>
      </c>
      <c r="H60" t="inlineStr">
        <is>
          <t>San Miguel</t>
        </is>
      </c>
      <c r="I60" t="inlineStr">
        <is>
          <t>Iris Portillo</t>
        </is>
      </c>
      <c r="J60" t="inlineStr">
        <is>
          <t>2661-5076</t>
        </is>
      </c>
      <c r="K60" t="inlineStr">
        <is>
          <t>Jorge Villalta</t>
        </is>
      </c>
      <c r="L60" t="inlineStr">
        <is>
          <t>Pupusería El Comal</t>
        </is>
      </c>
      <c r="M60" t="inlineStr">
        <is>
          <t>261664-6</t>
        </is>
      </c>
      <c r="N60" t="inlineStr">
        <is>
          <t>6293-1154</t>
        </is>
      </c>
      <c r="O60" t="inlineStr">
        <is>
          <t>Contribuyente</t>
        </is>
      </c>
      <c r="P60" t="inlineStr">
        <is>
          <t>HIG-001</t>
        </is>
      </c>
      <c r="Q60" t="inlineStr">
        <is>
          <t>Detergente 1kg</t>
        </is>
      </c>
      <c r="R60" t="inlineStr">
        <is>
          <t>Limpieza</t>
        </is>
      </c>
      <c r="S60" t="inlineStr">
        <is>
          <t>Higiene Total C.A.</t>
        </is>
      </c>
      <c r="T60" t="inlineStr">
        <is>
          <t>2207-5566</t>
        </is>
      </c>
      <c r="U60" t="inlineStr">
        <is>
          <t>3,45</t>
        </is>
      </c>
      <c r="V60" t="n">
        <v>2</v>
      </c>
      <c r="W60" t="n">
        <v>5</v>
      </c>
      <c r="X60">
        <f>IFERROR(U60*V60*(1-W60/100),"")</f>
        <v/>
      </c>
      <c r="Y60">
        <f>IFERROR(ROUND(X60*0.13,2),"")</f>
        <v/>
      </c>
      <c r="Z60">
        <f>IFERROR(X60+Y60,"")</f>
        <v/>
      </c>
      <c r="AA60" t="inlineStr">
        <is>
          <t>Tarjeta</t>
        </is>
      </c>
      <c r="AB60" t="inlineStr"/>
    </row>
    <row r="61">
      <c r="A61" t="inlineStr">
        <is>
          <t>F-10495</t>
        </is>
      </c>
      <c r="B61" s="3" t="n">
        <v>46238</v>
      </c>
      <c r="C61" t="inlineStr">
        <is>
          <t>CCF</t>
        </is>
      </c>
      <c r="D61" t="inlineStr">
        <is>
          <t>SM01</t>
        </is>
      </c>
      <c r="E61" t="inlineStr">
        <is>
          <t>SAN MIGUEL</t>
        </is>
      </c>
      <c r="F61" t="inlineStr">
        <is>
          <t>Av. Roosevelt Sur #7</t>
        </is>
      </c>
      <c r="G61" t="inlineStr">
        <is>
          <t>San Miguel</t>
        </is>
      </c>
      <c r="H61" t="inlineStr">
        <is>
          <t>San Miguel</t>
        </is>
      </c>
      <c r="I61" t="inlineStr">
        <is>
          <t>Iris Portillo</t>
        </is>
      </c>
      <c r="J61" t="inlineStr">
        <is>
          <t>2661-5076</t>
        </is>
      </c>
      <c r="K61" t="inlineStr">
        <is>
          <t>Jorge Villalta</t>
        </is>
      </c>
      <c r="L61" t="inlineStr">
        <is>
          <t>Pupusería El Comal</t>
        </is>
      </c>
      <c r="M61" t="inlineStr">
        <is>
          <t>261664-6</t>
        </is>
      </c>
      <c r="N61" t="inlineStr">
        <is>
          <t>6293-1154</t>
        </is>
      </c>
      <c r="O61" t="inlineStr">
        <is>
          <t>Contribuyente</t>
        </is>
      </c>
      <c r="P61" t="inlineStr">
        <is>
          <t>LAC-001</t>
        </is>
      </c>
      <c r="Q61" t="inlineStr">
        <is>
          <t>Quesillo 1lb</t>
        </is>
      </c>
      <c r="R61" t="inlineStr">
        <is>
          <t>LACTEOS</t>
        </is>
      </c>
      <c r="S61" t="inlineStr">
        <is>
          <t>Lácteos Chalate</t>
        </is>
      </c>
      <c r="T61" t="inlineStr">
        <is>
          <t>2335-1020</t>
        </is>
      </c>
      <c r="U61" t="n">
        <v>3.8</v>
      </c>
      <c r="V61" t="n">
        <v>1</v>
      </c>
      <c r="W61" t="n">
        <v>10</v>
      </c>
      <c r="X61">
        <f>IFERROR(U61*V61*(1-W61/100),"")</f>
        <v/>
      </c>
      <c r="Y61">
        <f>IFERROR(ROUND(X61*0.13,2),"")</f>
        <v/>
      </c>
      <c r="Z61">
        <f>IFERROR(X61+Y61,"")</f>
        <v/>
      </c>
      <c r="AA61" t="inlineStr">
        <is>
          <t>Tarjeta</t>
        </is>
      </c>
      <c r="AB61" t="inlineStr">
        <is>
          <t>Cliente frecuente</t>
        </is>
      </c>
    </row>
    <row r="62">
      <c r="A62" t="inlineStr">
        <is>
          <t>F-10496</t>
        </is>
      </c>
      <c r="B62" s="3" t="n">
        <v>46281</v>
      </c>
      <c r="C62" t="inlineStr">
        <is>
          <t>Factura</t>
        </is>
      </c>
      <c r="D62" t="inlineStr"/>
      <c r="E62" t="inlineStr">
        <is>
          <t>soyapango</t>
        </is>
      </c>
      <c r="F62" t="inlineStr">
        <is>
          <t>Blvd. del Ejército km 4</t>
        </is>
      </c>
      <c r="G62" t="inlineStr">
        <is>
          <t>Soyapango</t>
        </is>
      </c>
      <c r="H62" t="inlineStr">
        <is>
          <t>San Salvador</t>
        </is>
      </c>
      <c r="I62" t="inlineStr">
        <is>
          <t>Karla Henríquez</t>
        </is>
      </c>
      <c r="J62" t="inlineStr">
        <is>
          <t>2277-3402</t>
        </is>
      </c>
      <c r="K62" t="inlineStr">
        <is>
          <t>Carlos Molina</t>
        </is>
      </c>
      <c r="L62" t="inlineStr">
        <is>
          <t>Rosa López Castillo</t>
        </is>
      </c>
      <c r="M62" t="inlineStr">
        <is>
          <t>09782214-9</t>
        </is>
      </c>
      <c r="N62" t="inlineStr">
        <is>
          <t>6806-3209</t>
        </is>
      </c>
      <c r="O62" t="inlineStr">
        <is>
          <t>Consumidor final</t>
        </is>
      </c>
      <c r="P62" t="inlineStr">
        <is>
          <t>CAF-002</t>
        </is>
      </c>
      <c r="Q62" t="inlineStr">
        <is>
          <t>Café en grano 1lb</t>
        </is>
      </c>
      <c r="R62" t="inlineStr">
        <is>
          <t>Abarrotes</t>
        </is>
      </c>
      <c r="S62" t="inlineStr">
        <is>
          <t>Café Volcán S.A.</t>
        </is>
      </c>
      <c r="T62" t="inlineStr">
        <is>
          <t>2510-3344</t>
        </is>
      </c>
      <c r="U62" t="n">
        <v>6.75</v>
      </c>
      <c r="V62" t="n">
        <v>12</v>
      </c>
      <c r="W62" t="n">
        <v>0</v>
      </c>
      <c r="X62">
        <f>IFERROR(U62*V62*(1-W62/100),"")</f>
        <v/>
      </c>
      <c r="Y62">
        <f>IFERROR(ROUND(X62*0.13,2),"")</f>
        <v/>
      </c>
      <c r="Z62">
        <f>IFERROR(X62+Y62,"")</f>
        <v/>
      </c>
      <c r="AA62" t="inlineStr">
        <is>
          <t>Transferencia</t>
        </is>
      </c>
      <c r="AB62" t="inlineStr"/>
    </row>
    <row r="63">
      <c r="A63" t="inlineStr">
        <is>
          <t>F-10498</t>
        </is>
      </c>
      <c r="B63" s="3" t="n">
        <v>46242</v>
      </c>
      <c r="C63" t="inlineStr">
        <is>
          <t>Factura</t>
        </is>
      </c>
      <c r="D63" t="inlineStr">
        <is>
          <t>LL02</t>
        </is>
      </c>
      <c r="E63" t="inlineStr">
        <is>
          <t>Pto. La Libertad</t>
        </is>
      </c>
      <c r="F63" t="inlineStr">
        <is>
          <t>Calle El Malecón, Local 4</t>
        </is>
      </c>
      <c r="G63" t="inlineStr">
        <is>
          <t>La Libertad</t>
        </is>
      </c>
      <c r="H63" t="inlineStr">
        <is>
          <t>La Libertad</t>
        </is>
      </c>
      <c r="I63" t="inlineStr">
        <is>
          <t>Wendy Aguilar</t>
        </is>
      </c>
      <c r="J63" t="inlineStr">
        <is>
          <t>2335-6140</t>
        </is>
      </c>
      <c r="K63" t="inlineStr">
        <is>
          <t>Gabriela Saravia</t>
        </is>
      </c>
      <c r="L63" t="inlineStr">
        <is>
          <t>Walter Quintanilla Rivera</t>
        </is>
      </c>
      <c r="M63" t="inlineStr">
        <is>
          <t>08724671-3</t>
        </is>
      </c>
      <c r="N63" t="inlineStr">
        <is>
          <t>6114-2738</t>
        </is>
      </c>
      <c r="O63" t="inlineStr">
        <is>
          <t>Consumidor final</t>
        </is>
      </c>
      <c r="P63" t="inlineStr">
        <is>
          <t>AZU-001</t>
        </is>
      </c>
      <c r="Q63" t="inlineStr">
        <is>
          <t>Azúcar blanca 2.5kg</t>
        </is>
      </c>
      <c r="R63" t="inlineStr">
        <is>
          <t>Abarrotes</t>
        </is>
      </c>
      <c r="S63" t="inlineStr">
        <is>
          <t>Granos del Pacífico</t>
        </is>
      </c>
      <c r="T63" t="inlineStr">
        <is>
          <t>2234-8890</t>
        </is>
      </c>
      <c r="U63" t="n">
        <v>3.1</v>
      </c>
      <c r="V63" t="n">
        <v>2</v>
      </c>
      <c r="W63" t="n">
        <v>0</v>
      </c>
      <c r="X63">
        <f>IFERROR(U63*V63*(1-W63/100),"")</f>
        <v/>
      </c>
      <c r="Y63">
        <f>IFERROR(ROUND(X63*0.13,2),"")</f>
        <v/>
      </c>
      <c r="Z63">
        <f>IFERROR(X63+Y63,"")</f>
        <v/>
      </c>
      <c r="AA63" t="inlineStr">
        <is>
          <t>TARJETA</t>
        </is>
      </c>
      <c r="AB63" t="inlineStr">
        <is>
          <t>pagó con billete de $100</t>
        </is>
      </c>
    </row>
    <row r="64">
      <c r="A64" t="inlineStr">
        <is>
          <t>F-10498</t>
        </is>
      </c>
      <c r="B64" t="inlineStr">
        <is>
          <t>2026-08-08</t>
        </is>
      </c>
      <c r="C64" t="inlineStr">
        <is>
          <t>Factura</t>
        </is>
      </c>
      <c r="D64" t="inlineStr">
        <is>
          <t>LL02</t>
        </is>
      </c>
      <c r="E64" t="inlineStr">
        <is>
          <t>Puerto de La Libertad</t>
        </is>
      </c>
      <c r="F64" t="inlineStr">
        <is>
          <t>Calle El Malecón, Local 4</t>
        </is>
      </c>
      <c r="G64" t="inlineStr">
        <is>
          <t>La Libertad</t>
        </is>
      </c>
      <c r="H64" t="inlineStr">
        <is>
          <t>La Libertad</t>
        </is>
      </c>
      <c r="I64" t="inlineStr">
        <is>
          <t>Wendy Aguilar</t>
        </is>
      </c>
      <c r="J64" t="inlineStr">
        <is>
          <t>2335-6140</t>
        </is>
      </c>
      <c r="K64" t="inlineStr">
        <is>
          <t>Gabriela Saravia</t>
        </is>
      </c>
      <c r="L64" t="inlineStr">
        <is>
          <t>Walter Quintanilla Rivera</t>
        </is>
      </c>
      <c r="M64" t="inlineStr">
        <is>
          <t>08724671-3</t>
        </is>
      </c>
      <c r="N64" t="inlineStr">
        <is>
          <t>6114-2738</t>
        </is>
      </c>
      <c r="O64" t="inlineStr">
        <is>
          <t>Consumidor final</t>
        </is>
      </c>
      <c r="P64" t="inlineStr">
        <is>
          <t>HIG-003</t>
        </is>
      </c>
      <c r="Q64" t="inlineStr">
        <is>
          <t>Jabón de lavar barra</t>
        </is>
      </c>
      <c r="R64" t="inlineStr">
        <is>
          <t>Limpieza</t>
        </is>
      </c>
      <c r="S64" t="inlineStr">
        <is>
          <t>Higiene Total C.A.</t>
        </is>
      </c>
      <c r="T64" t="inlineStr">
        <is>
          <t>2207-5566</t>
        </is>
      </c>
      <c r="U64" t="n">
        <v>0.75</v>
      </c>
      <c r="V64" t="n">
        <v>-4</v>
      </c>
      <c r="W64" t="n">
        <v>0</v>
      </c>
      <c r="X64">
        <f>IFERROR(U64*V64*(1-W64/100),"")</f>
        <v/>
      </c>
      <c r="Y64">
        <f>IFERROR(ROUND(X64*0.13,2),"")</f>
        <v/>
      </c>
      <c r="Z64">
        <f>IFERROR(X64+Y64,"")</f>
        <v/>
      </c>
      <c r="AA64" t="inlineStr">
        <is>
          <t>TARJETA</t>
        </is>
      </c>
      <c r="AB64" t="inlineStr"/>
    </row>
    <row r="65">
      <c r="A65" t="inlineStr">
        <is>
          <t>F-10498</t>
        </is>
      </c>
      <c r="B65" s="3" t="n">
        <v>46242</v>
      </c>
      <c r="C65" t="inlineStr">
        <is>
          <t>Factura</t>
        </is>
      </c>
      <c r="D65" t="inlineStr"/>
      <c r="E65" t="inlineStr">
        <is>
          <t>La Libertad Puerto</t>
        </is>
      </c>
      <c r="F65" t="inlineStr">
        <is>
          <t>Calle El Malecón, Local 4</t>
        </is>
      </c>
      <c r="G65" t="inlineStr">
        <is>
          <t>La Libertad</t>
        </is>
      </c>
      <c r="H65" t="inlineStr">
        <is>
          <t>La Libertad</t>
        </is>
      </c>
      <c r="I65" t="inlineStr">
        <is>
          <t>Wendy Aguilar</t>
        </is>
      </c>
      <c r="J65" t="inlineStr">
        <is>
          <t>2335-6140</t>
        </is>
      </c>
      <c r="K65" t="inlineStr">
        <is>
          <t>Gabriela Saravia</t>
        </is>
      </c>
      <c r="L65" t="inlineStr">
        <is>
          <t>Walter Quintanilla Rivera</t>
        </is>
      </c>
      <c r="M65" t="inlineStr">
        <is>
          <t>08724671-3</t>
        </is>
      </c>
      <c r="N65" t="inlineStr">
        <is>
          <t>6114-2738</t>
        </is>
      </c>
      <c r="O65" t="inlineStr">
        <is>
          <t>Consumidor final</t>
        </is>
      </c>
      <c r="P65" t="inlineStr">
        <is>
          <t>HAR-001</t>
        </is>
      </c>
      <c r="Q65" t="inlineStr">
        <is>
          <t>Harina de maíz 2lb</t>
        </is>
      </c>
      <c r="R65" t="inlineStr">
        <is>
          <t>Abarrotes</t>
        </is>
      </c>
      <c r="S65" t="inlineStr">
        <is>
          <t>Granos del Pacífico</t>
        </is>
      </c>
      <c r="T65" t="inlineStr">
        <is>
          <t>2234-8890</t>
        </is>
      </c>
      <c r="U65" t="n">
        <v>1.35</v>
      </c>
      <c r="V65" t="n">
        <v>4</v>
      </c>
      <c r="W65" t="n">
        <v>0</v>
      </c>
      <c r="X65">
        <f>IFERROR(U65*V65*(1-W65/100),"")</f>
        <v/>
      </c>
      <c r="Y65">
        <f>IFERROR(ROUND(X65*0.13,2),"")</f>
        <v/>
      </c>
      <c r="Z65">
        <f>IFERROR(X65+Y65,"")</f>
        <v/>
      </c>
      <c r="AA65" t="inlineStr">
        <is>
          <t>TARJETA</t>
        </is>
      </c>
      <c r="AB65" t="inlineStr">
        <is>
          <t>precio especial autorizado por gerente</t>
        </is>
      </c>
    </row>
    <row r="66">
      <c r="A66" t="inlineStr">
        <is>
          <t>F-10499</t>
        </is>
      </c>
      <c r="B66" s="3" t="n">
        <v>46292</v>
      </c>
      <c r="C66" t="inlineStr">
        <is>
          <t>Factura</t>
        </is>
      </c>
      <c r="D66" t="inlineStr">
        <is>
          <t>SS01</t>
        </is>
      </c>
      <c r="E66" t="inlineStr">
        <is>
          <t xml:space="preserve">san salvador centro </t>
        </is>
      </c>
      <c r="F66" t="inlineStr">
        <is>
          <t>4a Calle Poniente #215</t>
        </is>
      </c>
      <c r="G66" t="inlineStr">
        <is>
          <t>San Salvador</t>
        </is>
      </c>
      <c r="H66" t="inlineStr">
        <is>
          <t>San Salvador</t>
        </is>
      </c>
      <c r="I66" t="inlineStr">
        <is>
          <t>Roberto Alfaro</t>
        </is>
      </c>
      <c r="J66" t="inlineStr">
        <is>
          <t>2221-4580</t>
        </is>
      </c>
      <c r="K66" t="inlineStr">
        <is>
          <t>Daniela Orellana</t>
        </is>
      </c>
      <c r="L66" t="inlineStr">
        <is>
          <t>Silvia Martínez Hernández</t>
        </is>
      </c>
      <c r="M66" t="inlineStr">
        <is>
          <t>05821993-5</t>
        </is>
      </c>
      <c r="N66" t="inlineStr">
        <is>
          <t>2126-9362</t>
        </is>
      </c>
      <c r="O66" t="inlineStr">
        <is>
          <t>Consumidor final</t>
        </is>
      </c>
      <c r="P66" t="inlineStr">
        <is>
          <t>PAN-003</t>
        </is>
      </c>
      <c r="Q66" t="inlineStr">
        <is>
          <t>Quesadilla salvadoreña</t>
        </is>
      </c>
      <c r="R66" t="inlineStr">
        <is>
          <t>PANADERIA</t>
        </is>
      </c>
      <c r="S66" t="inlineStr">
        <is>
          <t>Panificadora Ilopango</t>
        </is>
      </c>
      <c r="T66" t="inlineStr">
        <is>
          <t>2295-0081</t>
        </is>
      </c>
      <c r="U66" t="inlineStr">
        <is>
          <t>$2.50</t>
        </is>
      </c>
      <c r="V66" t="n">
        <v>24</v>
      </c>
      <c r="W66" t="n">
        <v>0</v>
      </c>
      <c r="X66">
        <f>IFERROR(U66*V66*(1-W66/100),"")</f>
        <v/>
      </c>
      <c r="Y66">
        <f>IFERROR(ROUND(X66*0.13,2),"")</f>
        <v/>
      </c>
      <c r="Z66">
        <f>IFERROR(X66+Y66,"")</f>
        <v/>
      </c>
      <c r="AA66" t="inlineStr">
        <is>
          <t>Tarjeta</t>
        </is>
      </c>
      <c r="AB66" t="inlineStr"/>
    </row>
    <row r="67">
      <c r="A67" t="inlineStr">
        <is>
          <t>F-10499</t>
        </is>
      </c>
      <c r="B67" s="3" t="n">
        <v>46292</v>
      </c>
      <c r="C67" t="inlineStr">
        <is>
          <t>Factura</t>
        </is>
      </c>
      <c r="D67" t="inlineStr">
        <is>
          <t>SS01</t>
        </is>
      </c>
      <c r="E67" t="inlineStr">
        <is>
          <t>SAN SALVADOR CENTRO</t>
        </is>
      </c>
      <c r="F67" t="inlineStr">
        <is>
          <t>4a Calle Poniente #215</t>
        </is>
      </c>
      <c r="G67" t="inlineStr">
        <is>
          <t>San Salvador</t>
        </is>
      </c>
      <c r="H67" t="inlineStr">
        <is>
          <t>San Salvador</t>
        </is>
      </c>
      <c r="I67" t="inlineStr">
        <is>
          <t>Roberto Alfaro</t>
        </is>
      </c>
      <c r="J67" t="inlineStr">
        <is>
          <t>2221-4580</t>
        </is>
      </c>
      <c r="K67" t="inlineStr">
        <is>
          <t>Daniela Orellana</t>
        </is>
      </c>
      <c r="L67" t="inlineStr">
        <is>
          <t>Silvia Martínez Hernández</t>
        </is>
      </c>
      <c r="M67" t="inlineStr">
        <is>
          <t>05821993-5</t>
        </is>
      </c>
      <c r="N67" t="inlineStr">
        <is>
          <t>2126-9362</t>
        </is>
      </c>
      <c r="O67" t="inlineStr">
        <is>
          <t>Consumidor final</t>
        </is>
      </c>
      <c r="P67" t="inlineStr">
        <is>
          <t>CAF-001</t>
        </is>
      </c>
      <c r="Q67" t="inlineStr">
        <is>
          <t>Café molido 400g</t>
        </is>
      </c>
      <c r="R67" t="inlineStr">
        <is>
          <t>ABARROTES</t>
        </is>
      </c>
      <c r="S67" t="inlineStr">
        <is>
          <t>Café Volcán S.A.</t>
        </is>
      </c>
      <c r="T67" t="inlineStr">
        <is>
          <t>2510-3344</t>
        </is>
      </c>
      <c r="U67" t="inlineStr">
        <is>
          <t>$4.50</t>
        </is>
      </c>
      <c r="V67" t="n">
        <v>-1</v>
      </c>
      <c r="W67" t="n">
        <v>0</v>
      </c>
      <c r="X67">
        <f>IFERROR(U67*V67*(1-W67/100),"")</f>
        <v/>
      </c>
      <c r="Y67">
        <f>IFERROR(ROUND(X67*0.13,2),"")</f>
        <v/>
      </c>
      <c r="Z67">
        <f>IFERROR(X67+Y67,"")</f>
        <v/>
      </c>
      <c r="AA67" t="inlineStr">
        <is>
          <t>Tarjeta</t>
        </is>
      </c>
      <c r="AB67" t="inlineStr">
        <is>
          <t>Cliente frecuente</t>
        </is>
      </c>
    </row>
    <row r="68">
      <c r="A68" t="inlineStr">
        <is>
          <t>F-10499</t>
        </is>
      </c>
      <c r="B68" s="3" t="n">
        <v>46292</v>
      </c>
      <c r="C68" t="inlineStr">
        <is>
          <t>Factura</t>
        </is>
      </c>
      <c r="D68" t="inlineStr">
        <is>
          <t>SS01</t>
        </is>
      </c>
      <c r="E68" t="inlineStr">
        <is>
          <t>San Salvador Centro</t>
        </is>
      </c>
      <c r="F68" t="inlineStr">
        <is>
          <t>4a Calle Poniente #215</t>
        </is>
      </c>
      <c r="G68" t="inlineStr">
        <is>
          <t>San Salvador</t>
        </is>
      </c>
      <c r="H68" t="inlineStr">
        <is>
          <t>San Salvador</t>
        </is>
      </c>
      <c r="I68" t="inlineStr">
        <is>
          <t>Roberto Alfaro</t>
        </is>
      </c>
      <c r="J68" t="inlineStr">
        <is>
          <t>2221-4580</t>
        </is>
      </c>
      <c r="K68" t="inlineStr">
        <is>
          <t>Daniela Orellana</t>
        </is>
      </c>
      <c r="L68" t="inlineStr">
        <is>
          <t>Silvia Martínez Hernández</t>
        </is>
      </c>
      <c r="M68" t="inlineStr">
        <is>
          <t>05821993-5</t>
        </is>
      </c>
      <c r="N68" t="inlineStr">
        <is>
          <t>2126-9362</t>
        </is>
      </c>
      <c r="O68" t="inlineStr">
        <is>
          <t>Consumidor final</t>
        </is>
      </c>
      <c r="P68" t="inlineStr">
        <is>
          <t>BEB-001</t>
        </is>
      </c>
      <c r="Q68" t="inlineStr">
        <is>
          <t>Gaseosa 2.5L</t>
        </is>
      </c>
      <c r="R68" t="inlineStr">
        <is>
          <t>Bebidas</t>
        </is>
      </c>
      <c r="S68" t="inlineStr">
        <is>
          <t>Bebidas Izalco</t>
        </is>
      </c>
      <c r="T68" t="inlineStr">
        <is>
          <t>2450-7700</t>
        </is>
      </c>
      <c r="U68" t="n">
        <v>1.95</v>
      </c>
      <c r="V68" t="n">
        <v>24</v>
      </c>
      <c r="W68" t="n">
        <v>0</v>
      </c>
      <c r="X68">
        <f>IFERROR(U68*V68*(1-W68/100),"")</f>
        <v/>
      </c>
      <c r="Y68">
        <f>IFERROR(ROUND(X68*0.13,2),"")</f>
        <v/>
      </c>
      <c r="Z68">
        <f>IFERROR(X68+Y68,"")</f>
        <v/>
      </c>
      <c r="AA68" t="inlineStr">
        <is>
          <t>Tarjeta</t>
        </is>
      </c>
      <c r="AB68" t="inlineStr">
        <is>
          <t>precio especial autorizado por gerente</t>
        </is>
      </c>
    </row>
    <row r="69">
      <c r="A69" t="inlineStr">
        <is>
          <t>F-10499</t>
        </is>
      </c>
      <c r="B69" s="3" t="n">
        <v>46292</v>
      </c>
      <c r="C69" t="inlineStr">
        <is>
          <t>Factura</t>
        </is>
      </c>
      <c r="D69" t="inlineStr">
        <is>
          <t>SS01</t>
        </is>
      </c>
      <c r="E69" t="inlineStr">
        <is>
          <t xml:space="preserve">san salvador centro </t>
        </is>
      </c>
      <c r="F69" t="inlineStr">
        <is>
          <t>4a Calle Poniente #215</t>
        </is>
      </c>
      <c r="G69" t="inlineStr">
        <is>
          <t>San Salvador</t>
        </is>
      </c>
      <c r="H69" t="inlineStr">
        <is>
          <t>San Salvador</t>
        </is>
      </c>
      <c r="I69" t="inlineStr">
        <is>
          <t>Roberto Alfaro</t>
        </is>
      </c>
      <c r="J69" t="inlineStr">
        <is>
          <t>2221-4580</t>
        </is>
      </c>
      <c r="K69" t="inlineStr">
        <is>
          <t>Daniela Orellana</t>
        </is>
      </c>
      <c r="L69" t="inlineStr">
        <is>
          <t>Silvia Martínez Hernández</t>
        </is>
      </c>
      <c r="M69" t="inlineStr">
        <is>
          <t>05821993-5</t>
        </is>
      </c>
      <c r="N69" t="inlineStr">
        <is>
          <t>2126-9362</t>
        </is>
      </c>
      <c r="O69" t="inlineStr">
        <is>
          <t>Consumidor final</t>
        </is>
      </c>
      <c r="P69" t="inlineStr">
        <is>
          <t>ARR-001</t>
        </is>
      </c>
      <c r="Q69" t="inlineStr">
        <is>
          <t>Arroz blanco 5lb</t>
        </is>
      </c>
      <c r="R69" t="inlineStr">
        <is>
          <t>Granos básicos</t>
        </is>
      </c>
      <c r="S69" t="inlineStr">
        <is>
          <t>Granos del Pacífico</t>
        </is>
      </c>
      <c r="T69" t="inlineStr">
        <is>
          <t>2234-8890</t>
        </is>
      </c>
      <c r="U69" t="n">
        <v>3.95</v>
      </c>
      <c r="V69" t="n">
        <v>1</v>
      </c>
      <c r="W69" t="n">
        <v>0</v>
      </c>
      <c r="X69">
        <f>IFERROR(U69*V69*(1-W69/100),"")</f>
        <v/>
      </c>
      <c r="Y69">
        <f>IFERROR(ROUND(X69*0.13,2),"")</f>
        <v/>
      </c>
      <c r="Z69">
        <f>IFERROR(X69+Y69,"")</f>
        <v/>
      </c>
      <c r="AA69" t="inlineStr">
        <is>
          <t>Tarjeta</t>
        </is>
      </c>
      <c r="AB69" t="inlineStr"/>
    </row>
    <row r="70">
      <c r="A70" t="inlineStr">
        <is>
          <t>F-10502</t>
        </is>
      </c>
      <c r="B70" s="3" t="n">
        <v>46250</v>
      </c>
      <c r="C70" t="inlineStr">
        <is>
          <t>factura</t>
        </is>
      </c>
      <c r="D70" t="inlineStr"/>
      <c r="E70" t="inlineStr">
        <is>
          <t>Sonsonate</t>
        </is>
      </c>
      <c r="F70" t="inlineStr">
        <is>
          <t>Calle Obispo Marroquín #3</t>
        </is>
      </c>
      <c r="G70" t="inlineStr">
        <is>
          <t>Sonsonate</t>
        </is>
      </c>
      <c r="H70" t="inlineStr">
        <is>
          <t>Sonsonate</t>
        </is>
      </c>
      <c r="I70" t="inlineStr">
        <is>
          <t>Ernesto Chávez</t>
        </is>
      </c>
      <c r="J70" t="inlineStr">
        <is>
          <t>2451-2288</t>
        </is>
      </c>
      <c r="K70" t="inlineStr">
        <is>
          <t>Ricardo Funes</t>
        </is>
      </c>
      <c r="L70" t="inlineStr">
        <is>
          <t>Patricia Guevara Quintanilla</t>
        </is>
      </c>
      <c r="M70" t="inlineStr"/>
      <c r="N70" t="inlineStr">
        <is>
          <t>6951-5407</t>
        </is>
      </c>
      <c r="O70" t="inlineStr">
        <is>
          <t>Consumidor final</t>
        </is>
      </c>
      <c r="P70" t="inlineStr">
        <is>
          <t>AZU-001</t>
        </is>
      </c>
      <c r="Q70" t="inlineStr">
        <is>
          <t>Azúcar blanca 2.5kg</t>
        </is>
      </c>
      <c r="R70" t="inlineStr">
        <is>
          <t>Abarrotes</t>
        </is>
      </c>
      <c r="S70" t="inlineStr">
        <is>
          <t>Granos del Pacífico</t>
        </is>
      </c>
      <c r="T70" t="inlineStr">
        <is>
          <t>2234-8890</t>
        </is>
      </c>
      <c r="U70" t="n">
        <v>3.1</v>
      </c>
      <c r="V70" t="n">
        <v>12</v>
      </c>
      <c r="W70" t="n">
        <v>0</v>
      </c>
      <c r="X70">
        <f>IFERROR(U70*V70*(1-W70/100),"")</f>
        <v/>
      </c>
      <c r="Y70">
        <f>IFERROR(ROUND(X70*0.13,2),"")</f>
        <v/>
      </c>
      <c r="Z70">
        <f>IFERROR(X70+Y70,"")</f>
        <v/>
      </c>
      <c r="AA70" t="inlineStr">
        <is>
          <t>Efectivo</t>
        </is>
      </c>
      <c r="AB70" t="inlineStr"/>
    </row>
    <row r="71">
      <c r="A71" t="inlineStr">
        <is>
          <t>F-10502</t>
        </is>
      </c>
      <c r="B71" s="3" t="n">
        <v>46250</v>
      </c>
      <c r="C71" t="inlineStr">
        <is>
          <t>factura</t>
        </is>
      </c>
      <c r="D71" t="inlineStr">
        <is>
          <t>SO01</t>
        </is>
      </c>
      <c r="E71" t="inlineStr">
        <is>
          <t>Sonsonate</t>
        </is>
      </c>
      <c r="F71" t="inlineStr">
        <is>
          <t>Calle Obispo Marroquín #3</t>
        </is>
      </c>
      <c r="G71" t="inlineStr">
        <is>
          <t>Sonsonate</t>
        </is>
      </c>
      <c r="H71" t="inlineStr">
        <is>
          <t>Sonsonate</t>
        </is>
      </c>
      <c r="I71" t="inlineStr">
        <is>
          <t>Ernesto Chávez</t>
        </is>
      </c>
      <c r="J71" t="inlineStr">
        <is>
          <t>2451-2288</t>
        </is>
      </c>
      <c r="K71" t="inlineStr">
        <is>
          <t>Ricardo Funes</t>
        </is>
      </c>
      <c r="L71" t="inlineStr">
        <is>
          <t>Patricia Guevara Quintanilla</t>
        </is>
      </c>
      <c r="M71" t="inlineStr">
        <is>
          <t>07265655-3</t>
        </is>
      </c>
      <c r="N71" t="inlineStr">
        <is>
          <t>6951-5407</t>
        </is>
      </c>
      <c r="O71" t="inlineStr">
        <is>
          <t>Consumidor final</t>
        </is>
      </c>
      <c r="P71" t="inlineStr">
        <is>
          <t>PAN-002</t>
        </is>
      </c>
      <c r="Q71" t="inlineStr">
        <is>
          <t>Semita alta</t>
        </is>
      </c>
      <c r="R71" t="inlineStr">
        <is>
          <t>Panadería</t>
        </is>
      </c>
      <c r="S71" t="inlineStr">
        <is>
          <t>Panificadora Ilopango</t>
        </is>
      </c>
      <c r="T71" t="inlineStr">
        <is>
          <t>2295-0081</t>
        </is>
      </c>
      <c r="U71" t="n">
        <v>1.75</v>
      </c>
      <c r="V71" t="n">
        <v>4</v>
      </c>
      <c r="W71" t="n">
        <v>0</v>
      </c>
      <c r="X71">
        <f>IFERROR(U71*V71*(1-W71/100),"")</f>
        <v/>
      </c>
      <c r="Y71">
        <f>IFERROR(ROUND(X71*0.13,2),"")</f>
        <v/>
      </c>
      <c r="Z71">
        <f>IFERROR(X71+Y71,"")</f>
        <v/>
      </c>
      <c r="AA71" t="inlineStr">
        <is>
          <t>Efectivo</t>
        </is>
      </c>
      <c r="AB71" t="inlineStr">
        <is>
          <t>pagó con billete de $100</t>
        </is>
      </c>
    </row>
    <row r="72">
      <c r="A72" t="inlineStr">
        <is>
          <t>F-10502</t>
        </is>
      </c>
      <c r="B72" t="inlineStr">
        <is>
          <t>16/08/2026</t>
        </is>
      </c>
      <c r="C72" t="inlineStr">
        <is>
          <t>factura</t>
        </is>
      </c>
      <c r="D72" t="inlineStr">
        <is>
          <t>SO01</t>
        </is>
      </c>
      <c r="E72" t="inlineStr">
        <is>
          <t>SONSONATE</t>
        </is>
      </c>
      <c r="F72" t="inlineStr">
        <is>
          <t>Calle Obispo Marroquín #3</t>
        </is>
      </c>
      <c r="G72" t="inlineStr">
        <is>
          <t>Sonsonate</t>
        </is>
      </c>
      <c r="H72" t="inlineStr">
        <is>
          <t>Sonsonate</t>
        </is>
      </c>
      <c r="I72" t="inlineStr">
        <is>
          <t>Ernesto Chávez</t>
        </is>
      </c>
      <c r="J72" t="inlineStr">
        <is>
          <t>2451-2288</t>
        </is>
      </c>
      <c r="K72" t="inlineStr">
        <is>
          <t>Ricardo Funes</t>
        </is>
      </c>
      <c r="L72" t="inlineStr">
        <is>
          <t>Patricia Guevara Quintanilla</t>
        </is>
      </c>
      <c r="M72" t="inlineStr">
        <is>
          <t>07265655-3</t>
        </is>
      </c>
      <c r="N72" t="inlineStr">
        <is>
          <t>6951-5407</t>
        </is>
      </c>
      <c r="O72" t="inlineStr">
        <is>
          <t>Consumidor final</t>
        </is>
      </c>
      <c r="P72" t="inlineStr">
        <is>
          <t>CAF-002</t>
        </is>
      </c>
      <c r="Q72" t="inlineStr">
        <is>
          <t>Café en grano 1lb</t>
        </is>
      </c>
      <c r="R72" t="inlineStr">
        <is>
          <t>Abarrotes</t>
        </is>
      </c>
      <c r="S72" t="inlineStr">
        <is>
          <t>Café Volcán S.A.</t>
        </is>
      </c>
      <c r="T72" t="inlineStr">
        <is>
          <t>2510-3344</t>
        </is>
      </c>
      <c r="U72" t="n">
        <v>6.75</v>
      </c>
      <c r="V72" t="n">
        <v>2</v>
      </c>
      <c r="W72" t="n">
        <v>0</v>
      </c>
      <c r="X72">
        <f>IFERROR(U72*V72*(1-W72/100),"")</f>
        <v/>
      </c>
      <c r="Y72">
        <f>IFERROR(ROUND(X72*0.13,2),"")</f>
        <v/>
      </c>
      <c r="Z72">
        <f>IFERROR(X72+Y72,"")</f>
        <v/>
      </c>
      <c r="AA72" t="inlineStr">
        <is>
          <t>Efectivo</t>
        </is>
      </c>
      <c r="AB72" t="inlineStr">
        <is>
          <t>entregar en bodega</t>
        </is>
      </c>
    </row>
    <row r="73">
      <c r="A73" t="inlineStr">
        <is>
          <t>F-10504</t>
        </is>
      </c>
      <c r="B73" s="3" t="n">
        <v>46204</v>
      </c>
      <c r="C73" t="inlineStr">
        <is>
          <t>FCF</t>
        </is>
      </c>
      <c r="D73" t="inlineStr">
        <is>
          <t>SS01</t>
        </is>
      </c>
      <c r="E73" t="inlineStr">
        <is>
          <t>S.S. Centro</t>
        </is>
      </c>
      <c r="F73" t="inlineStr">
        <is>
          <t>4a Calle Poniente #215</t>
        </is>
      </c>
      <c r="G73" t="inlineStr">
        <is>
          <t>San Salvador</t>
        </is>
      </c>
      <c r="H73" t="inlineStr">
        <is>
          <t>San Salvador</t>
        </is>
      </c>
      <c r="I73" t="inlineStr">
        <is>
          <t>Roberto Alfaro</t>
        </is>
      </c>
      <c r="J73" t="inlineStr">
        <is>
          <t>2221-4580</t>
        </is>
      </c>
      <c r="K73" t="inlineStr">
        <is>
          <t>Daniela Orellana</t>
        </is>
      </c>
      <c r="L73" t="inlineStr">
        <is>
          <t>Douglas Hernández García</t>
        </is>
      </c>
      <c r="M73" t="inlineStr">
        <is>
          <t>02719991-9</t>
        </is>
      </c>
      <c r="N73" t="inlineStr">
        <is>
          <t>2221-1611</t>
        </is>
      </c>
      <c r="O73" t="inlineStr">
        <is>
          <t>Consumidor final</t>
        </is>
      </c>
      <c r="P73" t="inlineStr">
        <is>
          <t>HAR-001</t>
        </is>
      </c>
      <c r="Q73" t="inlineStr">
        <is>
          <t>Harina de maíz 2lb</t>
        </is>
      </c>
      <c r="R73" t="inlineStr">
        <is>
          <t>Abarrotes</t>
        </is>
      </c>
      <c r="S73" t="inlineStr">
        <is>
          <t>Granos del Pacífico</t>
        </is>
      </c>
      <c r="T73" t="inlineStr">
        <is>
          <t>2234-8890</t>
        </is>
      </c>
      <c r="U73" t="n">
        <v>1.35</v>
      </c>
      <c r="V73" t="n">
        <v>6</v>
      </c>
      <c r="W73" t="n">
        <v>0</v>
      </c>
      <c r="X73">
        <f>IFERROR(U73*V73*(1-W73/100),"")</f>
        <v/>
      </c>
      <c r="Y73">
        <f>IFERROR(ROUND(X73*0.13,2),"")</f>
        <v/>
      </c>
      <c r="Z73">
        <f>IFERROR(X73+Y73,"")</f>
        <v/>
      </c>
      <c r="AA73" t="inlineStr">
        <is>
          <t>Efectivo</t>
        </is>
      </c>
      <c r="AB73" t="inlineStr">
        <is>
          <t>entregar en bodega</t>
        </is>
      </c>
    </row>
    <row r="74">
      <c r="A74" t="inlineStr">
        <is>
          <t>F-10507</t>
        </is>
      </c>
      <c r="B74" s="3" t="n">
        <v>46228</v>
      </c>
      <c r="C74" t="inlineStr">
        <is>
          <t>factura</t>
        </is>
      </c>
      <c r="D74" t="inlineStr">
        <is>
          <t>SO01</t>
        </is>
      </c>
      <c r="E74" t="inlineStr">
        <is>
          <t>Sonsonate</t>
        </is>
      </c>
      <c r="F74" t="inlineStr">
        <is>
          <t>Calle Obispo Marroquín #3</t>
        </is>
      </c>
      <c r="G74" t="inlineStr">
        <is>
          <t>Sonsonate</t>
        </is>
      </c>
      <c r="H74" t="inlineStr">
        <is>
          <t>Sonsonate</t>
        </is>
      </c>
      <c r="I74" t="inlineStr">
        <is>
          <t>Ernesto Chávez</t>
        </is>
      </c>
      <c r="J74" t="inlineStr">
        <is>
          <t>2451-2288</t>
        </is>
      </c>
      <c r="K74" t="inlineStr">
        <is>
          <t>Ricardo Funes</t>
        </is>
      </c>
      <c r="L74" t="inlineStr">
        <is>
          <t>Patricia Guevara Quintanilla</t>
        </is>
      </c>
      <c r="M74" t="inlineStr">
        <is>
          <t>07265655-3</t>
        </is>
      </c>
      <c r="N74" t="inlineStr">
        <is>
          <t>6951-5407</t>
        </is>
      </c>
      <c r="O74" t="inlineStr">
        <is>
          <t>Consumidor final</t>
        </is>
      </c>
      <c r="P74" t="inlineStr">
        <is>
          <t>LAC-002</t>
        </is>
      </c>
      <c r="Q74" t="inlineStr">
        <is>
          <t>Crema 500ml</t>
        </is>
      </c>
      <c r="R74" t="inlineStr">
        <is>
          <t>Lácteos</t>
        </is>
      </c>
      <c r="S74" t="inlineStr">
        <is>
          <t>Lácteos Chalate</t>
        </is>
      </c>
      <c r="T74" t="inlineStr">
        <is>
          <t>2335-1020</t>
        </is>
      </c>
      <c r="U74" t="n">
        <v>2.25</v>
      </c>
      <c r="V74" t="n">
        <v>6</v>
      </c>
      <c r="W74" t="n">
        <v>0</v>
      </c>
      <c r="X74">
        <f>IFERROR(U74*V74*(1-W74/100),"")</f>
        <v/>
      </c>
      <c r="Y74">
        <f>IFERROR(ROUND(X74*0.13,2),"")</f>
        <v/>
      </c>
      <c r="Z74">
        <f>IFERROR(X74+Y74,"")</f>
        <v/>
      </c>
      <c r="AA74" t="inlineStr">
        <is>
          <t>Efectivo</t>
        </is>
      </c>
      <c r="AB74" t="inlineStr"/>
    </row>
    <row r="75">
      <c r="A75" t="inlineStr">
        <is>
          <t>F-10507</t>
        </is>
      </c>
      <c r="B75" t="inlineStr">
        <is>
          <t>2026-07-25</t>
        </is>
      </c>
      <c r="C75" t="inlineStr">
        <is>
          <t>factura</t>
        </is>
      </c>
      <c r="D75" t="inlineStr">
        <is>
          <t>SO01</t>
        </is>
      </c>
      <c r="E75" t="inlineStr">
        <is>
          <t>Sonsonate</t>
        </is>
      </c>
      <c r="F75" t="inlineStr">
        <is>
          <t>Calle Obispo Marroquín #3</t>
        </is>
      </c>
      <c r="G75" t="inlineStr">
        <is>
          <t>Sonsonate</t>
        </is>
      </c>
      <c r="H75" t="inlineStr">
        <is>
          <t>Sonsonate</t>
        </is>
      </c>
      <c r="I75" t="inlineStr">
        <is>
          <t>Ernesto Chávez</t>
        </is>
      </c>
      <c r="J75" t="inlineStr">
        <is>
          <t>2451-2288</t>
        </is>
      </c>
      <c r="K75" t="inlineStr">
        <is>
          <t>Ricardo Funes</t>
        </is>
      </c>
      <c r="L75" t="inlineStr">
        <is>
          <t>Patricia Guevara Quintanilla</t>
        </is>
      </c>
      <c r="M75" t="inlineStr">
        <is>
          <t>07265655-3</t>
        </is>
      </c>
      <c r="N75" t="inlineStr">
        <is>
          <t>6951-5407</t>
        </is>
      </c>
      <c r="O75" t="inlineStr">
        <is>
          <t>Consumidor final</t>
        </is>
      </c>
      <c r="P75" t="inlineStr">
        <is>
          <t>PAN-003</t>
        </is>
      </c>
      <c r="Q75" t="inlineStr">
        <is>
          <t>Quesadilla salvadoreña</t>
        </is>
      </c>
      <c r="R75" t="inlineStr">
        <is>
          <t>Panadería</t>
        </is>
      </c>
      <c r="S75" t="inlineStr">
        <is>
          <t>Panificadora Ilopango</t>
        </is>
      </c>
      <c r="T75" t="inlineStr">
        <is>
          <t>2295-0081</t>
        </is>
      </c>
      <c r="U75" t="n">
        <v>2.5</v>
      </c>
      <c r="V75" t="n">
        <v>4</v>
      </c>
      <c r="W75" t="n">
        <v>0</v>
      </c>
      <c r="X75">
        <f>IFERROR(U75*V75*(1-W75/100),"")</f>
        <v/>
      </c>
      <c r="Y75">
        <f>IFERROR(ROUND(X75*0.13,2),"")</f>
        <v/>
      </c>
      <c r="Z75">
        <f>IFERROR(X75+Y75,"")</f>
        <v/>
      </c>
      <c r="AA75" t="inlineStr">
        <is>
          <t>Efectivo</t>
        </is>
      </c>
      <c r="AB75" t="inlineStr">
        <is>
          <t>entregar en bodega</t>
        </is>
      </c>
    </row>
    <row r="76">
      <c r="A76" t="inlineStr">
        <is>
          <t>F-10510</t>
        </is>
      </c>
      <c r="B76" t="inlineStr">
        <is>
          <t>2026-09-02</t>
        </is>
      </c>
      <c r="C76" t="inlineStr">
        <is>
          <t>FCF</t>
        </is>
      </c>
      <c r="D76" t="inlineStr">
        <is>
          <t>SS02</t>
        </is>
      </c>
      <c r="E76" t="inlineStr">
        <is>
          <t>ESCALON</t>
        </is>
      </c>
      <c r="F76" t="inlineStr">
        <is>
          <t>Paseo General Escalón #3910</t>
        </is>
      </c>
      <c r="G76" t="inlineStr">
        <is>
          <t>San Salvador</t>
        </is>
      </c>
      <c r="H76" t="inlineStr">
        <is>
          <t>San Salvador</t>
        </is>
      </c>
      <c r="I76" t="inlineStr">
        <is>
          <t>Claudia Menjívar</t>
        </is>
      </c>
      <c r="J76" t="inlineStr">
        <is>
          <t>2264-1190</t>
        </is>
      </c>
      <c r="K76" t="inlineStr">
        <is>
          <t>Kevin Benítez</t>
        </is>
      </c>
      <c r="L76" t="inlineStr">
        <is>
          <t>Douglas Pérez Guevara</t>
        </is>
      </c>
      <c r="M76" t="inlineStr">
        <is>
          <t>09863904-2</t>
        </is>
      </c>
      <c r="N76" t="inlineStr">
        <is>
          <t>7997-9269</t>
        </is>
      </c>
      <c r="O76" t="inlineStr">
        <is>
          <t>Consumidor final</t>
        </is>
      </c>
      <c r="P76" t="inlineStr">
        <is>
          <t>BEB-003</t>
        </is>
      </c>
      <c r="Q76" t="inlineStr">
        <is>
          <t>Horchata en polvo 400g</t>
        </is>
      </c>
      <c r="R76" t="inlineStr">
        <is>
          <t>Abarrotes</t>
        </is>
      </c>
      <c r="S76" t="inlineStr">
        <is>
          <t>Bebidas Izalco</t>
        </is>
      </c>
      <c r="T76" t="inlineStr">
        <is>
          <t>2450-7700</t>
        </is>
      </c>
      <c r="U76" t="n">
        <v>2.6</v>
      </c>
      <c r="V76" t="n">
        <v>6</v>
      </c>
      <c r="W76" t="n">
        <v>0</v>
      </c>
      <c r="X76">
        <f>IFERROR(U76*V76*(1-W76/100),"")</f>
        <v/>
      </c>
      <c r="Y76">
        <f>IFERROR(ROUND(X76*0.13,2),"")</f>
        <v/>
      </c>
      <c r="Z76">
        <f>IFERROR(X76+Y76,"")</f>
        <v/>
      </c>
      <c r="AA76" t="inlineStr">
        <is>
          <t>Transferencia</t>
        </is>
      </c>
      <c r="AB76" t="inlineStr"/>
    </row>
    <row r="77">
      <c r="A77" t="inlineStr">
        <is>
          <t>F-10510</t>
        </is>
      </c>
      <c r="B77" s="3" t="n">
        <v>46267</v>
      </c>
      <c r="C77" t="inlineStr">
        <is>
          <t>FCF</t>
        </is>
      </c>
      <c r="D77" t="inlineStr">
        <is>
          <t>SS02</t>
        </is>
      </c>
      <c r="E77" t="inlineStr">
        <is>
          <t>Col. Escalón</t>
        </is>
      </c>
      <c r="F77" t="inlineStr">
        <is>
          <t>Paseo General Escalón #3910</t>
        </is>
      </c>
      <c r="G77" t="inlineStr">
        <is>
          <t>San Salvador</t>
        </is>
      </c>
      <c r="H77" t="inlineStr">
        <is>
          <t>San Salvador</t>
        </is>
      </c>
      <c r="I77" t="inlineStr">
        <is>
          <t>Claudia Menjívar</t>
        </is>
      </c>
      <c r="J77" t="inlineStr">
        <is>
          <t>2264-1190</t>
        </is>
      </c>
      <c r="K77" t="inlineStr">
        <is>
          <t>Kevin Benítez</t>
        </is>
      </c>
      <c r="L77" t="inlineStr">
        <is>
          <t>Douglas Pérez Guevara</t>
        </is>
      </c>
      <c r="M77" t="inlineStr"/>
      <c r="N77" t="inlineStr">
        <is>
          <t>7997-9269</t>
        </is>
      </c>
      <c r="O77" t="inlineStr">
        <is>
          <t>Consumidor final</t>
        </is>
      </c>
      <c r="P77" t="inlineStr">
        <is>
          <t>LAC-001</t>
        </is>
      </c>
      <c r="Q77" t="inlineStr">
        <is>
          <t>Quesillo 1lb</t>
        </is>
      </c>
      <c r="R77" t="inlineStr">
        <is>
          <t>Lacteos</t>
        </is>
      </c>
      <c r="S77" t="inlineStr">
        <is>
          <t>Lácteos Chalate</t>
        </is>
      </c>
      <c r="T77" t="inlineStr">
        <is>
          <t>2335-1020</t>
        </is>
      </c>
      <c r="U77" t="inlineStr">
        <is>
          <t>$3.80</t>
        </is>
      </c>
      <c r="V77" t="n">
        <v>6</v>
      </c>
      <c r="W77" t="n">
        <v>0</v>
      </c>
      <c r="X77">
        <f>IFERROR(U77*V77*(1-W77/100),"")</f>
        <v/>
      </c>
      <c r="Y77">
        <f>IFERROR(ROUND(X77*0.13,2),"")</f>
        <v/>
      </c>
      <c r="Z77">
        <f>IFERROR(X77+Y77,"")</f>
        <v/>
      </c>
      <c r="AA77" t="inlineStr">
        <is>
          <t>Transferencia</t>
        </is>
      </c>
      <c r="AB77" t="inlineStr"/>
    </row>
    <row r="78">
      <c r="A78" t="inlineStr">
        <is>
          <t>F-10510</t>
        </is>
      </c>
      <c r="B78" s="4" t="n">
        <v>46267</v>
      </c>
      <c r="C78" t="inlineStr">
        <is>
          <t>FCF</t>
        </is>
      </c>
      <c r="D78" t="inlineStr">
        <is>
          <t>SS02</t>
        </is>
      </c>
      <c r="E78" t="inlineStr">
        <is>
          <t>Col. Escalón</t>
        </is>
      </c>
      <c r="F78" t="inlineStr">
        <is>
          <t>Paseo General Escalón #3910</t>
        </is>
      </c>
      <c r="G78" t="inlineStr">
        <is>
          <t>San Salvador</t>
        </is>
      </c>
      <c r="H78" t="inlineStr">
        <is>
          <t>San Salvador</t>
        </is>
      </c>
      <c r="I78" t="inlineStr">
        <is>
          <t>Claudia Menjívar</t>
        </is>
      </c>
      <c r="J78" t="inlineStr">
        <is>
          <t>2264-1190</t>
        </is>
      </c>
      <c r="K78" t="inlineStr">
        <is>
          <t>Kevin Benítez</t>
        </is>
      </c>
      <c r="L78" t="inlineStr">
        <is>
          <t>Douglas Pérez Guevara</t>
        </is>
      </c>
      <c r="M78" t="inlineStr"/>
      <c r="N78" t="inlineStr">
        <is>
          <t>7997-9269</t>
        </is>
      </c>
      <c r="O78" t="inlineStr">
        <is>
          <t>Consumidor final</t>
        </is>
      </c>
      <c r="P78" t="inlineStr">
        <is>
          <t>LAC-001</t>
        </is>
      </c>
      <c r="Q78" t="inlineStr">
        <is>
          <t>Quesillo 1lb</t>
        </is>
      </c>
      <c r="R78" t="inlineStr">
        <is>
          <t>Lacteos</t>
        </is>
      </c>
      <c r="S78" t="inlineStr">
        <is>
          <t>Lácteos Chalate</t>
        </is>
      </c>
      <c r="T78" t="inlineStr">
        <is>
          <t>2335-1020</t>
        </is>
      </c>
      <c r="U78" t="inlineStr">
        <is>
          <t>$3.80</t>
        </is>
      </c>
      <c r="V78" t="n">
        <v>6</v>
      </c>
      <c r="W78" t="n">
        <v>0</v>
      </c>
      <c r="X78">
        <f>IFERROR(U78*V78*(1-W78/100),"")</f>
        <v/>
      </c>
      <c r="Y78">
        <f>IFERROR(ROUND(X78*0.13,2),"")</f>
        <v/>
      </c>
      <c r="Z78">
        <f>IFERROR(X78+Y78,"")</f>
        <v/>
      </c>
      <c r="AA78" t="inlineStr">
        <is>
          <t>Transferencia</t>
        </is>
      </c>
      <c r="AB78" t="inlineStr"/>
    </row>
    <row r="79">
      <c r="A79" t="inlineStr">
        <is>
          <t>F-10510</t>
        </is>
      </c>
      <c r="B79" t="inlineStr">
        <is>
          <t>02-Sep-26</t>
        </is>
      </c>
      <c r="C79" t="inlineStr">
        <is>
          <t>FCF</t>
        </is>
      </c>
      <c r="D79" t="inlineStr">
        <is>
          <t>SS02</t>
        </is>
      </c>
      <c r="E79" t="inlineStr">
        <is>
          <t>Escalón</t>
        </is>
      </c>
      <c r="F79" t="inlineStr">
        <is>
          <t>Paseo General Escalón #3910</t>
        </is>
      </c>
      <c r="G79" t="inlineStr">
        <is>
          <t>San Salvador</t>
        </is>
      </c>
      <c r="H79" t="inlineStr">
        <is>
          <t>San Salvador</t>
        </is>
      </c>
      <c r="I79" t="inlineStr">
        <is>
          <t>Claudia Menjívar</t>
        </is>
      </c>
      <c r="J79" t="inlineStr">
        <is>
          <t>2264-1190</t>
        </is>
      </c>
      <c r="K79" t="inlineStr">
        <is>
          <t>Kevin Benítez</t>
        </is>
      </c>
      <c r="L79" t="inlineStr">
        <is>
          <t>Douglas Pérez Guevara</t>
        </is>
      </c>
      <c r="M79" t="inlineStr">
        <is>
          <t>09863904-2</t>
        </is>
      </c>
      <c r="N79" t="inlineStr">
        <is>
          <t>7997-9269</t>
        </is>
      </c>
      <c r="O79" t="inlineStr">
        <is>
          <t>Consumidor final</t>
        </is>
      </c>
      <c r="P79" t="inlineStr">
        <is>
          <t>BEB-001</t>
        </is>
      </c>
      <c r="Q79" t="inlineStr">
        <is>
          <t>Gaseosa 2.5L</t>
        </is>
      </c>
      <c r="R79" t="inlineStr">
        <is>
          <t>bebidas</t>
        </is>
      </c>
      <c r="S79" t="inlineStr">
        <is>
          <t>Bebidas Izalco</t>
        </is>
      </c>
      <c r="T79" t="inlineStr">
        <is>
          <t>2450-7700</t>
        </is>
      </c>
      <c r="U79" t="inlineStr">
        <is>
          <t>$1.95</t>
        </is>
      </c>
      <c r="V79" t="n">
        <v>1</v>
      </c>
      <c r="W79" t="n">
        <v>0</v>
      </c>
      <c r="X79">
        <f>IFERROR(U79*V79*(1-W79/100),"")</f>
        <v/>
      </c>
      <c r="Y79">
        <f>IFERROR(ROUND(X79*0.13,2),"")</f>
        <v/>
      </c>
      <c r="Z79">
        <f>IFERROR(X79+Y79,"")</f>
        <v/>
      </c>
      <c r="AA79" t="inlineStr">
        <is>
          <t>Transferencia</t>
        </is>
      </c>
      <c r="AB79" t="inlineStr">
        <is>
          <t>Cliente frecuente</t>
        </is>
      </c>
    </row>
    <row r="80">
      <c r="A80" t="inlineStr">
        <is>
          <t>F-10510</t>
        </is>
      </c>
      <c r="B80" t="inlineStr">
        <is>
          <t>02/09/2026</t>
        </is>
      </c>
      <c r="C80" t="inlineStr">
        <is>
          <t>FCF</t>
        </is>
      </c>
      <c r="D80" t="inlineStr">
        <is>
          <t>SS02</t>
        </is>
      </c>
      <c r="E80" t="inlineStr">
        <is>
          <t>ESCALON</t>
        </is>
      </c>
      <c r="F80" t="inlineStr">
        <is>
          <t>Paseo General Escalón #3910</t>
        </is>
      </c>
      <c r="G80" t="inlineStr">
        <is>
          <t>San Salvador</t>
        </is>
      </c>
      <c r="H80" t="inlineStr">
        <is>
          <t>San Salvador</t>
        </is>
      </c>
      <c r="I80" t="inlineStr">
        <is>
          <t>Claudia Menjívar</t>
        </is>
      </c>
      <c r="J80" t="inlineStr">
        <is>
          <t>2264-1190</t>
        </is>
      </c>
      <c r="K80" t="inlineStr">
        <is>
          <t>Kevin Benítez</t>
        </is>
      </c>
      <c r="L80" t="inlineStr">
        <is>
          <t>Douglas Pérez Guevara</t>
        </is>
      </c>
      <c r="M80" t="inlineStr">
        <is>
          <t>09863904-2</t>
        </is>
      </c>
      <c r="N80" t="inlineStr">
        <is>
          <t>7997-9269</t>
        </is>
      </c>
      <c r="O80" t="inlineStr">
        <is>
          <t>Consumidor final</t>
        </is>
      </c>
      <c r="P80" t="inlineStr">
        <is>
          <t>BEB-002</t>
        </is>
      </c>
      <c r="Q80" t="inlineStr">
        <is>
          <t>Agua purificada 1 galón</t>
        </is>
      </c>
      <c r="R80" t="inlineStr">
        <is>
          <t>Bebidas</t>
        </is>
      </c>
      <c r="S80" t="inlineStr">
        <is>
          <t>Bebidas Izalco</t>
        </is>
      </c>
      <c r="T80" t="inlineStr">
        <is>
          <t>2450-7700</t>
        </is>
      </c>
      <c r="U80" t="n">
        <v>1.1</v>
      </c>
      <c r="V80" t="n">
        <v>-1</v>
      </c>
      <c r="W80" t="n">
        <v>0</v>
      </c>
      <c r="X80">
        <f>IFERROR(U80*V80*(1-W80/100),"")</f>
        <v/>
      </c>
      <c r="Y80">
        <f>IFERROR(ROUND(X80*0.13,2),"")</f>
        <v/>
      </c>
      <c r="Z80">
        <f>IFERROR(X80+Y80,"")</f>
        <v/>
      </c>
      <c r="AA80" t="inlineStr">
        <is>
          <t>Transferencia</t>
        </is>
      </c>
      <c r="AB80" t="inlineStr"/>
    </row>
    <row r="81">
      <c r="A81" t="inlineStr">
        <is>
          <t>F-10513</t>
        </is>
      </c>
      <c r="B81" s="3" t="n">
        <v>46260</v>
      </c>
      <c r="C81" t="inlineStr">
        <is>
          <t>CCF</t>
        </is>
      </c>
      <c r="D81" t="inlineStr">
        <is>
          <t>LL02</t>
        </is>
      </c>
      <c r="E81" t="inlineStr">
        <is>
          <t>Pto. La Libertad</t>
        </is>
      </c>
      <c r="F81" t="inlineStr">
        <is>
          <t>Calle El Malecón, Local 4</t>
        </is>
      </c>
      <c r="G81" t="inlineStr">
        <is>
          <t>La Libertad</t>
        </is>
      </c>
      <c r="H81" t="inlineStr">
        <is>
          <t>La Libertad</t>
        </is>
      </c>
      <c r="I81" t="inlineStr">
        <is>
          <t>Wendy Aguilar</t>
        </is>
      </c>
      <c r="J81" t="inlineStr">
        <is>
          <t>2335-6140</t>
        </is>
      </c>
      <c r="K81" t="inlineStr">
        <is>
          <t>Gabriela Saravia</t>
        </is>
      </c>
      <c r="L81" t="inlineStr">
        <is>
          <t>Comedor Doña Tere</t>
        </is>
      </c>
      <c r="M81" t="inlineStr">
        <is>
          <t>197287-2</t>
        </is>
      </c>
      <c r="N81" t="inlineStr">
        <is>
          <t>6654-5678</t>
        </is>
      </c>
      <c r="O81" t="inlineStr">
        <is>
          <t>Contribuyente</t>
        </is>
      </c>
      <c r="P81" t="inlineStr">
        <is>
          <t>LAC-001</t>
        </is>
      </c>
      <c r="Q81" t="inlineStr">
        <is>
          <t>Quesillo 1lb</t>
        </is>
      </c>
      <c r="R81" t="inlineStr">
        <is>
          <t>LACTEOS</t>
        </is>
      </c>
      <c r="S81" t="inlineStr">
        <is>
          <t>Lácteos Chalate</t>
        </is>
      </c>
      <c r="T81" t="inlineStr">
        <is>
          <t>7120-4455</t>
        </is>
      </c>
      <c r="U81" t="n">
        <v>3.8</v>
      </c>
      <c r="V81" t="n">
        <v>1</v>
      </c>
      <c r="W81" t="n">
        <v>0</v>
      </c>
      <c r="X81">
        <f>IFERROR(U81*V81*(1-W81/100),"")</f>
        <v/>
      </c>
      <c r="Y81">
        <f>IFERROR(ROUND(X81*0.13,2),"")</f>
        <v/>
      </c>
      <c r="Z81">
        <f>IFERROR(X81+Y81,"")</f>
        <v/>
      </c>
      <c r="AA81" t="inlineStr">
        <is>
          <t>efectivo</t>
        </is>
      </c>
      <c r="AB81" t="inlineStr">
        <is>
          <t>precio especial autorizado por gerente</t>
        </is>
      </c>
    </row>
    <row r="82">
      <c r="A82" t="inlineStr">
        <is>
          <t>F-10513</t>
        </is>
      </c>
      <c r="B82" t="inlineStr">
        <is>
          <t>26-Aug-26</t>
        </is>
      </c>
      <c r="C82" t="inlineStr">
        <is>
          <t>CCF</t>
        </is>
      </c>
      <c r="D82" t="inlineStr">
        <is>
          <t>LL02</t>
        </is>
      </c>
      <c r="E82" t="inlineStr">
        <is>
          <t>Pto. La Libertad</t>
        </is>
      </c>
      <c r="F82" t="inlineStr">
        <is>
          <t>Calle El Malecón, Local 4</t>
        </is>
      </c>
      <c r="G82" t="inlineStr">
        <is>
          <t>La Libertad</t>
        </is>
      </c>
      <c r="H82" t="inlineStr">
        <is>
          <t>La Libertad</t>
        </is>
      </c>
      <c r="I82" t="inlineStr">
        <is>
          <t>Wendy Aguilar</t>
        </is>
      </c>
      <c r="J82" t="inlineStr">
        <is>
          <t>2335-6140</t>
        </is>
      </c>
      <c r="K82" t="inlineStr">
        <is>
          <t>Gabriela Saravia</t>
        </is>
      </c>
      <c r="L82" t="inlineStr">
        <is>
          <t>Comedor Doña Tere</t>
        </is>
      </c>
      <c r="M82" t="inlineStr">
        <is>
          <t>197287-2</t>
        </is>
      </c>
      <c r="N82" t="inlineStr">
        <is>
          <t>6654-5678</t>
        </is>
      </c>
      <c r="O82" t="inlineStr">
        <is>
          <t>Contribuyente</t>
        </is>
      </c>
      <c r="P82" t="inlineStr">
        <is>
          <t>ARR-001</t>
        </is>
      </c>
      <c r="Q82" t="inlineStr">
        <is>
          <t>Arroz blanco 5lb</t>
        </is>
      </c>
      <c r="R82" t="inlineStr">
        <is>
          <t>Granos básicos</t>
        </is>
      </c>
      <c r="S82" t="inlineStr">
        <is>
          <t>Granos del Pacífico</t>
        </is>
      </c>
      <c r="T82" t="inlineStr">
        <is>
          <t>2234-8890</t>
        </is>
      </c>
      <c r="U82" t="inlineStr">
        <is>
          <t>3,95</t>
        </is>
      </c>
      <c r="V82" t="n">
        <v>1</v>
      </c>
      <c r="W82" t="n">
        <v>0</v>
      </c>
      <c r="X82">
        <f>IFERROR(U82*V82*(1-W82/100),"")</f>
        <v/>
      </c>
      <c r="Y82">
        <f>IFERROR(ROUND(X82*0.13,2),"")</f>
        <v/>
      </c>
      <c r="Z82">
        <f>IFERROR(X82+Y82,"")</f>
        <v/>
      </c>
      <c r="AA82" t="inlineStr">
        <is>
          <t>efectivo</t>
        </is>
      </c>
      <c r="AB82" t="inlineStr"/>
    </row>
    <row r="83">
      <c r="A83" t="inlineStr">
        <is>
          <t>F-10514</t>
        </is>
      </c>
      <c r="B83" s="3" t="n">
        <v>46249</v>
      </c>
      <c r="C83" t="inlineStr">
        <is>
          <t>Factura</t>
        </is>
      </c>
      <c r="D83" t="inlineStr">
        <is>
          <t>SA01</t>
        </is>
      </c>
      <c r="E83" t="inlineStr">
        <is>
          <t>Santa Ana</t>
        </is>
      </c>
      <c r="F83" t="inlineStr">
        <is>
          <t>Av. Independencia Sur #12</t>
        </is>
      </c>
      <c r="G83" t="inlineStr">
        <is>
          <t>Santa Ana</t>
        </is>
      </c>
      <c r="H83" t="inlineStr">
        <is>
          <t>Santa Ana</t>
        </is>
      </c>
      <c r="I83" t="inlineStr">
        <is>
          <t>Mauricio Linares</t>
        </is>
      </c>
      <c r="J83" t="inlineStr">
        <is>
          <t>2440-9921</t>
        </is>
      </c>
      <c r="K83" t="inlineStr">
        <is>
          <t>Diego Zelaya</t>
        </is>
      </c>
      <c r="L83" t="inlineStr">
        <is>
          <t>DOUGLAS PÉREZ GUEVARA</t>
        </is>
      </c>
      <c r="M83" t="inlineStr">
        <is>
          <t>09863904-2</t>
        </is>
      </c>
      <c r="N83" t="inlineStr">
        <is>
          <t>7997-9269</t>
        </is>
      </c>
      <c r="O83" t="inlineStr">
        <is>
          <t>Consumidor final</t>
        </is>
      </c>
      <c r="P83" t="inlineStr">
        <is>
          <t>LAC-001</t>
        </is>
      </c>
      <c r="Q83" t="inlineStr">
        <is>
          <t>Quesillo 1lb</t>
        </is>
      </c>
      <c r="R83" t="inlineStr">
        <is>
          <t>Lacteos</t>
        </is>
      </c>
      <c r="S83" t="inlineStr">
        <is>
          <t>Lácteos Chalate</t>
        </is>
      </c>
      <c r="T83" t="inlineStr">
        <is>
          <t>2335-1020</t>
        </is>
      </c>
      <c r="U83" t="n">
        <v>3.8</v>
      </c>
      <c r="V83" t="n">
        <v>6</v>
      </c>
      <c r="W83" t="n">
        <v>0</v>
      </c>
      <c r="X83">
        <f>IFERROR(U83*V83*(1-W83/100),"")</f>
        <v/>
      </c>
      <c r="Y83">
        <f>IFERROR(ROUND(X83*0.13,2),"")</f>
        <v/>
      </c>
      <c r="Z83">
        <f>IFERROR(X83+Y83,"")</f>
        <v/>
      </c>
      <c r="AA83" t="inlineStr">
        <is>
          <t>Efectivo</t>
        </is>
      </c>
      <c r="AB83" t="inlineStr">
        <is>
          <t>pagó con billete de $100</t>
        </is>
      </c>
    </row>
    <row r="84">
      <c r="A84" t="inlineStr">
        <is>
          <t>F-10514</t>
        </is>
      </c>
      <c r="B84" s="3" t="n">
        <v>46249</v>
      </c>
      <c r="C84" t="inlineStr">
        <is>
          <t>Factura</t>
        </is>
      </c>
      <c r="D84" t="inlineStr">
        <is>
          <t>SA01</t>
        </is>
      </c>
      <c r="E84" t="inlineStr">
        <is>
          <t>Santa  Ana</t>
        </is>
      </c>
      <c r="F84" t="inlineStr">
        <is>
          <t>Av. Independencia Sur #12</t>
        </is>
      </c>
      <c r="G84" t="inlineStr">
        <is>
          <t>Santa Ana</t>
        </is>
      </c>
      <c r="H84" t="inlineStr">
        <is>
          <t>Santa Ana</t>
        </is>
      </c>
      <c r="I84" t="inlineStr">
        <is>
          <t>Mauricio Linares</t>
        </is>
      </c>
      <c r="J84" t="inlineStr">
        <is>
          <t>2440-9921</t>
        </is>
      </c>
      <c r="K84" t="inlineStr">
        <is>
          <t>Diego Zelaya</t>
        </is>
      </c>
      <c r="L84" t="inlineStr">
        <is>
          <t>Douglas Pérez Guevara</t>
        </is>
      </c>
      <c r="M84" t="inlineStr">
        <is>
          <t>09863904-2</t>
        </is>
      </c>
      <c r="N84" t="inlineStr">
        <is>
          <t>7997-9269</t>
        </is>
      </c>
      <c r="O84" t="inlineStr">
        <is>
          <t>Consumidor final</t>
        </is>
      </c>
      <c r="P84" t="inlineStr">
        <is>
          <t>HIG-002</t>
        </is>
      </c>
      <c r="Q84" t="inlineStr">
        <is>
          <t>Papel higiénico 4 rollos</t>
        </is>
      </c>
      <c r="R84" t="inlineStr">
        <is>
          <t>Higiene</t>
        </is>
      </c>
      <c r="S84" t="inlineStr">
        <is>
          <t>Higiene Total C.A.</t>
        </is>
      </c>
      <c r="T84" t="inlineStr">
        <is>
          <t>2207-5566</t>
        </is>
      </c>
      <c r="U84" t="n">
        <v>2.15</v>
      </c>
      <c r="V84" t="n">
        <v>24</v>
      </c>
      <c r="W84" t="n">
        <v>0</v>
      </c>
      <c r="X84">
        <f>IFERROR(U84*V84*(1-W84/100),"")</f>
        <v/>
      </c>
      <c r="Y84">
        <f>IFERROR(ROUND(X84*0.13,2),"")</f>
        <v/>
      </c>
      <c r="Z84">
        <f>IFERROR(X84+Y84,"")</f>
        <v/>
      </c>
      <c r="AA84" t="inlineStr">
        <is>
          <t>Efectivo</t>
        </is>
      </c>
      <c r="AB84" t="inlineStr">
        <is>
          <t>entregar en bodega</t>
        </is>
      </c>
    </row>
    <row r="85">
      <c r="A85" t="inlineStr">
        <is>
          <t>F-10514</t>
        </is>
      </c>
      <c r="B85" s="3" t="n">
        <v>46249</v>
      </c>
      <c r="C85" t="inlineStr">
        <is>
          <t>Factura</t>
        </is>
      </c>
      <c r="D85" t="inlineStr">
        <is>
          <t>SA01</t>
        </is>
      </c>
      <c r="E85" t="inlineStr">
        <is>
          <t>Santa  Ana</t>
        </is>
      </c>
      <c r="F85" t="inlineStr">
        <is>
          <t>Av. Independencia Sur #12</t>
        </is>
      </c>
      <c r="G85" t="inlineStr">
        <is>
          <t>Santa Ana</t>
        </is>
      </c>
      <c r="H85" t="inlineStr">
        <is>
          <t>Santa Ana</t>
        </is>
      </c>
      <c r="I85" t="inlineStr">
        <is>
          <t>Mauricio Linares</t>
        </is>
      </c>
      <c r="J85" t="inlineStr">
        <is>
          <t>2440-9921</t>
        </is>
      </c>
      <c r="K85" t="inlineStr">
        <is>
          <t>Diego Zelaya</t>
        </is>
      </c>
      <c r="L85" t="inlineStr">
        <is>
          <t>Douglas Pérez Guevara</t>
        </is>
      </c>
      <c r="M85" t="inlineStr">
        <is>
          <t>09863904-2</t>
        </is>
      </c>
      <c r="N85" t="inlineStr">
        <is>
          <t>7997-9269</t>
        </is>
      </c>
      <c r="O85" t="inlineStr">
        <is>
          <t>Consumidor final</t>
        </is>
      </c>
      <c r="P85" t="inlineStr">
        <is>
          <t>CAF-001</t>
        </is>
      </c>
      <c r="Q85" t="inlineStr">
        <is>
          <t>Café molido 400g</t>
        </is>
      </c>
      <c r="R85" t="inlineStr">
        <is>
          <t>abarrotes</t>
        </is>
      </c>
      <c r="S85" t="inlineStr">
        <is>
          <t>Café Volcán S.A.</t>
        </is>
      </c>
      <c r="T85" t="inlineStr">
        <is>
          <t>2510-3344</t>
        </is>
      </c>
      <c r="U85" t="n">
        <v>4.25</v>
      </c>
      <c r="V85" t="n">
        <v>1</v>
      </c>
      <c r="W85" t="n">
        <v>0</v>
      </c>
      <c r="X85">
        <f>IFERROR(U85*V85*(1-W85/100),"")</f>
        <v/>
      </c>
      <c r="Y85">
        <f>IFERROR(ROUND(X85*0.13,2),"")</f>
        <v/>
      </c>
      <c r="Z85">
        <f>IFERROR(X85+Y85,"")</f>
        <v/>
      </c>
      <c r="AA85" t="inlineStr">
        <is>
          <t>Efectivo</t>
        </is>
      </c>
      <c r="AB85" t="inlineStr">
        <is>
          <t>Llamar al 7788-1234 antes de entregar</t>
        </is>
      </c>
    </row>
    <row r="86">
      <c r="A86" t="inlineStr">
        <is>
          <t>F-10514</t>
        </is>
      </c>
      <c r="B86" s="3" t="n">
        <v>46249</v>
      </c>
      <c r="C86" t="inlineStr">
        <is>
          <t>Factura</t>
        </is>
      </c>
      <c r="D86" t="inlineStr">
        <is>
          <t>SA01</t>
        </is>
      </c>
      <c r="E86" t="inlineStr">
        <is>
          <t>Santa Ana</t>
        </is>
      </c>
      <c r="F86" t="inlineStr">
        <is>
          <t>Av. Independencia Sur #12</t>
        </is>
      </c>
      <c r="G86" t="inlineStr">
        <is>
          <t>Santa Ana</t>
        </is>
      </c>
      <c r="H86" t="inlineStr">
        <is>
          <t>Santa Ana</t>
        </is>
      </c>
      <c r="I86" t="inlineStr">
        <is>
          <t>Mauricio Linares</t>
        </is>
      </c>
      <c r="J86" t="inlineStr">
        <is>
          <t>2440-9921</t>
        </is>
      </c>
      <c r="K86" t="inlineStr">
        <is>
          <t>Diego Zelaya</t>
        </is>
      </c>
      <c r="L86" t="inlineStr">
        <is>
          <t>Douglas Pérez Guevara</t>
        </is>
      </c>
      <c r="M86" t="inlineStr">
        <is>
          <t>09863904-2</t>
        </is>
      </c>
      <c r="N86" t="inlineStr">
        <is>
          <t>7997-9269</t>
        </is>
      </c>
      <c r="O86" t="inlineStr">
        <is>
          <t>Consumidor final</t>
        </is>
      </c>
      <c r="P86" t="inlineStr">
        <is>
          <t>LAC-003</t>
        </is>
      </c>
      <c r="Q86" t="inlineStr">
        <is>
          <t>Leche entera 1L</t>
        </is>
      </c>
      <c r="R86" t="inlineStr">
        <is>
          <t>Lácteos</t>
        </is>
      </c>
      <c r="S86" t="inlineStr">
        <is>
          <t>Lácteos Chalate</t>
        </is>
      </c>
      <c r="T86" t="inlineStr">
        <is>
          <t>2335-1020</t>
        </is>
      </c>
      <c r="U86" t="n">
        <v>1.2</v>
      </c>
      <c r="V86" t="n">
        <v>2</v>
      </c>
      <c r="W86" t="n">
        <v>0</v>
      </c>
      <c r="X86">
        <f>IFERROR(U86*V86*(1-W86/100),"")</f>
        <v/>
      </c>
      <c r="Y86">
        <f>IFERROR(ROUND(X86*0.13,2),"")</f>
        <v/>
      </c>
      <c r="Z86">
        <f>IFERROR(X86+Y86,"")</f>
        <v/>
      </c>
      <c r="AA86" t="inlineStr">
        <is>
          <t>Efectivo</t>
        </is>
      </c>
      <c r="AB86" t="inlineStr"/>
    </row>
    <row r="87">
      <c r="A87" t="inlineStr">
        <is>
          <t>F-10515</t>
        </is>
      </c>
      <c r="B87" t="inlineStr">
        <is>
          <t>21/09/2026</t>
        </is>
      </c>
      <c r="C87" t="inlineStr">
        <is>
          <t>Factura</t>
        </is>
      </c>
      <c r="D87" t="inlineStr">
        <is>
          <t>SO01</t>
        </is>
      </c>
      <c r="E87" t="inlineStr">
        <is>
          <t>Sonsonate</t>
        </is>
      </c>
      <c r="F87" t="inlineStr">
        <is>
          <t>Calle Obispo Marroquín #3</t>
        </is>
      </c>
      <c r="G87" t="inlineStr">
        <is>
          <t>Sonsonate</t>
        </is>
      </c>
      <c r="H87" t="inlineStr">
        <is>
          <t>Sonsonate</t>
        </is>
      </c>
      <c r="I87" t="inlineStr">
        <is>
          <t>Ernesto Chávez</t>
        </is>
      </c>
      <c r="J87" t="inlineStr">
        <is>
          <t>2451-2288</t>
        </is>
      </c>
      <c r="K87" t="inlineStr">
        <is>
          <t>Ricardo Funes</t>
        </is>
      </c>
      <c r="L87" t="inlineStr">
        <is>
          <t>René Cornejo Cornejo</t>
        </is>
      </c>
      <c r="M87" t="inlineStr">
        <is>
          <t>03632979-1</t>
        </is>
      </c>
      <c r="N87" t="inlineStr">
        <is>
          <t>7833-5595</t>
        </is>
      </c>
      <c r="O87" t="inlineStr">
        <is>
          <t>Consumidor final</t>
        </is>
      </c>
      <c r="P87" t="inlineStr">
        <is>
          <t>PAN-002</t>
        </is>
      </c>
      <c r="Q87" t="inlineStr">
        <is>
          <t>Semita alta</t>
        </is>
      </c>
      <c r="R87" t="inlineStr">
        <is>
          <t>Panadería</t>
        </is>
      </c>
      <c r="S87" t="inlineStr">
        <is>
          <t>Panificadora Ilopango</t>
        </is>
      </c>
      <c r="T87" t="inlineStr">
        <is>
          <t>2295-0081</t>
        </is>
      </c>
      <c r="U87" t="n">
        <v>1.75</v>
      </c>
      <c r="V87" t="n">
        <v>3</v>
      </c>
      <c r="W87" t="n">
        <v>0</v>
      </c>
      <c r="X87">
        <f>IFERROR(U87*V87*(1-W87/100),"")</f>
        <v/>
      </c>
      <c r="Y87">
        <f>IFERROR(ROUND(X87*0.13,2),"")</f>
        <v/>
      </c>
      <c r="Z87">
        <f>IFERROR(X87+Y87,"")</f>
        <v/>
      </c>
      <c r="AA87" t="inlineStr">
        <is>
          <t>Efectivo</t>
        </is>
      </c>
      <c r="AB87" t="inlineStr">
        <is>
          <t>Cliente frecuente</t>
        </is>
      </c>
    </row>
    <row r="88">
      <c r="A88" t="inlineStr">
        <is>
          <t>F-10515</t>
        </is>
      </c>
      <c r="B88" s="3" t="n">
        <v>46286</v>
      </c>
      <c r="C88" t="inlineStr">
        <is>
          <t>Factura</t>
        </is>
      </c>
      <c r="D88" t="inlineStr">
        <is>
          <t>SO01</t>
        </is>
      </c>
      <c r="E88" t="inlineStr">
        <is>
          <t>SONSONATE</t>
        </is>
      </c>
      <c r="F88" t="inlineStr">
        <is>
          <t>Calle Obispo Marroquín #3</t>
        </is>
      </c>
      <c r="G88" t="inlineStr">
        <is>
          <t>Sonsonate</t>
        </is>
      </c>
      <c r="H88" t="inlineStr">
        <is>
          <t>Sonsonate</t>
        </is>
      </c>
      <c r="I88" t="inlineStr">
        <is>
          <t>Ernesto Chávez</t>
        </is>
      </c>
      <c r="J88" t="inlineStr">
        <is>
          <t>2451-2288</t>
        </is>
      </c>
      <c r="K88" t="inlineStr">
        <is>
          <t>Ricardo Funes</t>
        </is>
      </c>
      <c r="L88" t="inlineStr">
        <is>
          <t>René Cornejo Cornejo</t>
        </is>
      </c>
      <c r="M88" t="inlineStr"/>
      <c r="N88" t="inlineStr">
        <is>
          <t>7833-5595</t>
        </is>
      </c>
      <c r="O88" t="inlineStr">
        <is>
          <t>Consumidor final</t>
        </is>
      </c>
      <c r="P88" t="inlineStr">
        <is>
          <t>HIG-003</t>
        </is>
      </c>
      <c r="Q88" t="inlineStr">
        <is>
          <t>Jabón de lavar barra</t>
        </is>
      </c>
      <c r="R88" t="inlineStr">
        <is>
          <t>Limpieza</t>
        </is>
      </c>
      <c r="S88" t="inlineStr">
        <is>
          <t>Higiene Total C.A.</t>
        </is>
      </c>
      <c r="T88" t="inlineStr">
        <is>
          <t>2207-5566</t>
        </is>
      </c>
      <c r="U88" t="n">
        <v>0.75</v>
      </c>
      <c r="V88" t="n">
        <v>2</v>
      </c>
      <c r="W88" t="n">
        <v>0</v>
      </c>
      <c r="X88">
        <f>IFERROR(U88*V88*(1-W88/100),"")</f>
        <v/>
      </c>
      <c r="Y88">
        <f>IFERROR(ROUND(X88*0.13,2),"")</f>
        <v/>
      </c>
      <c r="Z88">
        <f>IFERROR(X88+Y88,"")</f>
        <v/>
      </c>
      <c r="AA88" t="inlineStr">
        <is>
          <t>Efectivo</t>
        </is>
      </c>
      <c r="AB88" t="inlineStr">
        <is>
          <t>entregar en bodega</t>
        </is>
      </c>
    </row>
    <row r="89">
      <c r="A89" t="inlineStr">
        <is>
          <t>F-10515</t>
        </is>
      </c>
      <c r="B89" s="3" t="n">
        <v>46286</v>
      </c>
      <c r="C89" t="inlineStr">
        <is>
          <t>Factura</t>
        </is>
      </c>
      <c r="D89" t="inlineStr">
        <is>
          <t>SO01</t>
        </is>
      </c>
      <c r="E89" t="inlineStr">
        <is>
          <t>Sonsonate</t>
        </is>
      </c>
      <c r="F89" t="inlineStr">
        <is>
          <t>Calle Obispo Marroquín #3</t>
        </is>
      </c>
      <c r="G89" t="inlineStr">
        <is>
          <t>Sonsonate</t>
        </is>
      </c>
      <c r="H89" t="inlineStr">
        <is>
          <t>Sonsonate</t>
        </is>
      </c>
      <c r="I89" t="inlineStr">
        <is>
          <t>Ernesto Chávez</t>
        </is>
      </c>
      <c r="J89" t="inlineStr">
        <is>
          <t>2451-2288</t>
        </is>
      </c>
      <c r="K89" t="inlineStr">
        <is>
          <t>Ricardo Funes</t>
        </is>
      </c>
      <c r="L89" t="inlineStr">
        <is>
          <t>René Cornejo Cornejo</t>
        </is>
      </c>
      <c r="M89" t="inlineStr">
        <is>
          <t>03632979-1</t>
        </is>
      </c>
      <c r="N89" t="inlineStr">
        <is>
          <t>7833-5595</t>
        </is>
      </c>
      <c r="O89" t="inlineStr">
        <is>
          <t>Consumidor final</t>
        </is>
      </c>
      <c r="P89" t="inlineStr">
        <is>
          <t>LAC-003</t>
        </is>
      </c>
      <c r="Q89" t="inlineStr">
        <is>
          <t>Leche entera 1L</t>
        </is>
      </c>
      <c r="R89" t="inlineStr">
        <is>
          <t>Lácteos</t>
        </is>
      </c>
      <c r="S89" t="inlineStr">
        <is>
          <t>Lácteos Chalate</t>
        </is>
      </c>
      <c r="T89" t="inlineStr">
        <is>
          <t>2335-1020</t>
        </is>
      </c>
      <c r="U89" t="n">
        <v>1.2</v>
      </c>
      <c r="V89" t="n">
        <v>1</v>
      </c>
      <c r="W89" t="n">
        <v>0</v>
      </c>
      <c r="X89">
        <f>IFERROR(U89*V89*(1-W89/100),"")</f>
        <v/>
      </c>
      <c r="Y89">
        <f>IFERROR(ROUND(X89*0.13,2),"")</f>
        <v/>
      </c>
      <c r="Z89">
        <f>IFERROR(X89+Y89,"")</f>
        <v/>
      </c>
      <c r="AA89" t="inlineStr">
        <is>
          <t>Efectivo</t>
        </is>
      </c>
      <c r="AB89" t="inlineStr">
        <is>
          <t>Cliente frecuente</t>
        </is>
      </c>
    </row>
    <row r="90">
      <c r="A90" t="inlineStr">
        <is>
          <t>F-10515</t>
        </is>
      </c>
      <c r="B90" s="3" t="n">
        <v>46286</v>
      </c>
      <c r="C90" t="inlineStr">
        <is>
          <t>Factura</t>
        </is>
      </c>
      <c r="D90" t="inlineStr">
        <is>
          <t>SO01</t>
        </is>
      </c>
      <c r="E90" t="inlineStr">
        <is>
          <t>Sonsonate</t>
        </is>
      </c>
      <c r="F90" t="inlineStr">
        <is>
          <t>Calle Obispo Marroquín #3</t>
        </is>
      </c>
      <c r="G90" t="inlineStr">
        <is>
          <t>Sonsonate</t>
        </is>
      </c>
      <c r="H90" t="inlineStr">
        <is>
          <t>Sonsonate</t>
        </is>
      </c>
      <c r="I90" t="inlineStr">
        <is>
          <t>Ernesto Chávez</t>
        </is>
      </c>
      <c r="J90" t="inlineStr">
        <is>
          <t>2451-2288</t>
        </is>
      </c>
      <c r="K90" t="inlineStr">
        <is>
          <t>Ricardo Funes</t>
        </is>
      </c>
      <c r="L90" t="inlineStr">
        <is>
          <t>René Cornejo Cornejo</t>
        </is>
      </c>
      <c r="M90" t="inlineStr">
        <is>
          <t>03632979-1</t>
        </is>
      </c>
      <c r="N90" t="inlineStr">
        <is>
          <t>7833-5595</t>
        </is>
      </c>
      <c r="O90" t="inlineStr">
        <is>
          <t>Consumidor final</t>
        </is>
      </c>
      <c r="P90" t="inlineStr">
        <is>
          <t>HIG-002</t>
        </is>
      </c>
      <c r="Q90" t="inlineStr">
        <is>
          <t>Papel higiénico 4 rollos</t>
        </is>
      </c>
      <c r="R90" t="inlineStr">
        <is>
          <t>Limpieza</t>
        </is>
      </c>
      <c r="S90" t="inlineStr">
        <is>
          <t>Higiene Total C.A.</t>
        </is>
      </c>
      <c r="T90" t="inlineStr">
        <is>
          <t>2207-5566</t>
        </is>
      </c>
      <c r="U90" t="n">
        <v>2.15</v>
      </c>
      <c r="V90" t="n">
        <v>2</v>
      </c>
      <c r="W90" t="n">
        <v>0</v>
      </c>
      <c r="X90">
        <f>IFERROR(U90*V90*(1-W90/100),"")</f>
        <v/>
      </c>
      <c r="Y90">
        <f>IFERROR(ROUND(X90*0.13,2),"")</f>
        <v/>
      </c>
      <c r="Z90">
        <f>IFERROR(X90+Y90,"")</f>
        <v/>
      </c>
      <c r="AA90" t="inlineStr">
        <is>
          <t>Efectivo</t>
        </is>
      </c>
      <c r="AB90" t="inlineStr"/>
    </row>
    <row r="91">
      <c r="A91" t="inlineStr">
        <is>
          <t>F-10517</t>
        </is>
      </c>
      <c r="B91" s="3" t="n">
        <v>46266</v>
      </c>
      <c r="C91" t="inlineStr">
        <is>
          <t>Factura</t>
        </is>
      </c>
      <c r="D91" t="inlineStr">
        <is>
          <t>US01</t>
        </is>
      </c>
      <c r="E91" t="inlineStr">
        <is>
          <t>Usulutan</t>
        </is>
      </c>
      <c r="F91" t="inlineStr">
        <is>
          <t>2a Av. Norte #9</t>
        </is>
      </c>
      <c r="G91" t="inlineStr">
        <is>
          <t>Usulután</t>
        </is>
      </c>
      <c r="H91" t="inlineStr">
        <is>
          <t>Usulután</t>
        </is>
      </c>
      <c r="I91" t="inlineStr">
        <is>
          <t>Nelson Fuentes</t>
        </is>
      </c>
      <c r="J91" t="inlineStr">
        <is>
          <t>2662-8810</t>
        </is>
      </c>
      <c r="K91" t="inlineStr">
        <is>
          <t>Miguel Bonilla</t>
        </is>
      </c>
      <c r="L91" t="inlineStr">
        <is>
          <t>Sandra Guevara Lemus</t>
        </is>
      </c>
      <c r="M91" t="inlineStr">
        <is>
          <t>08577633-7</t>
        </is>
      </c>
      <c r="N91" t="inlineStr">
        <is>
          <t>6671-1550</t>
        </is>
      </c>
      <c r="O91" t="inlineStr">
        <is>
          <t>Consumidor final</t>
        </is>
      </c>
      <c r="P91" t="inlineStr">
        <is>
          <t>HIG-001</t>
        </is>
      </c>
      <c r="Q91" t="inlineStr">
        <is>
          <t>Detergente 1kg</t>
        </is>
      </c>
      <c r="R91" t="inlineStr">
        <is>
          <t>Limpieza</t>
        </is>
      </c>
      <c r="S91" t="inlineStr">
        <is>
          <t>Higiene Total C.A.</t>
        </is>
      </c>
      <c r="T91" t="inlineStr">
        <is>
          <t>2207-5566</t>
        </is>
      </c>
      <c r="U91" t="n">
        <v>3.45</v>
      </c>
      <c r="V91" t="n">
        <v>2</v>
      </c>
      <c r="W91" t="n">
        <v>0</v>
      </c>
      <c r="X91">
        <f>IFERROR(U91*V91*(1-W91/100),"")</f>
        <v/>
      </c>
      <c r="Y91">
        <f>IFERROR(ROUND(X91*0.13,2),"")</f>
        <v/>
      </c>
      <c r="Z91">
        <f>IFERROR(X91+Y91,"")</f>
        <v/>
      </c>
      <c r="AA91" t="inlineStr">
        <is>
          <t>Chivo</t>
        </is>
      </c>
      <c r="AB91" t="inlineStr"/>
    </row>
    <row r="92">
      <c r="A92" t="inlineStr">
        <is>
          <t>F-10517</t>
        </is>
      </c>
      <c r="B92" t="inlineStr">
        <is>
          <t>01-Sep-26</t>
        </is>
      </c>
      <c r="C92" t="inlineStr">
        <is>
          <t>Factura</t>
        </is>
      </c>
      <c r="D92" t="inlineStr">
        <is>
          <t>US01</t>
        </is>
      </c>
      <c r="E92" t="inlineStr">
        <is>
          <t>Usulután</t>
        </is>
      </c>
      <c r="F92" t="inlineStr">
        <is>
          <t>2a Av. Norte #9</t>
        </is>
      </c>
      <c r="G92" t="inlineStr">
        <is>
          <t>Usulután</t>
        </is>
      </c>
      <c r="H92" t="inlineStr">
        <is>
          <t>Usulután</t>
        </is>
      </c>
      <c r="I92" t="inlineStr">
        <is>
          <t>Nelson Fuentes</t>
        </is>
      </c>
      <c r="J92" t="inlineStr">
        <is>
          <t>2662-8810</t>
        </is>
      </c>
      <c r="K92" t="inlineStr">
        <is>
          <t>Miguel Bonilla</t>
        </is>
      </c>
      <c r="L92" t="inlineStr">
        <is>
          <t>Sandra Guevara Lemus</t>
        </is>
      </c>
      <c r="M92" t="inlineStr">
        <is>
          <t>08577633-7</t>
        </is>
      </c>
      <c r="N92" t="inlineStr">
        <is>
          <t>6671-1550</t>
        </is>
      </c>
      <c r="O92" t="inlineStr">
        <is>
          <t>Consumidor final</t>
        </is>
      </c>
      <c r="P92" t="inlineStr">
        <is>
          <t>CAF-002</t>
        </is>
      </c>
      <c r="Q92" t="inlineStr">
        <is>
          <t>Café en grano 1lb</t>
        </is>
      </c>
      <c r="R92" t="inlineStr">
        <is>
          <t>Abarrotes</t>
        </is>
      </c>
      <c r="S92" t="inlineStr">
        <is>
          <t>Café Volcán S.A.</t>
        </is>
      </c>
      <c r="T92" t="inlineStr">
        <is>
          <t>2510-3344</t>
        </is>
      </c>
      <c r="U92" t="n">
        <v>6.75</v>
      </c>
      <c r="V92" t="n">
        <v>3</v>
      </c>
      <c r="W92" t="n">
        <v>0</v>
      </c>
      <c r="X92">
        <f>IFERROR(U92*V92*(1-W92/100),"")</f>
        <v/>
      </c>
      <c r="Y92">
        <f>IFERROR(ROUND(X92*0.13,2),"")</f>
        <v/>
      </c>
      <c r="Z92">
        <f>IFERROR(X92+Y92,"")</f>
        <v/>
      </c>
      <c r="AA92" t="inlineStr">
        <is>
          <t>Chivo</t>
        </is>
      </c>
      <c r="AB92" t="inlineStr">
        <is>
          <t>Cliente frecuente</t>
        </is>
      </c>
    </row>
    <row r="93">
      <c r="A93" t="inlineStr">
        <is>
          <t>F-10517</t>
        </is>
      </c>
      <c r="B93" s="3" t="n">
        <v>46266</v>
      </c>
      <c r="C93" t="inlineStr">
        <is>
          <t>Factura</t>
        </is>
      </c>
      <c r="D93" t="inlineStr">
        <is>
          <t>US01</t>
        </is>
      </c>
      <c r="E93" t="inlineStr">
        <is>
          <t>Usulután</t>
        </is>
      </c>
      <c r="F93" t="inlineStr">
        <is>
          <t>2a Av. Norte #9</t>
        </is>
      </c>
      <c r="G93" t="inlineStr">
        <is>
          <t>Usulután</t>
        </is>
      </c>
      <c r="H93" t="inlineStr">
        <is>
          <t>Usulután</t>
        </is>
      </c>
      <c r="I93" t="inlineStr">
        <is>
          <t>Nelson Fuentes</t>
        </is>
      </c>
      <c r="J93" t="inlineStr">
        <is>
          <t>2662-8810</t>
        </is>
      </c>
      <c r="K93" t="inlineStr">
        <is>
          <t>Miguel Bonilla</t>
        </is>
      </c>
      <c r="L93" t="inlineStr">
        <is>
          <t>Sandra Guevara Lemus</t>
        </is>
      </c>
      <c r="M93" t="inlineStr">
        <is>
          <t>08577633-7</t>
        </is>
      </c>
      <c r="N93" t="inlineStr">
        <is>
          <t>6671-1550</t>
        </is>
      </c>
      <c r="O93" t="inlineStr">
        <is>
          <t>Consumidor final</t>
        </is>
      </c>
      <c r="P93" t="inlineStr">
        <is>
          <t>BEB-002</t>
        </is>
      </c>
      <c r="Q93" t="inlineStr">
        <is>
          <t>Agua purificada 1 galón</t>
        </is>
      </c>
      <c r="R93" t="inlineStr">
        <is>
          <t>Bebidas</t>
        </is>
      </c>
      <c r="S93" t="inlineStr">
        <is>
          <t>Bebidas Izalco</t>
        </is>
      </c>
      <c r="T93" t="inlineStr">
        <is>
          <t>2450-7700</t>
        </is>
      </c>
      <c r="U93" t="n">
        <v>1.1</v>
      </c>
      <c r="V93" t="n">
        <v>1</v>
      </c>
      <c r="W93" t="n">
        <v>0</v>
      </c>
      <c r="X93">
        <f>IFERROR(U93*V93*(1-W93/100),"")</f>
        <v/>
      </c>
      <c r="Y93">
        <f>IFERROR(ROUND(X93*0.13,2),"")</f>
        <v/>
      </c>
      <c r="Z93">
        <f>IFERROR(X93+Y93,"")</f>
        <v/>
      </c>
      <c r="AA93" t="inlineStr">
        <is>
          <t>Chivo</t>
        </is>
      </c>
      <c r="AB93" t="inlineStr">
        <is>
          <t>Llamar al 7788-1234 antes de entregar</t>
        </is>
      </c>
    </row>
    <row r="94">
      <c r="A94" t="inlineStr">
        <is>
          <t>F-10517</t>
        </is>
      </c>
      <c r="B94" s="3" t="n">
        <v>46266</v>
      </c>
      <c r="C94" t="inlineStr">
        <is>
          <t>Factura</t>
        </is>
      </c>
      <c r="D94" t="inlineStr">
        <is>
          <t>US01</t>
        </is>
      </c>
      <c r="E94" t="inlineStr">
        <is>
          <t>Usulutan</t>
        </is>
      </c>
      <c r="F94" t="inlineStr">
        <is>
          <t>2a Av. Norte #9</t>
        </is>
      </c>
      <c r="G94" t="inlineStr">
        <is>
          <t>Usulután</t>
        </is>
      </c>
      <c r="H94" t="inlineStr">
        <is>
          <t>Usulután</t>
        </is>
      </c>
      <c r="I94" t="inlineStr">
        <is>
          <t>Nelson Fuentes</t>
        </is>
      </c>
      <c r="J94" t="inlineStr">
        <is>
          <t>2662-8810</t>
        </is>
      </c>
      <c r="K94" t="inlineStr">
        <is>
          <t>Miguel Bonilla</t>
        </is>
      </c>
      <c r="L94" t="inlineStr">
        <is>
          <t>Sandra Guevara Lemus</t>
        </is>
      </c>
      <c r="M94" t="inlineStr">
        <is>
          <t>08577633-7</t>
        </is>
      </c>
      <c r="N94" t="inlineStr">
        <is>
          <t>6671-1550</t>
        </is>
      </c>
      <c r="O94" t="inlineStr">
        <is>
          <t>Consumidor final</t>
        </is>
      </c>
      <c r="P94" t="inlineStr">
        <is>
          <t>PAN-003</t>
        </is>
      </c>
      <c r="Q94" t="inlineStr">
        <is>
          <t>Quesadilla salvadoreña</t>
        </is>
      </c>
      <c r="R94" t="inlineStr">
        <is>
          <t>PANADERIA</t>
        </is>
      </c>
      <c r="S94" t="inlineStr">
        <is>
          <t>Panificadora Ilopango</t>
        </is>
      </c>
      <c r="T94" t="inlineStr">
        <is>
          <t>2295-0081</t>
        </is>
      </c>
      <c r="U94" t="n">
        <v>2.5</v>
      </c>
      <c r="V94" t="n">
        <v>1</v>
      </c>
      <c r="W94" t="n">
        <v>0</v>
      </c>
      <c r="X94">
        <f>IFERROR(U94*V94*(1-W94/100),"")</f>
        <v/>
      </c>
      <c r="Y94">
        <f>IFERROR(ROUND(X94*0.13,2),"")</f>
        <v/>
      </c>
      <c r="Z94">
        <f>IFERROR(X94+Y94,"")</f>
        <v/>
      </c>
      <c r="AA94" t="inlineStr">
        <is>
          <t>Chivo</t>
        </is>
      </c>
      <c r="AB94" t="inlineStr">
        <is>
          <t>Llamar al 7788-1234 antes de entregar</t>
        </is>
      </c>
    </row>
    <row r="95">
      <c r="A95" t="inlineStr">
        <is>
          <t>F-10519</t>
        </is>
      </c>
      <c r="B95" s="3" t="n">
        <v>46291</v>
      </c>
      <c r="C95" t="inlineStr">
        <is>
          <t>Factura</t>
        </is>
      </c>
      <c r="D95" t="inlineStr">
        <is>
          <t>SS01</t>
        </is>
      </c>
      <c r="E95" t="inlineStr">
        <is>
          <t>San Salvador Centro</t>
        </is>
      </c>
      <c r="F95" t="inlineStr">
        <is>
          <t>4a Calle Poniente #215</t>
        </is>
      </c>
      <c r="G95" t="inlineStr">
        <is>
          <t>San Salvador</t>
        </is>
      </c>
      <c r="H95" t="inlineStr">
        <is>
          <t>San Salvador</t>
        </is>
      </c>
      <c r="I95" t="inlineStr">
        <is>
          <t>Roberto Alfaro</t>
        </is>
      </c>
      <c r="J95" t="inlineStr">
        <is>
          <t>2221-4580</t>
        </is>
      </c>
      <c r="K95" t="inlineStr">
        <is>
          <t>José Martínez</t>
        </is>
      </c>
      <c r="L95" t="inlineStr">
        <is>
          <t>Patricia García Martínez</t>
        </is>
      </c>
      <c r="M95" t="inlineStr">
        <is>
          <t>02380558-6</t>
        </is>
      </c>
      <c r="N95" t="inlineStr">
        <is>
          <t>6660-5283</t>
        </is>
      </c>
      <c r="O95" t="inlineStr">
        <is>
          <t>Consumidor final</t>
        </is>
      </c>
      <c r="P95" t="inlineStr">
        <is>
          <t>CAF-002</t>
        </is>
      </c>
      <c r="Q95" t="inlineStr">
        <is>
          <t>Café en grano 1lb</t>
        </is>
      </c>
      <c r="R95" t="inlineStr">
        <is>
          <t>Abarrotes</t>
        </is>
      </c>
      <c r="S95" t="inlineStr">
        <is>
          <t>Café Volcán S.A.</t>
        </is>
      </c>
      <c r="T95" t="inlineStr">
        <is>
          <t>2510-3344</t>
        </is>
      </c>
      <c r="U95" t="n">
        <v>6.75</v>
      </c>
      <c r="V95" t="n">
        <v>12</v>
      </c>
      <c r="W95" t="n">
        <v>0</v>
      </c>
      <c r="X95">
        <f>IFERROR(U95*V95*(1-W95/100),"")</f>
        <v/>
      </c>
      <c r="Y95">
        <f>IFERROR(ROUND(X95*0.13,2),"")</f>
        <v/>
      </c>
      <c r="Z95">
        <f>IFERROR(X95+Y95,"")</f>
        <v/>
      </c>
      <c r="AA95" t="inlineStr">
        <is>
          <t>Bitcoin</t>
        </is>
      </c>
      <c r="AB95" t="inlineStr"/>
    </row>
    <row r="96">
      <c r="A96" t="inlineStr">
        <is>
          <t>F-10519</t>
        </is>
      </c>
      <c r="B96" s="3" t="n">
        <v>46291</v>
      </c>
      <c r="C96" t="inlineStr">
        <is>
          <t>Factura</t>
        </is>
      </c>
      <c r="D96" t="inlineStr">
        <is>
          <t>SS01</t>
        </is>
      </c>
      <c r="E96" t="inlineStr">
        <is>
          <t xml:space="preserve">san salvador centro </t>
        </is>
      </c>
      <c r="F96" t="inlineStr">
        <is>
          <t>4a Calle Poniente #215</t>
        </is>
      </c>
      <c r="G96" t="inlineStr">
        <is>
          <t>San Salvador</t>
        </is>
      </c>
      <c r="H96" t="inlineStr">
        <is>
          <t>San Salvador</t>
        </is>
      </c>
      <c r="I96" t="inlineStr">
        <is>
          <t>Roberto Alfaro</t>
        </is>
      </c>
      <c r="J96" t="inlineStr">
        <is>
          <t>2221-4580</t>
        </is>
      </c>
      <c r="K96" t="inlineStr">
        <is>
          <t>José Martínez</t>
        </is>
      </c>
      <c r="L96" t="inlineStr">
        <is>
          <t>Patricia García Martínez</t>
        </is>
      </c>
      <c r="M96" t="inlineStr">
        <is>
          <t>02380558-6</t>
        </is>
      </c>
      <c r="N96" t="inlineStr">
        <is>
          <t>6660-5283</t>
        </is>
      </c>
      <c r="O96" t="inlineStr">
        <is>
          <t>Consumidor final</t>
        </is>
      </c>
      <c r="P96" t="inlineStr">
        <is>
          <t>FRI-001</t>
        </is>
      </c>
      <c r="Q96" t="inlineStr">
        <is>
          <t>Frijol rojo de seda 2lb</t>
        </is>
      </c>
      <c r="R96" t="inlineStr">
        <is>
          <t>Granos básicos</t>
        </is>
      </c>
      <c r="S96" t="inlineStr">
        <is>
          <t>Granos del Pacífico</t>
        </is>
      </c>
      <c r="T96" t="inlineStr">
        <is>
          <t>2234-8890</t>
        </is>
      </c>
      <c r="U96" t="n">
        <v>2.4</v>
      </c>
      <c r="V96" t="n">
        <v>3</v>
      </c>
      <c r="W96" t="n">
        <v>0</v>
      </c>
      <c r="X96">
        <f>IFERROR(U96*V96*(1-W96/100),"")</f>
        <v/>
      </c>
      <c r="Y96">
        <f>IFERROR(ROUND(X96*0.13,2),"")</f>
        <v/>
      </c>
      <c r="Z96">
        <f>IFERROR(X96+Y96,"")</f>
        <v/>
      </c>
      <c r="AA96" t="inlineStr">
        <is>
          <t>Bitcoin</t>
        </is>
      </c>
      <c r="AB96" t="inlineStr"/>
    </row>
    <row r="97">
      <c r="A97" t="inlineStr">
        <is>
          <t>F-10519</t>
        </is>
      </c>
      <c r="B97" s="3" t="n">
        <v>46291</v>
      </c>
      <c r="C97" t="inlineStr">
        <is>
          <t>Factura</t>
        </is>
      </c>
      <c r="D97" t="inlineStr">
        <is>
          <t>SS01</t>
        </is>
      </c>
      <c r="E97" t="inlineStr">
        <is>
          <t xml:space="preserve">san salvador centro </t>
        </is>
      </c>
      <c r="F97" t="inlineStr">
        <is>
          <t>4a Calle Poniente #215</t>
        </is>
      </c>
      <c r="G97" t="inlineStr">
        <is>
          <t>San Salvador</t>
        </is>
      </c>
      <c r="H97" t="inlineStr">
        <is>
          <t>San Salvador</t>
        </is>
      </c>
      <c r="I97" t="inlineStr">
        <is>
          <t>Roberto Alfaro</t>
        </is>
      </c>
      <c r="J97" t="inlineStr">
        <is>
          <t>2221-4580</t>
        </is>
      </c>
      <c r="K97" t="inlineStr">
        <is>
          <t>José Martínez</t>
        </is>
      </c>
      <c r="L97" t="inlineStr">
        <is>
          <t>Patricia García Martínez</t>
        </is>
      </c>
      <c r="M97" t="inlineStr">
        <is>
          <t>02380558-6</t>
        </is>
      </c>
      <c r="N97" t="inlineStr">
        <is>
          <t>6660-5283</t>
        </is>
      </c>
      <c r="O97" t="inlineStr">
        <is>
          <t>Consumidor final</t>
        </is>
      </c>
      <c r="P97" t="inlineStr">
        <is>
          <t>PAN-003</t>
        </is>
      </c>
      <c r="Q97" t="inlineStr">
        <is>
          <t>Quesadilla salvadoreña</t>
        </is>
      </c>
      <c r="R97" t="inlineStr">
        <is>
          <t>Panadería</t>
        </is>
      </c>
      <c r="S97" t="inlineStr">
        <is>
          <t>Panificadora Ilopango</t>
        </is>
      </c>
      <c r="T97" t="inlineStr">
        <is>
          <t>2295-0081</t>
        </is>
      </c>
      <c r="U97" t="n">
        <v>2.5</v>
      </c>
      <c r="V97" t="n">
        <v>1</v>
      </c>
      <c r="W97" t="n">
        <v>0</v>
      </c>
      <c r="X97">
        <f>IFERROR(U97*V97*(1-W97/100),"")</f>
        <v/>
      </c>
      <c r="Y97">
        <f>IFERROR(ROUND(X97*0.13,2),"")</f>
        <v/>
      </c>
      <c r="Z97">
        <f>IFERROR(X97+Y97,"")</f>
        <v/>
      </c>
      <c r="AA97" t="inlineStr">
        <is>
          <t>Bitcoin</t>
        </is>
      </c>
      <c r="AB97" t="inlineStr"/>
    </row>
    <row r="98">
      <c r="A98" t="inlineStr">
        <is>
          <t>F-10520</t>
        </is>
      </c>
      <c r="B98" s="3" t="n">
        <v>46271</v>
      </c>
      <c r="C98" t="inlineStr">
        <is>
          <t>factura</t>
        </is>
      </c>
      <c r="D98" t="inlineStr">
        <is>
          <t>LL02</t>
        </is>
      </c>
      <c r="E98" t="inlineStr">
        <is>
          <t>Pto. La Libertad</t>
        </is>
      </c>
      <c r="F98" t="inlineStr">
        <is>
          <t>Calle El Malecón, Local 4</t>
        </is>
      </c>
      <c r="G98" t="inlineStr">
        <is>
          <t>La Libertad</t>
        </is>
      </c>
      <c r="H98" t="inlineStr">
        <is>
          <t>La Libertad</t>
        </is>
      </c>
      <c r="I98" t="inlineStr">
        <is>
          <t>Wendy Aguilar</t>
        </is>
      </c>
      <c r="J98" t="inlineStr">
        <is>
          <t>2335-6140</t>
        </is>
      </c>
      <c r="K98" t="inlineStr">
        <is>
          <t>Gabriela Saravia</t>
        </is>
      </c>
      <c r="L98" t="inlineStr">
        <is>
          <t>SANDRA GUEVARA LEMUS</t>
        </is>
      </c>
      <c r="M98" t="inlineStr">
        <is>
          <t>08577633-7</t>
        </is>
      </c>
      <c r="N98" t="inlineStr">
        <is>
          <t>6671-1550</t>
        </is>
      </c>
      <c r="O98" t="inlineStr">
        <is>
          <t>Consumidor final</t>
        </is>
      </c>
      <c r="P98" t="inlineStr">
        <is>
          <t>AZU-001</t>
        </is>
      </c>
      <c r="Q98" t="inlineStr">
        <is>
          <t>Azúcar blanca 2.5kg</t>
        </is>
      </c>
      <c r="R98" t="inlineStr">
        <is>
          <t>Abarrotes</t>
        </is>
      </c>
      <c r="S98" t="inlineStr">
        <is>
          <t>Granos del Pacífico</t>
        </is>
      </c>
      <c r="T98" t="inlineStr">
        <is>
          <t>2234-8890</t>
        </is>
      </c>
      <c r="U98" t="n">
        <v>3.1</v>
      </c>
      <c r="V98" t="n">
        <v>-1</v>
      </c>
      <c r="W98" t="n">
        <v>0</v>
      </c>
      <c r="X98">
        <f>IFERROR(U98*V98*(1-W98/100),"")</f>
        <v/>
      </c>
      <c r="Y98">
        <f>IFERROR(ROUND(X98*0.13,2),"")</f>
        <v/>
      </c>
      <c r="Z98">
        <f>IFERROR(X98+Y98,"")</f>
        <v/>
      </c>
      <c r="AA98" t="inlineStr">
        <is>
          <t>Tarjeta</t>
        </is>
      </c>
      <c r="AB98" t="inlineStr"/>
    </row>
    <row r="99">
      <c r="A99" t="inlineStr">
        <is>
          <t>F-10520</t>
        </is>
      </c>
      <c r="B99" s="4" t="n">
        <v>46271</v>
      </c>
      <c r="C99" t="inlineStr">
        <is>
          <t>factura</t>
        </is>
      </c>
      <c r="D99" t="inlineStr">
        <is>
          <t>LL02</t>
        </is>
      </c>
      <c r="E99" t="inlineStr">
        <is>
          <t>Pto. La Libertad</t>
        </is>
      </c>
      <c r="F99" t="inlineStr">
        <is>
          <t>Calle El Malecón, Local 4</t>
        </is>
      </c>
      <c r="G99" t="inlineStr">
        <is>
          <t>La Libertad</t>
        </is>
      </c>
      <c r="H99" t="inlineStr">
        <is>
          <t>La Libertad</t>
        </is>
      </c>
      <c r="I99" t="inlineStr">
        <is>
          <t>Wendy Aguilar</t>
        </is>
      </c>
      <c r="J99" t="inlineStr">
        <is>
          <t>2335-6140</t>
        </is>
      </c>
      <c r="K99" t="inlineStr">
        <is>
          <t>Gabriela Saravia</t>
        </is>
      </c>
      <c r="L99" t="inlineStr">
        <is>
          <t>SANDRA GUEVARA LEMUS</t>
        </is>
      </c>
      <c r="M99" t="inlineStr">
        <is>
          <t>08577633-7</t>
        </is>
      </c>
      <c r="N99" t="inlineStr">
        <is>
          <t>6671-1550</t>
        </is>
      </c>
      <c r="O99" t="inlineStr">
        <is>
          <t>Consumidor final</t>
        </is>
      </c>
      <c r="P99" t="inlineStr">
        <is>
          <t>AZU-001</t>
        </is>
      </c>
      <c r="Q99" t="inlineStr">
        <is>
          <t>Azúcar blanca 2.5kg</t>
        </is>
      </c>
      <c r="R99" t="inlineStr">
        <is>
          <t>Abarrotes</t>
        </is>
      </c>
      <c r="S99" t="inlineStr">
        <is>
          <t>Granos del Pacífico</t>
        </is>
      </c>
      <c r="T99" t="inlineStr">
        <is>
          <t>2234-8890</t>
        </is>
      </c>
      <c r="U99" t="n">
        <v>3.1</v>
      </c>
      <c r="V99" t="n">
        <v>-1</v>
      </c>
      <c r="W99" t="n">
        <v>0</v>
      </c>
      <c r="X99">
        <f>IFERROR(U99*V99*(1-W99/100),"")</f>
        <v/>
      </c>
      <c r="Y99">
        <f>IFERROR(ROUND(X99*0.13,2),"")</f>
        <v/>
      </c>
      <c r="Z99">
        <f>IFERROR(X99+Y99,"")</f>
        <v/>
      </c>
      <c r="AA99" t="inlineStr">
        <is>
          <t>Tarjeta</t>
        </is>
      </c>
      <c r="AB99" t="inlineStr"/>
    </row>
    <row r="100">
      <c r="A100" t="inlineStr">
        <is>
          <t>F-10522</t>
        </is>
      </c>
      <c r="B100" t="inlineStr">
        <is>
          <t>18/07/2026</t>
        </is>
      </c>
      <c r="C100" t="inlineStr">
        <is>
          <t>Factura</t>
        </is>
      </c>
      <c r="D100" t="inlineStr">
        <is>
          <t>SS01</t>
        </is>
      </c>
      <c r="E100" t="inlineStr">
        <is>
          <t>S.S. Centro</t>
        </is>
      </c>
      <c r="F100" t="inlineStr">
        <is>
          <t>4a Calle Poniente #215</t>
        </is>
      </c>
      <c r="G100" t="inlineStr">
        <is>
          <t>San Salvador</t>
        </is>
      </c>
      <c r="H100" t="inlineStr">
        <is>
          <t>San Salvador</t>
        </is>
      </c>
      <c r="I100" t="inlineStr">
        <is>
          <t>Roberto Alfaro</t>
        </is>
      </c>
      <c r="J100" t="inlineStr">
        <is>
          <t>2221-4580</t>
        </is>
      </c>
      <c r="K100" t="inlineStr">
        <is>
          <t>José Martínez</t>
        </is>
      </c>
      <c r="L100" t="inlineStr">
        <is>
          <t>Walter Mejía Castillo</t>
        </is>
      </c>
      <c r="M100" t="inlineStr">
        <is>
          <t>02326285-9</t>
        </is>
      </c>
      <c r="N100" t="inlineStr">
        <is>
          <t>2959-3937</t>
        </is>
      </c>
      <c r="O100" t="inlineStr">
        <is>
          <t>Consumidor final</t>
        </is>
      </c>
      <c r="P100" t="inlineStr">
        <is>
          <t>CAF-001</t>
        </is>
      </c>
      <c r="Q100" t="inlineStr">
        <is>
          <t>Café molido 400g</t>
        </is>
      </c>
      <c r="R100" t="inlineStr">
        <is>
          <t>Abarrotes</t>
        </is>
      </c>
      <c r="S100" t="inlineStr">
        <is>
          <t>Café Volcán S.A.</t>
        </is>
      </c>
      <c r="T100" t="inlineStr">
        <is>
          <t>2510-3344</t>
        </is>
      </c>
      <c r="U100" t="inlineStr">
        <is>
          <t>4,25</t>
        </is>
      </c>
      <c r="V100" t="n">
        <v>6</v>
      </c>
      <c r="W100" t="n">
        <v>0</v>
      </c>
      <c r="X100">
        <f>IFERROR(U100*V100*(1-W100/100),"")</f>
        <v/>
      </c>
      <c r="Y100">
        <f>IFERROR(ROUND(X100*0.13,2),"")</f>
        <v/>
      </c>
      <c r="Z100">
        <f>IFERROR(X100+Y100,"")</f>
        <v/>
      </c>
      <c r="AA100" t="inlineStr">
        <is>
          <t>Tarjeta</t>
        </is>
      </c>
      <c r="AB100" t="inlineStr">
        <is>
          <t>Llamar al 7788-1234 antes de entregar</t>
        </is>
      </c>
    </row>
    <row r="101">
      <c r="A101" t="inlineStr">
        <is>
          <t>F-10522</t>
        </is>
      </c>
      <c r="B101" t="inlineStr">
        <is>
          <t>18/07/2026</t>
        </is>
      </c>
      <c r="C101" t="inlineStr">
        <is>
          <t>Factura</t>
        </is>
      </c>
      <c r="D101" t="inlineStr">
        <is>
          <t>SS01</t>
        </is>
      </c>
      <c r="E101" t="inlineStr">
        <is>
          <t>SAN SALVADOR CENTRO</t>
        </is>
      </c>
      <c r="F101" t="inlineStr">
        <is>
          <t>4a Calle Poniente #215</t>
        </is>
      </c>
      <c r="G101" t="inlineStr">
        <is>
          <t>San Salvador</t>
        </is>
      </c>
      <c r="H101" t="inlineStr">
        <is>
          <t>San Salvador</t>
        </is>
      </c>
      <c r="I101" t="inlineStr">
        <is>
          <t>Roberto Alfaro</t>
        </is>
      </c>
      <c r="J101" t="inlineStr">
        <is>
          <t>2221-4580</t>
        </is>
      </c>
      <c r="K101" t="inlineStr">
        <is>
          <t>José Martínez</t>
        </is>
      </c>
      <c r="L101" t="inlineStr">
        <is>
          <t>Walter Mejía Castillo</t>
        </is>
      </c>
      <c r="M101" t="inlineStr">
        <is>
          <t>02326285-9</t>
        </is>
      </c>
      <c r="N101" t="inlineStr">
        <is>
          <t>2959-3937</t>
        </is>
      </c>
      <c r="O101" t="inlineStr">
        <is>
          <t>Consumidor final</t>
        </is>
      </c>
      <c r="P101" t="inlineStr">
        <is>
          <t>CAF-002</t>
        </is>
      </c>
      <c r="Q101" t="inlineStr">
        <is>
          <t>Café en grano 1lb</t>
        </is>
      </c>
      <c r="R101" t="inlineStr">
        <is>
          <t>Abarrotes</t>
        </is>
      </c>
      <c r="S101" t="inlineStr">
        <is>
          <t>Café Volcán S.A.</t>
        </is>
      </c>
      <c r="T101" t="inlineStr">
        <is>
          <t>2510-3344</t>
        </is>
      </c>
      <c r="U101" t="inlineStr">
        <is>
          <t>$6.75</t>
        </is>
      </c>
      <c r="V101" t="n">
        <v>24</v>
      </c>
      <c r="W101" t="n">
        <v>0</v>
      </c>
      <c r="X101">
        <f>IFERROR(U101*V101*(1-W101/100),"")</f>
        <v/>
      </c>
      <c r="Y101">
        <f>IFERROR(ROUND(X101*0.13,2),"")</f>
        <v/>
      </c>
      <c r="Z101">
        <f>IFERROR(X101+Y101,"")</f>
        <v/>
      </c>
      <c r="AA101" t="inlineStr">
        <is>
          <t>Tarjeta</t>
        </is>
      </c>
      <c r="AB101" t="inlineStr"/>
    </row>
    <row r="102">
      <c r="A102" t="inlineStr">
        <is>
          <t>F-10522</t>
        </is>
      </c>
      <c r="B102" s="3" t="n">
        <v>46221</v>
      </c>
      <c r="C102" t="inlineStr">
        <is>
          <t>Factura</t>
        </is>
      </c>
      <c r="D102" t="inlineStr">
        <is>
          <t>SS01</t>
        </is>
      </c>
      <c r="E102" t="inlineStr">
        <is>
          <t xml:space="preserve">san salvador centro </t>
        </is>
      </c>
      <c r="F102" t="inlineStr">
        <is>
          <t>4a Calle Poniente #215</t>
        </is>
      </c>
      <c r="G102" t="inlineStr">
        <is>
          <t>San Salvador</t>
        </is>
      </c>
      <c r="H102" t="inlineStr">
        <is>
          <t>San Salvador</t>
        </is>
      </c>
      <c r="I102" t="inlineStr">
        <is>
          <t>Roberto Alfaro</t>
        </is>
      </c>
      <c r="J102" t="inlineStr">
        <is>
          <t>2221-4580</t>
        </is>
      </c>
      <c r="K102" t="inlineStr">
        <is>
          <t>José Martínez</t>
        </is>
      </c>
      <c r="L102" t="inlineStr">
        <is>
          <t>Walter Mejía Castillo</t>
        </is>
      </c>
      <c r="M102" t="inlineStr">
        <is>
          <t>02326285-9</t>
        </is>
      </c>
      <c r="N102" t="inlineStr">
        <is>
          <t>2959-3937</t>
        </is>
      </c>
      <c r="O102" t="inlineStr">
        <is>
          <t>Consumidor final</t>
        </is>
      </c>
      <c r="P102" t="inlineStr">
        <is>
          <t>FRI-001</t>
        </is>
      </c>
      <c r="Q102" t="inlineStr">
        <is>
          <t>Frijol rojo de seda 2lb</t>
        </is>
      </c>
      <c r="R102" t="inlineStr">
        <is>
          <t>Granos básicos</t>
        </is>
      </c>
      <c r="S102" t="inlineStr">
        <is>
          <t>Granos del Pacífico</t>
        </is>
      </c>
      <c r="T102" t="inlineStr">
        <is>
          <t>2234-8890</t>
        </is>
      </c>
      <c r="U102" t="n">
        <v>2.4</v>
      </c>
      <c r="V102" t="n">
        <v>2</v>
      </c>
      <c r="W102" t="n">
        <v>0</v>
      </c>
      <c r="X102">
        <f>IFERROR(U102*V102*(1-W102/100),"")</f>
        <v/>
      </c>
      <c r="Y102">
        <f>IFERROR(ROUND(X102*0.13,2),"")</f>
        <v/>
      </c>
      <c r="Z102">
        <f>IFERROR(X102+Y102,"")</f>
        <v/>
      </c>
      <c r="AA102" t="inlineStr">
        <is>
          <t>Tarjeta</t>
        </is>
      </c>
      <c r="AB102" t="inlineStr">
        <is>
          <t>pagó con billete de $100</t>
        </is>
      </c>
    </row>
    <row r="103">
      <c r="A103" t="inlineStr">
        <is>
          <t>F-10525</t>
        </is>
      </c>
      <c r="B103" s="3" t="n">
        <v>46270</v>
      </c>
      <c r="C103" t="inlineStr">
        <is>
          <t>Factura</t>
        </is>
      </c>
      <c r="D103" t="inlineStr">
        <is>
          <t>SS01</t>
        </is>
      </c>
      <c r="E103" t="inlineStr">
        <is>
          <t>San Salvador Centro</t>
        </is>
      </c>
      <c r="F103" t="inlineStr">
        <is>
          <t>4a Calle Poniente #215</t>
        </is>
      </c>
      <c r="G103" t="inlineStr">
        <is>
          <t>San Salvador</t>
        </is>
      </c>
      <c r="H103" t="inlineStr">
        <is>
          <t>San Salvador</t>
        </is>
      </c>
      <c r="I103" t="inlineStr">
        <is>
          <t>Roberto Alfaro</t>
        </is>
      </c>
      <c r="J103" t="inlineStr">
        <is>
          <t>2221-4580</t>
        </is>
      </c>
      <c r="K103" t="inlineStr">
        <is>
          <t>Daniela Orellana</t>
        </is>
      </c>
      <c r="L103" t="inlineStr">
        <is>
          <t>Walter García Alvarado</t>
        </is>
      </c>
      <c r="M103" t="inlineStr">
        <is>
          <t>08409777-4</t>
        </is>
      </c>
      <c r="N103" t="inlineStr">
        <is>
          <t>6398-6837</t>
        </is>
      </c>
      <c r="O103" t="inlineStr">
        <is>
          <t>Consumidor final</t>
        </is>
      </c>
      <c r="P103" t="inlineStr">
        <is>
          <t>BEB-002</t>
        </is>
      </c>
      <c r="Q103" t="inlineStr">
        <is>
          <t>Agua purificada 1 galón</t>
        </is>
      </c>
      <c r="R103" t="inlineStr">
        <is>
          <t>Bebidas</t>
        </is>
      </c>
      <c r="S103" t="inlineStr">
        <is>
          <t>Bebidas Izalco</t>
        </is>
      </c>
      <c r="T103" t="inlineStr">
        <is>
          <t>2450-7700</t>
        </is>
      </c>
      <c r="U103" t="n">
        <v>1.1</v>
      </c>
      <c r="V103" t="n">
        <v>2</v>
      </c>
      <c r="W103" t="n">
        <v>0</v>
      </c>
      <c r="X103">
        <f>IFERROR(U103*V103*(1-W103/100),"")</f>
        <v/>
      </c>
      <c r="Y103">
        <f>IFERROR(ROUND(X103*0.13,2),"")</f>
        <v/>
      </c>
      <c r="Z103">
        <f>IFERROR(X103+Y103,"")</f>
        <v/>
      </c>
      <c r="AA103" t="inlineStr">
        <is>
          <t>TARJETA</t>
        </is>
      </c>
      <c r="AB103" t="inlineStr">
        <is>
          <t>precio especial autorizado por gerente</t>
        </is>
      </c>
    </row>
    <row r="104">
      <c r="A104" t="inlineStr">
        <is>
          <t>F-10525</t>
        </is>
      </c>
      <c r="B104" s="3" t="n">
        <v>46270</v>
      </c>
      <c r="C104" t="inlineStr">
        <is>
          <t>Factura</t>
        </is>
      </c>
      <c r="D104" t="inlineStr">
        <is>
          <t>SS01</t>
        </is>
      </c>
      <c r="E104" t="inlineStr">
        <is>
          <t xml:space="preserve">san salvador centro </t>
        </is>
      </c>
      <c r="F104" t="inlineStr">
        <is>
          <t>4a Calle Poniente #215</t>
        </is>
      </c>
      <c r="G104" t="inlineStr">
        <is>
          <t>San Salvador</t>
        </is>
      </c>
      <c r="H104" t="inlineStr">
        <is>
          <t>San Salvador</t>
        </is>
      </c>
      <c r="I104" t="inlineStr">
        <is>
          <t>Roberto Alfaro</t>
        </is>
      </c>
      <c r="J104" t="inlineStr">
        <is>
          <t>2221-4580</t>
        </is>
      </c>
      <c r="K104" t="inlineStr">
        <is>
          <t>Daniela Orellana</t>
        </is>
      </c>
      <c r="L104" t="inlineStr">
        <is>
          <t>Walter García Alvarado</t>
        </is>
      </c>
      <c r="M104" t="inlineStr">
        <is>
          <t>08409777-4</t>
        </is>
      </c>
      <c r="N104" t="inlineStr">
        <is>
          <t>6398-6837</t>
        </is>
      </c>
      <c r="O104" t="inlineStr">
        <is>
          <t>Consumidor final</t>
        </is>
      </c>
      <c r="P104" t="inlineStr">
        <is>
          <t>HIG-003</t>
        </is>
      </c>
      <c r="Q104" t="inlineStr">
        <is>
          <t>Jabón de lavar barra</t>
        </is>
      </c>
      <c r="R104" t="inlineStr">
        <is>
          <t>Limpieza</t>
        </is>
      </c>
      <c r="S104" t="inlineStr">
        <is>
          <t>Higiene Total C.A.</t>
        </is>
      </c>
      <c r="T104" t="inlineStr">
        <is>
          <t>2207-5566</t>
        </is>
      </c>
      <c r="U104" t="n">
        <v>0.75</v>
      </c>
      <c r="V104" t="n">
        <v>12</v>
      </c>
      <c r="W104" t="n">
        <v>0</v>
      </c>
      <c r="X104">
        <f>IFERROR(U104*V104*(1-W104/100),"")</f>
        <v/>
      </c>
      <c r="Y104">
        <f>IFERROR(ROUND(X104*0.13,2),"")</f>
        <v/>
      </c>
      <c r="Z104">
        <f>IFERROR(X104+Y104,"")</f>
        <v/>
      </c>
      <c r="AA104" t="inlineStr">
        <is>
          <t>TARJETA</t>
        </is>
      </c>
      <c r="AB104" t="inlineStr">
        <is>
          <t>Llamar al 7788-1234 antes de entregar</t>
        </is>
      </c>
    </row>
    <row r="105">
      <c r="A105" t="inlineStr">
        <is>
          <t>F-10528</t>
        </is>
      </c>
      <c r="B105" t="inlineStr">
        <is>
          <t>2026-08-01</t>
        </is>
      </c>
      <c r="C105" t="inlineStr">
        <is>
          <t>CCF</t>
        </is>
      </c>
      <c r="D105" t="inlineStr">
        <is>
          <t>LL01</t>
        </is>
      </c>
      <c r="E105" t="inlineStr">
        <is>
          <t>Santa Tecla</t>
        </is>
      </c>
      <c r="F105" t="inlineStr">
        <is>
          <t>Calle Daniel Hernández #18</t>
        </is>
      </c>
      <c r="G105" t="inlineStr">
        <is>
          <t>Santa Tecla</t>
        </is>
      </c>
      <c r="H105" t="inlineStr">
        <is>
          <t>La Libertad</t>
        </is>
      </c>
      <c r="I105" t="inlineStr">
        <is>
          <t>Óscar Rivas</t>
        </is>
      </c>
      <c r="J105" t="inlineStr">
        <is>
          <t>2228-7731</t>
        </is>
      </c>
      <c r="K105" t="inlineStr">
        <is>
          <t>Luis Escobar</t>
        </is>
      </c>
      <c r="L105" t="inlineStr">
        <is>
          <t>Hotel Brisas del Mar</t>
        </is>
      </c>
      <c r="M105" t="inlineStr">
        <is>
          <t>280004-0</t>
        </is>
      </c>
      <c r="N105" t="inlineStr">
        <is>
          <t>2129-2911</t>
        </is>
      </c>
      <c r="O105" t="inlineStr">
        <is>
          <t>Contribuyente</t>
        </is>
      </c>
      <c r="P105" t="inlineStr">
        <is>
          <t>LAC-002</t>
        </is>
      </c>
      <c r="Q105" t="inlineStr">
        <is>
          <t>Crema 500ml</t>
        </is>
      </c>
      <c r="R105" t="inlineStr">
        <is>
          <t>Lácteos</t>
        </is>
      </c>
      <c r="S105" t="inlineStr">
        <is>
          <t>Lácteos Chalate</t>
        </is>
      </c>
      <c r="T105" t="inlineStr">
        <is>
          <t>2335-1020</t>
        </is>
      </c>
      <c r="U105" t="n">
        <v>2.25</v>
      </c>
      <c r="V105" t="n">
        <v>1</v>
      </c>
      <c r="W105" t="n">
        <v>0</v>
      </c>
      <c r="X105">
        <f>IFERROR(U105*V105*(1-W105/100),"")</f>
        <v/>
      </c>
      <c r="Y105">
        <f>IFERROR(ROUND(X105*0.13,2),"")</f>
        <v/>
      </c>
      <c r="Z105">
        <f>IFERROR(X105+Y105,"")</f>
        <v/>
      </c>
      <c r="AA105" t="inlineStr">
        <is>
          <t>Efectivo</t>
        </is>
      </c>
      <c r="AB105" t="inlineStr">
        <is>
          <t>entregar en bodega</t>
        </is>
      </c>
    </row>
    <row r="106">
      <c r="A106" t="inlineStr">
        <is>
          <t>F-10528</t>
        </is>
      </c>
      <c r="B106" s="3" t="n">
        <v>46235</v>
      </c>
      <c r="C106" t="inlineStr">
        <is>
          <t>CCF</t>
        </is>
      </c>
      <c r="D106" t="inlineStr">
        <is>
          <t>LL01</t>
        </is>
      </c>
      <c r="E106" t="inlineStr">
        <is>
          <t>SANTA TECLA</t>
        </is>
      </c>
      <c r="F106" t="inlineStr">
        <is>
          <t>Calle Daniel Hernández #18</t>
        </is>
      </c>
      <c r="G106" t="inlineStr">
        <is>
          <t>Santa Tecla</t>
        </is>
      </c>
      <c r="H106" t="inlineStr">
        <is>
          <t>La Libertad</t>
        </is>
      </c>
      <c r="I106" t="inlineStr">
        <is>
          <t>Óscar Rivas</t>
        </is>
      </c>
      <c r="J106" t="inlineStr">
        <is>
          <t>2228-7731</t>
        </is>
      </c>
      <c r="K106" t="inlineStr">
        <is>
          <t>Luis Escobar</t>
        </is>
      </c>
      <c r="L106" t="inlineStr">
        <is>
          <t>Hotel Brisas del Mar</t>
        </is>
      </c>
      <c r="M106" t="inlineStr">
        <is>
          <t>280004-0</t>
        </is>
      </c>
      <c r="N106" t="inlineStr">
        <is>
          <t>2129-2911</t>
        </is>
      </c>
      <c r="O106" t="inlineStr">
        <is>
          <t>Contribuyente</t>
        </is>
      </c>
      <c r="P106" t="inlineStr">
        <is>
          <t>HAR-001</t>
        </is>
      </c>
      <c r="Q106" t="inlineStr">
        <is>
          <t>Harina de maíz 2lb</t>
        </is>
      </c>
      <c r="R106" t="inlineStr">
        <is>
          <t>Abarrotes</t>
        </is>
      </c>
      <c r="S106" t="inlineStr">
        <is>
          <t>Granos del Pacífico</t>
        </is>
      </c>
      <c r="T106" t="inlineStr">
        <is>
          <t>2234-8890</t>
        </is>
      </c>
      <c r="U106" t="n">
        <v>1.35</v>
      </c>
      <c r="V106" t="n">
        <v>12</v>
      </c>
      <c r="W106" t="n">
        <v>0</v>
      </c>
      <c r="X106">
        <f>IFERROR(U106*V106*(1-W106/100),"")</f>
        <v/>
      </c>
      <c r="Y106">
        <f>IFERROR(ROUND(X106*0.13,2),"")</f>
        <v/>
      </c>
      <c r="Z106">
        <f>IFERROR(X106+Y106,"")</f>
        <v/>
      </c>
      <c r="AA106" t="inlineStr">
        <is>
          <t>Efectivo</t>
        </is>
      </c>
      <c r="AB106" t="inlineStr">
        <is>
          <t>pagó con billete de $100</t>
        </is>
      </c>
    </row>
    <row r="107">
      <c r="A107" t="inlineStr">
        <is>
          <t>F-10528</t>
        </is>
      </c>
      <c r="B107" t="inlineStr">
        <is>
          <t>2026-08-01</t>
        </is>
      </c>
      <c r="C107" t="inlineStr">
        <is>
          <t>CCF</t>
        </is>
      </c>
      <c r="D107" t="inlineStr">
        <is>
          <t>LL01</t>
        </is>
      </c>
      <c r="E107" t="inlineStr">
        <is>
          <t>Santa Tecla</t>
        </is>
      </c>
      <c r="F107" t="inlineStr">
        <is>
          <t>Calle Daniel Hernández #18</t>
        </is>
      </c>
      <c r="G107" t="inlineStr">
        <is>
          <t>Santa Tecla</t>
        </is>
      </c>
      <c r="H107" t="inlineStr">
        <is>
          <t>La Libertad</t>
        </is>
      </c>
      <c r="I107" t="inlineStr">
        <is>
          <t>Óscar Rivas</t>
        </is>
      </c>
      <c r="J107" t="inlineStr">
        <is>
          <t>2228-7731</t>
        </is>
      </c>
      <c r="K107" t="inlineStr">
        <is>
          <t>Luis Escobar</t>
        </is>
      </c>
      <c r="L107" t="inlineStr">
        <is>
          <t>Hotel Brisas del Mar</t>
        </is>
      </c>
      <c r="M107" t="inlineStr">
        <is>
          <t>280004-0</t>
        </is>
      </c>
      <c r="N107" t="inlineStr">
        <is>
          <t>2129-2911</t>
        </is>
      </c>
      <c r="O107" t="inlineStr">
        <is>
          <t>Contribuyente</t>
        </is>
      </c>
      <c r="P107" t="inlineStr">
        <is>
          <t>HIG-003</t>
        </is>
      </c>
      <c r="Q107" t="inlineStr">
        <is>
          <t>Jabón de lavar barra</t>
        </is>
      </c>
      <c r="R107" t="inlineStr">
        <is>
          <t>Limpieza</t>
        </is>
      </c>
      <c r="S107" t="inlineStr">
        <is>
          <t>Higiene Total C.A.</t>
        </is>
      </c>
      <c r="T107" t="inlineStr">
        <is>
          <t>2207-5566</t>
        </is>
      </c>
      <c r="U107" t="n">
        <v>0.75</v>
      </c>
      <c r="V107" t="n">
        <v>3</v>
      </c>
      <c r="W107" t="n">
        <v>0</v>
      </c>
      <c r="X107">
        <f>IFERROR(U107*V107*(1-W107/100),"")</f>
        <v/>
      </c>
      <c r="Y107">
        <f>IFERROR(ROUND(X107*0.13,2),"")</f>
        <v/>
      </c>
      <c r="Z107">
        <f>IFERROR(X107+Y107,"")</f>
        <v/>
      </c>
      <c r="AA107" t="inlineStr">
        <is>
          <t>Efectivo</t>
        </is>
      </c>
      <c r="AB107" t="inlineStr">
        <is>
          <t>pagó con billete de $100</t>
        </is>
      </c>
    </row>
    <row r="108">
      <c r="A108" t="inlineStr">
        <is>
          <t>F-10528</t>
        </is>
      </c>
      <c r="B108" s="3" t="n">
        <v>46235</v>
      </c>
      <c r="C108" t="inlineStr">
        <is>
          <t>CCF</t>
        </is>
      </c>
      <c r="D108" t="inlineStr">
        <is>
          <t>LL01</t>
        </is>
      </c>
      <c r="E108" t="inlineStr">
        <is>
          <t>SANTA TECLA</t>
        </is>
      </c>
      <c r="F108" t="inlineStr">
        <is>
          <t>Calle Daniel Hernández #18</t>
        </is>
      </c>
      <c r="G108" t="inlineStr">
        <is>
          <t>Santa Tecla</t>
        </is>
      </c>
      <c r="H108" t="inlineStr">
        <is>
          <t>La Libertad</t>
        </is>
      </c>
      <c r="I108" t="inlineStr">
        <is>
          <t>Óscar Rivas</t>
        </is>
      </c>
      <c r="J108" t="inlineStr">
        <is>
          <t>2228-7731</t>
        </is>
      </c>
      <c r="K108" t="inlineStr">
        <is>
          <t>Luis Escobar</t>
        </is>
      </c>
      <c r="L108" t="inlineStr">
        <is>
          <t>Hotel Brisas del Mar</t>
        </is>
      </c>
      <c r="M108" t="inlineStr">
        <is>
          <t>280004-0</t>
        </is>
      </c>
      <c r="N108" t="inlineStr">
        <is>
          <t>2129-2911</t>
        </is>
      </c>
      <c r="O108" t="inlineStr">
        <is>
          <t>Contribuyente</t>
        </is>
      </c>
      <c r="P108" t="inlineStr">
        <is>
          <t>ARR-001</t>
        </is>
      </c>
      <c r="Q108" t="inlineStr">
        <is>
          <t>Arroz blanco 5lb</t>
        </is>
      </c>
      <c r="R108" t="inlineStr">
        <is>
          <t>Granos básicos</t>
        </is>
      </c>
      <c r="S108" t="inlineStr">
        <is>
          <t>Granos del Pacífico</t>
        </is>
      </c>
      <c r="T108" t="inlineStr">
        <is>
          <t>2234-8890</t>
        </is>
      </c>
      <c r="U108" t="inlineStr">
        <is>
          <t>$3.95</t>
        </is>
      </c>
      <c r="V108" t="n">
        <v>1</v>
      </c>
      <c r="W108" t="n">
        <v>0</v>
      </c>
      <c r="X108">
        <f>IFERROR(U108*V108*(1-W108/100),"")</f>
        <v/>
      </c>
      <c r="Y108">
        <f>IFERROR(ROUND(X108*0.13,2),"")</f>
        <v/>
      </c>
      <c r="Z108">
        <f>IFERROR(X108+Y108,"")</f>
        <v/>
      </c>
      <c r="AA108" t="inlineStr">
        <is>
          <t>Efectivo</t>
        </is>
      </c>
      <c r="AB108" t="inlineStr">
        <is>
          <t>entregar en bodega</t>
        </is>
      </c>
    </row>
    <row r="109">
      <c r="A109" t="inlineStr">
        <is>
          <t>F-10529</t>
        </is>
      </c>
      <c r="B109" t="inlineStr">
        <is>
          <t>14/09/2026</t>
        </is>
      </c>
      <c r="C109" t="inlineStr">
        <is>
          <t>factura</t>
        </is>
      </c>
      <c r="D109" t="inlineStr">
        <is>
          <t>SS03</t>
        </is>
      </c>
      <c r="E109" t="inlineStr">
        <is>
          <t>Soyapango</t>
        </is>
      </c>
      <c r="F109" t="inlineStr">
        <is>
          <t>Blvd. del Ejército km 4</t>
        </is>
      </c>
      <c r="G109" t="inlineStr">
        <is>
          <t>Soyapango</t>
        </is>
      </c>
      <c r="H109" t="inlineStr">
        <is>
          <t>San Salvador</t>
        </is>
      </c>
      <c r="I109" t="inlineStr">
        <is>
          <t>Karla Henríquez</t>
        </is>
      </c>
      <c r="J109" t="inlineStr">
        <is>
          <t>2277-3402</t>
        </is>
      </c>
      <c r="K109" t="inlineStr">
        <is>
          <t>Carlos Molina</t>
        </is>
      </c>
      <c r="L109" t="inlineStr">
        <is>
          <t>Rosa Flores Cornejo</t>
        </is>
      </c>
      <c r="M109" t="inlineStr"/>
      <c r="N109" t="inlineStr">
        <is>
          <t>7668-7502</t>
        </is>
      </c>
      <c r="O109" t="inlineStr">
        <is>
          <t>Consumidor final</t>
        </is>
      </c>
      <c r="P109" t="inlineStr">
        <is>
          <t>HIG-001</t>
        </is>
      </c>
      <c r="Q109" t="inlineStr">
        <is>
          <t>Detergente 1kg</t>
        </is>
      </c>
      <c r="R109" t="inlineStr">
        <is>
          <t>Higiene</t>
        </is>
      </c>
      <c r="S109" t="inlineStr">
        <is>
          <t>Higiene Total C.A.</t>
        </is>
      </c>
      <c r="T109" t="inlineStr">
        <is>
          <t>2207-5566</t>
        </is>
      </c>
      <c r="U109" t="n">
        <v>3.45</v>
      </c>
      <c r="V109" t="n">
        <v>12</v>
      </c>
      <c r="W109" t="n">
        <v>0</v>
      </c>
      <c r="X109">
        <f>IFERROR(U109*V109*(1-W109/100),"")</f>
        <v/>
      </c>
      <c r="Y109">
        <f>IFERROR(ROUND(X109*0.13,2),"")</f>
        <v/>
      </c>
      <c r="Z109">
        <f>IFERROR(X109+Y109,"")</f>
        <v/>
      </c>
      <c r="AA109" t="inlineStr">
        <is>
          <t>Tarjeta</t>
        </is>
      </c>
      <c r="AB109" t="inlineStr">
        <is>
          <t>Cliente frecuente</t>
        </is>
      </c>
    </row>
    <row r="110">
      <c r="A110" t="inlineStr">
        <is>
          <t>F-10529</t>
        </is>
      </c>
      <c r="B110" s="3" t="n">
        <v>46279</v>
      </c>
      <c r="C110" t="inlineStr">
        <is>
          <t>factura</t>
        </is>
      </c>
      <c r="D110" t="inlineStr">
        <is>
          <t>SS03</t>
        </is>
      </c>
      <c r="E110" t="inlineStr">
        <is>
          <t xml:space="preserve">SOYAPANGO </t>
        </is>
      </c>
      <c r="F110" t="inlineStr">
        <is>
          <t>Blvd. del Ejército km 4</t>
        </is>
      </c>
      <c r="G110" t="inlineStr">
        <is>
          <t>Soyapango</t>
        </is>
      </c>
      <c r="H110" t="inlineStr">
        <is>
          <t>San Salvador</t>
        </is>
      </c>
      <c r="I110" t="inlineStr">
        <is>
          <t>Karla Henríquez</t>
        </is>
      </c>
      <c r="J110" t="inlineStr">
        <is>
          <t>2277-3402</t>
        </is>
      </c>
      <c r="K110" t="inlineStr">
        <is>
          <t>Carlos Molina</t>
        </is>
      </c>
      <c r="L110" t="inlineStr">
        <is>
          <t>Rosa Flores Cornejo</t>
        </is>
      </c>
      <c r="M110" t="inlineStr"/>
      <c r="N110" t="inlineStr">
        <is>
          <t>7668-7502</t>
        </is>
      </c>
      <c r="O110" t="inlineStr">
        <is>
          <t>Consumidor final</t>
        </is>
      </c>
      <c r="P110" t="inlineStr">
        <is>
          <t>CAF-002</t>
        </is>
      </c>
      <c r="Q110" t="inlineStr">
        <is>
          <t>Café en grano 1lb</t>
        </is>
      </c>
      <c r="R110" t="inlineStr">
        <is>
          <t>Abarrotes</t>
        </is>
      </c>
      <c r="S110" t="inlineStr">
        <is>
          <t>Café Volcán S.A.</t>
        </is>
      </c>
      <c r="T110" t="inlineStr">
        <is>
          <t>2510-3344</t>
        </is>
      </c>
      <c r="U110" t="n">
        <v>6.75</v>
      </c>
      <c r="V110" t="n">
        <v>3</v>
      </c>
      <c r="W110" t="n">
        <v>0</v>
      </c>
      <c r="X110">
        <f>IFERROR(U110*V110*(1-W110/100),"")</f>
        <v/>
      </c>
      <c r="Y110">
        <f>IFERROR(ROUND(X110*0.13,2),"")</f>
        <v/>
      </c>
      <c r="Z110">
        <f>IFERROR(X110+Y110,"")</f>
        <v/>
      </c>
      <c r="AA110" t="inlineStr">
        <is>
          <t>Tarjeta</t>
        </is>
      </c>
      <c r="AB110" t="inlineStr"/>
    </row>
    <row r="111">
      <c r="A111" t="inlineStr">
        <is>
          <t>F-10532</t>
        </is>
      </c>
      <c r="B111" s="3" t="n">
        <v>46263</v>
      </c>
      <c r="C111" t="inlineStr">
        <is>
          <t>Factura</t>
        </is>
      </c>
      <c r="D111" t="inlineStr">
        <is>
          <t>SM01</t>
        </is>
      </c>
      <c r="E111" t="inlineStr">
        <is>
          <t>S. Miguel</t>
        </is>
      </c>
      <c r="F111" t="inlineStr">
        <is>
          <t>Av. Roosevelt Sur #7</t>
        </is>
      </c>
      <c r="G111" t="inlineStr">
        <is>
          <t>San Miguel</t>
        </is>
      </c>
      <c r="H111" t="inlineStr">
        <is>
          <t>San Miguel</t>
        </is>
      </c>
      <c r="I111" t="inlineStr">
        <is>
          <t>Iris Portillo</t>
        </is>
      </c>
      <c r="J111" t="inlineStr">
        <is>
          <t>2661-5076</t>
        </is>
      </c>
      <c r="K111" t="inlineStr">
        <is>
          <t>Paola Cruz</t>
        </is>
      </c>
      <c r="L111" t="inlineStr">
        <is>
          <t>René Flores García</t>
        </is>
      </c>
      <c r="M111" t="inlineStr">
        <is>
          <t>08499785-5</t>
        </is>
      </c>
      <c r="N111" t="inlineStr">
        <is>
          <t>6702-2047</t>
        </is>
      </c>
      <c r="O111" t="inlineStr">
        <is>
          <t>Consumidor final</t>
        </is>
      </c>
      <c r="P111" t="inlineStr">
        <is>
          <t>CAF-001</t>
        </is>
      </c>
      <c r="Q111" t="inlineStr">
        <is>
          <t>Café molido 400g</t>
        </is>
      </c>
      <c r="R111" t="inlineStr">
        <is>
          <t>Abarrotes</t>
        </is>
      </c>
      <c r="S111" t="inlineStr">
        <is>
          <t>Café Volcán S.A.</t>
        </is>
      </c>
      <c r="T111" t="inlineStr">
        <is>
          <t>2510-3344</t>
        </is>
      </c>
      <c r="U111" t="n">
        <v>4.25</v>
      </c>
      <c r="V111" t="n">
        <v>3</v>
      </c>
      <c r="W111" t="n">
        <v>0</v>
      </c>
      <c r="X111">
        <f>IFERROR(U111*V111*(1-W111/100),"")</f>
        <v/>
      </c>
      <c r="Y111">
        <f>IFERROR(ROUND(X111*0.13,2),"")</f>
        <v/>
      </c>
      <c r="Z111">
        <f>IFERROR(X111+Y111,"")</f>
        <v/>
      </c>
      <c r="AA111" t="inlineStr">
        <is>
          <t>Efectivo</t>
        </is>
      </c>
      <c r="AB111" t="inlineStr">
        <is>
          <t>pagó con billete de $100</t>
        </is>
      </c>
    </row>
    <row r="112">
      <c r="A112" t="inlineStr">
        <is>
          <t>F-10532</t>
        </is>
      </c>
      <c r="B112" s="3" t="n">
        <v>46263</v>
      </c>
      <c r="C112" t="inlineStr">
        <is>
          <t>Factura</t>
        </is>
      </c>
      <c r="D112" t="inlineStr">
        <is>
          <t>SM01</t>
        </is>
      </c>
      <c r="E112" t="inlineStr">
        <is>
          <t>San Miguel</t>
        </is>
      </c>
      <c r="F112" t="inlineStr">
        <is>
          <t>Av. Roosevelt Sur #7</t>
        </is>
      </c>
      <c r="G112" t="inlineStr">
        <is>
          <t>San Miguel</t>
        </is>
      </c>
      <c r="H112" t="inlineStr">
        <is>
          <t>San Miguel</t>
        </is>
      </c>
      <c r="I112" t="inlineStr">
        <is>
          <t>Iris Portillo</t>
        </is>
      </c>
      <c r="J112" t="inlineStr">
        <is>
          <t>2661-5076</t>
        </is>
      </c>
      <c r="K112" t="inlineStr">
        <is>
          <t>Paola Cruz</t>
        </is>
      </c>
      <c r="L112" t="inlineStr">
        <is>
          <t>René Flores García</t>
        </is>
      </c>
      <c r="M112" t="inlineStr">
        <is>
          <t>08499785-5</t>
        </is>
      </c>
      <c r="N112" t="inlineStr">
        <is>
          <t>6702-2047</t>
        </is>
      </c>
      <c r="O112" t="inlineStr">
        <is>
          <t>Consumidor final</t>
        </is>
      </c>
      <c r="P112" t="inlineStr">
        <is>
          <t>BEB-003</t>
        </is>
      </c>
      <c r="Q112" t="inlineStr">
        <is>
          <t>Horchata en polvo 400g</t>
        </is>
      </c>
      <c r="R112" t="inlineStr">
        <is>
          <t>Bebidas</t>
        </is>
      </c>
      <c r="S112" t="inlineStr">
        <is>
          <t>Bebidas Izalco</t>
        </is>
      </c>
      <c r="T112" t="inlineStr">
        <is>
          <t>2450-7700</t>
        </is>
      </c>
      <c r="U112" t="n">
        <v>2.6</v>
      </c>
      <c r="V112" t="n">
        <v>3</v>
      </c>
      <c r="W112" t="n">
        <v>0</v>
      </c>
      <c r="X112">
        <f>IFERROR(U112*V112*(1-W112/100),"")</f>
        <v/>
      </c>
      <c r="Y112">
        <f>IFERROR(ROUND(X112*0.13,2),"")</f>
        <v/>
      </c>
      <c r="Z112">
        <f>IFERROR(X112+Y112,"")</f>
        <v/>
      </c>
      <c r="AA112" t="inlineStr">
        <is>
          <t>Efectivo</t>
        </is>
      </c>
      <c r="AB112" t="inlineStr">
        <is>
          <t>precio especial autorizado por gerente</t>
        </is>
      </c>
    </row>
    <row r="113">
      <c r="A113" t="inlineStr">
        <is>
          <t>10532</t>
        </is>
      </c>
      <c r="B113" s="3" t="n">
        <v>46263</v>
      </c>
      <c r="C113" t="inlineStr">
        <is>
          <t>Factura</t>
        </is>
      </c>
      <c r="D113" t="inlineStr">
        <is>
          <t>SM01</t>
        </is>
      </c>
      <c r="E113" t="inlineStr">
        <is>
          <t>San Miguel</t>
        </is>
      </c>
      <c r="F113" t="inlineStr">
        <is>
          <t>Av. Roosevelt Sur #7</t>
        </is>
      </c>
      <c r="G113" t="inlineStr">
        <is>
          <t>San Miguel</t>
        </is>
      </c>
      <c r="H113" t="inlineStr">
        <is>
          <t>San Miguel</t>
        </is>
      </c>
      <c r="I113" t="inlineStr">
        <is>
          <t>Iris Portillo</t>
        </is>
      </c>
      <c r="J113" t="inlineStr">
        <is>
          <t>2661-5076</t>
        </is>
      </c>
      <c r="K113" t="inlineStr">
        <is>
          <t>Paola Cruz</t>
        </is>
      </c>
      <c r="L113" t="inlineStr">
        <is>
          <t>René Flores García</t>
        </is>
      </c>
      <c r="M113" t="inlineStr">
        <is>
          <t>08499785-5</t>
        </is>
      </c>
      <c r="N113" t="inlineStr">
        <is>
          <t>6702-2047</t>
        </is>
      </c>
      <c r="O113" t="inlineStr">
        <is>
          <t>Consumidor final</t>
        </is>
      </c>
      <c r="P113" t="inlineStr">
        <is>
          <t>HAR-001</t>
        </is>
      </c>
      <c r="Q113" t="inlineStr">
        <is>
          <t>Harina de maíz 2lb</t>
        </is>
      </c>
      <c r="R113" t="inlineStr">
        <is>
          <t>Abarrotes</t>
        </is>
      </c>
      <c r="S113" t="inlineStr">
        <is>
          <t>Granos del Pacífico</t>
        </is>
      </c>
      <c r="T113" t="inlineStr">
        <is>
          <t>2234-8890</t>
        </is>
      </c>
      <c r="U113" t="n">
        <v>1.35</v>
      </c>
      <c r="V113" t="n">
        <v>24</v>
      </c>
      <c r="W113" t="n">
        <v>0</v>
      </c>
      <c r="X113">
        <f>IFERROR(U113*V113*(1-W113/100),"")</f>
        <v/>
      </c>
      <c r="Y113">
        <f>IFERROR(ROUND(X113*0.13,2),"")</f>
        <v/>
      </c>
      <c r="Z113">
        <f>IFERROR(X113+Y113,"")</f>
        <v/>
      </c>
      <c r="AA113" t="inlineStr">
        <is>
          <t>Efectivo</t>
        </is>
      </c>
      <c r="AB113" t="inlineStr"/>
    </row>
    <row r="114">
      <c r="A114" t="inlineStr">
        <is>
          <t>F-10532</t>
        </is>
      </c>
      <c r="B114" s="3" t="n">
        <v>46263</v>
      </c>
      <c r="C114" t="inlineStr">
        <is>
          <t>Factura</t>
        </is>
      </c>
      <c r="D114" t="inlineStr">
        <is>
          <t>SM01</t>
        </is>
      </c>
      <c r="E114" t="inlineStr">
        <is>
          <t>SAN MIGUEL</t>
        </is>
      </c>
      <c r="F114" t="inlineStr">
        <is>
          <t>Av. Roosevelt Sur #7</t>
        </is>
      </c>
      <c r="G114" t="inlineStr">
        <is>
          <t>San Miguel</t>
        </is>
      </c>
      <c r="H114" t="inlineStr">
        <is>
          <t>San Miguel</t>
        </is>
      </c>
      <c r="I114" t="inlineStr">
        <is>
          <t>Iris Portillo</t>
        </is>
      </c>
      <c r="J114" t="inlineStr">
        <is>
          <t>2661-5076</t>
        </is>
      </c>
      <c r="K114" t="inlineStr">
        <is>
          <t>Paola Cruz</t>
        </is>
      </c>
      <c r="L114" t="inlineStr">
        <is>
          <t>René Flores García</t>
        </is>
      </c>
      <c r="M114" t="inlineStr">
        <is>
          <t>08499785-5</t>
        </is>
      </c>
      <c r="N114" t="inlineStr">
        <is>
          <t>6702-2047</t>
        </is>
      </c>
      <c r="O114" t="inlineStr">
        <is>
          <t>Consumidor final</t>
        </is>
      </c>
      <c r="P114" t="inlineStr">
        <is>
          <t>LAC-003</t>
        </is>
      </c>
      <c r="Q114" t="inlineStr">
        <is>
          <t>Leche entera 1L</t>
        </is>
      </c>
      <c r="R114" t="inlineStr">
        <is>
          <t>Lácteos</t>
        </is>
      </c>
      <c r="S114" t="inlineStr">
        <is>
          <t>Lácteos Chalate</t>
        </is>
      </c>
      <c r="T114" t="inlineStr">
        <is>
          <t>2335-1020</t>
        </is>
      </c>
      <c r="U114" t="n">
        <v>1.2</v>
      </c>
      <c r="V114" t="n">
        <v>2</v>
      </c>
      <c r="W114" t="n">
        <v>0</v>
      </c>
      <c r="X114">
        <f>IFERROR(U114*V114*(1-W114/100),"")</f>
        <v/>
      </c>
      <c r="Y114">
        <f>IFERROR(ROUND(X114*0.13,2),"")</f>
        <v/>
      </c>
      <c r="Z114">
        <f>IFERROR(X114+Y114,"")</f>
        <v/>
      </c>
      <c r="AA114" t="inlineStr">
        <is>
          <t>Efectivo</t>
        </is>
      </c>
      <c r="AB114" t="inlineStr"/>
    </row>
    <row r="115">
      <c r="A115" t="inlineStr">
        <is>
          <t>F-10533</t>
        </is>
      </c>
      <c r="B115" s="3" t="n">
        <v>46276</v>
      </c>
      <c r="C115" t="inlineStr">
        <is>
          <t>FCF</t>
        </is>
      </c>
      <c r="D115" t="inlineStr">
        <is>
          <t>LL01</t>
        </is>
      </c>
      <c r="E115" t="inlineStr">
        <is>
          <t>SANTA TECLA</t>
        </is>
      </c>
      <c r="F115" t="inlineStr">
        <is>
          <t>Calle Daniel Hernández #18</t>
        </is>
      </c>
      <c r="G115" t="inlineStr">
        <is>
          <t>Santa Tecla</t>
        </is>
      </c>
      <c r="H115" t="inlineStr">
        <is>
          <t>La Libertad</t>
        </is>
      </c>
      <c r="I115" t="inlineStr">
        <is>
          <t>Óscar Rivas</t>
        </is>
      </c>
      <c r="J115" t="inlineStr">
        <is>
          <t>2228-7731</t>
        </is>
      </c>
      <c r="K115" t="inlineStr">
        <is>
          <t>Andrea Pineda</t>
        </is>
      </c>
      <c r="L115" t="inlineStr">
        <is>
          <t>José Cornejo Hernández</t>
        </is>
      </c>
      <c r="M115" t="inlineStr">
        <is>
          <t>07580296-3</t>
        </is>
      </c>
      <c r="N115" t="inlineStr">
        <is>
          <t>6828-1335</t>
        </is>
      </c>
      <c r="O115" t="inlineStr">
        <is>
          <t>Consumidor final</t>
        </is>
      </c>
      <c r="P115" t="inlineStr">
        <is>
          <t>HIG-001</t>
        </is>
      </c>
      <c r="Q115" t="inlineStr">
        <is>
          <t>Detergente 1kg</t>
        </is>
      </c>
      <c r="R115" t="inlineStr">
        <is>
          <t>Higiene</t>
        </is>
      </c>
      <c r="S115" t="inlineStr">
        <is>
          <t>Higiene Total C.A.</t>
        </is>
      </c>
      <c r="T115" t="inlineStr">
        <is>
          <t>2207-5566</t>
        </is>
      </c>
      <c r="U115" t="n">
        <v>3.45</v>
      </c>
      <c r="V115" t="n">
        <v>1</v>
      </c>
      <c r="W115" t="n">
        <v>0</v>
      </c>
      <c r="X115">
        <f>IFERROR(U115*V115*(1-W115/100),"")</f>
        <v/>
      </c>
      <c r="Y115">
        <f>IFERROR(ROUND(X115*0.13,2),"")</f>
        <v/>
      </c>
      <c r="Z115">
        <f>IFERROR(X115+Y115,"")</f>
        <v/>
      </c>
      <c r="AA115" t="inlineStr">
        <is>
          <t>Tarjeta</t>
        </is>
      </c>
      <c r="AB115" t="inlineStr">
        <is>
          <t>entregar en bodega</t>
        </is>
      </c>
    </row>
    <row r="116">
      <c r="A116" t="inlineStr">
        <is>
          <t>F-10533</t>
        </is>
      </c>
      <c r="B116" t="inlineStr">
        <is>
          <t>2026-09-11</t>
        </is>
      </c>
      <c r="C116" t="inlineStr">
        <is>
          <t>FCF</t>
        </is>
      </c>
      <c r="D116" t="inlineStr">
        <is>
          <t>LL01</t>
        </is>
      </c>
      <c r="E116" t="inlineStr">
        <is>
          <t>Sta. Tecla</t>
        </is>
      </c>
      <c r="F116" t="inlineStr">
        <is>
          <t>Calle Daniel Hernández #18</t>
        </is>
      </c>
      <c r="G116" t="inlineStr">
        <is>
          <t>Santa Tecla</t>
        </is>
      </c>
      <c r="H116" t="inlineStr">
        <is>
          <t>La Libertad</t>
        </is>
      </c>
      <c r="I116" t="inlineStr">
        <is>
          <t>Óscar Rivas</t>
        </is>
      </c>
      <c r="J116" t="inlineStr">
        <is>
          <t>2228-7731</t>
        </is>
      </c>
      <c r="K116" t="inlineStr">
        <is>
          <t>Andrea Pineda</t>
        </is>
      </c>
      <c r="L116" t="inlineStr">
        <is>
          <t>José Cornejo Hernández</t>
        </is>
      </c>
      <c r="M116" t="inlineStr">
        <is>
          <t>07580296-3</t>
        </is>
      </c>
      <c r="N116" t="inlineStr">
        <is>
          <t>6828-1335</t>
        </is>
      </c>
      <c r="O116" t="inlineStr">
        <is>
          <t>Consumidor final</t>
        </is>
      </c>
      <c r="P116" t="inlineStr">
        <is>
          <t>ARR-001</t>
        </is>
      </c>
      <c r="Q116" t="inlineStr">
        <is>
          <t>Arroz blanco 5lb</t>
        </is>
      </c>
      <c r="R116" t="inlineStr">
        <is>
          <t>Abarrotes</t>
        </is>
      </c>
      <c r="S116" t="inlineStr">
        <is>
          <t>Granos del Pacífico</t>
        </is>
      </c>
      <c r="T116" t="inlineStr">
        <is>
          <t>2234-8890</t>
        </is>
      </c>
      <c r="U116" t="n">
        <v>3.95</v>
      </c>
      <c r="V116" t="n">
        <v>2</v>
      </c>
      <c r="W116" t="n">
        <v>0</v>
      </c>
      <c r="X116">
        <f>IFERROR(U116*V116*(1-W116/100),"")</f>
        <v/>
      </c>
      <c r="Y116">
        <f>IFERROR(ROUND(X116*0.13,2),"")</f>
        <v/>
      </c>
      <c r="Z116">
        <f>IFERROR(X116+Y116,"")</f>
        <v/>
      </c>
      <c r="AA116" t="inlineStr">
        <is>
          <t>Tarjeta</t>
        </is>
      </c>
      <c r="AB116" t="inlineStr">
        <is>
          <t>pagó con billete de $100</t>
        </is>
      </c>
    </row>
    <row r="117">
      <c r="A117" t="inlineStr">
        <is>
          <t>F-10533</t>
        </is>
      </c>
      <c r="B117" s="3" t="n">
        <v>46276</v>
      </c>
      <c r="C117" t="inlineStr">
        <is>
          <t>FCF</t>
        </is>
      </c>
      <c r="D117" t="inlineStr">
        <is>
          <t>LL01</t>
        </is>
      </c>
      <c r="E117" t="inlineStr">
        <is>
          <t>Santa Tecla</t>
        </is>
      </c>
      <c r="F117" t="inlineStr">
        <is>
          <t>Calle Daniel Hernández #18</t>
        </is>
      </c>
      <c r="G117" t="inlineStr">
        <is>
          <t>Santa Tecla</t>
        </is>
      </c>
      <c r="H117" t="inlineStr">
        <is>
          <t>La Libertad</t>
        </is>
      </c>
      <c r="I117" t="inlineStr">
        <is>
          <t>Óscar Rivas</t>
        </is>
      </c>
      <c r="J117" t="inlineStr">
        <is>
          <t>2228-7731</t>
        </is>
      </c>
      <c r="K117" t="inlineStr">
        <is>
          <t>Andrea Pineda</t>
        </is>
      </c>
      <c r="L117" t="inlineStr">
        <is>
          <t>José Cornejo Hernández</t>
        </is>
      </c>
      <c r="M117" t="inlineStr">
        <is>
          <t>07580296-3</t>
        </is>
      </c>
      <c r="N117" t="inlineStr">
        <is>
          <t>6828-1335</t>
        </is>
      </c>
      <c r="O117" t="inlineStr">
        <is>
          <t>Consumidor final</t>
        </is>
      </c>
      <c r="P117" t="inlineStr">
        <is>
          <t>PAN-002</t>
        </is>
      </c>
      <c r="Q117" t="inlineStr">
        <is>
          <t>Semita alta</t>
        </is>
      </c>
      <c r="R117" t="inlineStr">
        <is>
          <t>Panadería</t>
        </is>
      </c>
      <c r="S117" t="inlineStr">
        <is>
          <t>Panificadora Ilopango</t>
        </is>
      </c>
      <c r="T117" t="inlineStr">
        <is>
          <t>2295-0081</t>
        </is>
      </c>
      <c r="U117" t="n">
        <v>1.75</v>
      </c>
      <c r="V117" t="n">
        <v>12</v>
      </c>
      <c r="W117" t="n">
        <v>0</v>
      </c>
      <c r="X117">
        <f>IFERROR(U117*V117*(1-W117/100),"")</f>
        <v/>
      </c>
      <c r="Y117">
        <f>IFERROR(ROUND(X117*0.13,2),"")</f>
        <v/>
      </c>
      <c r="Z117">
        <f>IFERROR(X117+Y117,"")</f>
        <v/>
      </c>
      <c r="AA117" t="inlineStr">
        <is>
          <t>Tarjeta</t>
        </is>
      </c>
      <c r="AB117" t="inlineStr">
        <is>
          <t>Cliente frecuente</t>
        </is>
      </c>
    </row>
    <row r="118">
      <c r="A118" t="inlineStr">
        <is>
          <t>F-10533</t>
        </is>
      </c>
      <c r="B118" s="3" t="n">
        <v>46276</v>
      </c>
      <c r="C118" t="inlineStr">
        <is>
          <t>FCF</t>
        </is>
      </c>
      <c r="D118" t="inlineStr">
        <is>
          <t>LL01</t>
        </is>
      </c>
      <c r="E118" t="inlineStr">
        <is>
          <t>SANTA TECLA</t>
        </is>
      </c>
      <c r="F118" t="inlineStr">
        <is>
          <t>Calle Daniel Hernández #18</t>
        </is>
      </c>
      <c r="G118" t="inlineStr">
        <is>
          <t>Santa Tecla</t>
        </is>
      </c>
      <c r="H118" t="inlineStr">
        <is>
          <t>La Libertad</t>
        </is>
      </c>
      <c r="I118" t="inlineStr">
        <is>
          <t>Óscar Rivas</t>
        </is>
      </c>
      <c r="J118" t="inlineStr">
        <is>
          <t>2228-7731</t>
        </is>
      </c>
      <c r="K118" t="inlineStr">
        <is>
          <t>Andrea Pineda</t>
        </is>
      </c>
      <c r="L118" t="inlineStr">
        <is>
          <t>JOSÉ CORNEJO HERNÁNDEZ</t>
        </is>
      </c>
      <c r="M118" t="inlineStr">
        <is>
          <t>07580296-3</t>
        </is>
      </c>
      <c r="N118" t="inlineStr">
        <is>
          <t>6828-1335</t>
        </is>
      </c>
      <c r="O118" t="inlineStr">
        <is>
          <t>Consumidor final</t>
        </is>
      </c>
      <c r="P118" t="inlineStr">
        <is>
          <t>PAN-003</t>
        </is>
      </c>
      <c r="Q118" t="inlineStr">
        <is>
          <t>Quesadilla salvadoreña</t>
        </is>
      </c>
      <c r="R118" t="inlineStr">
        <is>
          <t>Panadería</t>
        </is>
      </c>
      <c r="S118" t="inlineStr">
        <is>
          <t>Panificadora Ilopango</t>
        </is>
      </c>
      <c r="T118" t="inlineStr">
        <is>
          <t>2295-0081</t>
        </is>
      </c>
      <c r="U118" t="n">
        <v>2.5</v>
      </c>
      <c r="V118" t="n">
        <v>-6</v>
      </c>
      <c r="W118" t="n">
        <v>0</v>
      </c>
      <c r="X118">
        <f>IFERROR(U118*V118*(1-W118/100),"")</f>
        <v/>
      </c>
      <c r="Y118">
        <f>IFERROR(ROUND(X118*0.13,2),"")</f>
        <v/>
      </c>
      <c r="Z118">
        <f>IFERROR(X118+Y118,"")</f>
        <v/>
      </c>
      <c r="AA118" t="inlineStr">
        <is>
          <t>Tarjeta</t>
        </is>
      </c>
      <c r="AB118" t="inlineStr"/>
    </row>
    <row r="119">
      <c r="A119" t="inlineStr">
        <is>
          <t>F-10535</t>
        </is>
      </c>
      <c r="B119" t="inlineStr">
        <is>
          <t>21-Aug-26</t>
        </is>
      </c>
      <c r="C119" t="inlineStr">
        <is>
          <t>Factura</t>
        </is>
      </c>
      <c r="D119" t="inlineStr">
        <is>
          <t>US01</t>
        </is>
      </c>
      <c r="E119" t="inlineStr">
        <is>
          <t>Usulután</t>
        </is>
      </c>
      <c r="F119" t="inlineStr">
        <is>
          <t>2a Av. Norte #9</t>
        </is>
      </c>
      <c r="G119" t="inlineStr">
        <is>
          <t>Usulután</t>
        </is>
      </c>
      <c r="H119" t="inlineStr">
        <is>
          <t>Usulután</t>
        </is>
      </c>
      <c r="I119" t="inlineStr">
        <is>
          <t>Nelson Fuentes</t>
        </is>
      </c>
      <c r="J119" t="inlineStr">
        <is>
          <t>2662-8810</t>
        </is>
      </c>
      <c r="K119" t="inlineStr">
        <is>
          <t>Miguel Bonilla</t>
        </is>
      </c>
      <c r="L119" t="inlineStr">
        <is>
          <t>Mario Lemus Flores</t>
        </is>
      </c>
      <c r="M119" t="inlineStr">
        <is>
          <t>05465836-8</t>
        </is>
      </c>
      <c r="N119" t="inlineStr">
        <is>
          <t>6555-2967</t>
        </is>
      </c>
      <c r="O119" t="inlineStr">
        <is>
          <t>Consumidor final</t>
        </is>
      </c>
      <c r="P119" t="inlineStr">
        <is>
          <t>PAN-002</t>
        </is>
      </c>
      <c r="Q119" t="inlineStr">
        <is>
          <t>Semita alta</t>
        </is>
      </c>
      <c r="R119" t="inlineStr">
        <is>
          <t>Panadería</t>
        </is>
      </c>
      <c r="S119" t="inlineStr">
        <is>
          <t>Panificadora Ilopango</t>
        </is>
      </c>
      <c r="T119" t="inlineStr">
        <is>
          <t>2295-0081</t>
        </is>
      </c>
      <c r="U119" t="n">
        <v>1.75</v>
      </c>
      <c r="V119" t="n">
        <v>2</v>
      </c>
      <c r="W119" t="n">
        <v>0</v>
      </c>
      <c r="X119">
        <f>IFERROR(U119*V119*(1-W119/100),"")</f>
        <v/>
      </c>
      <c r="Y119">
        <f>IFERROR(ROUND(X119*0.13,2),"")</f>
        <v/>
      </c>
      <c r="Z119">
        <f>IFERROR(X119+Y119,"")</f>
        <v/>
      </c>
      <c r="AA119" t="inlineStr">
        <is>
          <t>Efectivo</t>
        </is>
      </c>
      <c r="AB119" t="inlineStr"/>
    </row>
    <row r="120">
      <c r="A120" t="inlineStr">
        <is>
          <t>F-10535</t>
        </is>
      </c>
      <c r="B120" s="3" t="n">
        <v>46255</v>
      </c>
      <c r="C120" t="inlineStr">
        <is>
          <t>Factura</t>
        </is>
      </c>
      <c r="D120" t="inlineStr">
        <is>
          <t>US01</t>
        </is>
      </c>
      <c r="E120" t="inlineStr">
        <is>
          <t>Usulután</t>
        </is>
      </c>
      <c r="F120" t="inlineStr">
        <is>
          <t>2a Av. Norte #9</t>
        </is>
      </c>
      <c r="G120" t="inlineStr">
        <is>
          <t>Usulután</t>
        </is>
      </c>
      <c r="H120" t="inlineStr">
        <is>
          <t>Usulután</t>
        </is>
      </c>
      <c r="I120" t="inlineStr">
        <is>
          <t>Nelson Fuentes</t>
        </is>
      </c>
      <c r="J120" t="inlineStr">
        <is>
          <t>2662-8810</t>
        </is>
      </c>
      <c r="K120" t="inlineStr">
        <is>
          <t>Miguel Bonilla</t>
        </is>
      </c>
      <c r="L120" t="inlineStr">
        <is>
          <t>Mario Lemus Flores</t>
        </is>
      </c>
      <c r="M120" t="inlineStr">
        <is>
          <t>05465836-8</t>
        </is>
      </c>
      <c r="N120" t="inlineStr">
        <is>
          <t>6555-2967</t>
        </is>
      </c>
      <c r="O120" t="inlineStr">
        <is>
          <t>Consumidor final</t>
        </is>
      </c>
      <c r="P120" t="inlineStr">
        <is>
          <t>LAC-003</t>
        </is>
      </c>
      <c r="Q120" t="inlineStr">
        <is>
          <t>Leche entera 1L</t>
        </is>
      </c>
      <c r="R120" t="inlineStr">
        <is>
          <t>Lácteos</t>
        </is>
      </c>
      <c r="S120" t="inlineStr">
        <is>
          <t>Lácteos Chalate</t>
        </is>
      </c>
      <c r="T120" t="inlineStr">
        <is>
          <t>7120-4455</t>
        </is>
      </c>
      <c r="U120" t="n">
        <v>1.2</v>
      </c>
      <c r="V120" t="n">
        <v>1</v>
      </c>
      <c r="W120" t="n">
        <v>0</v>
      </c>
      <c r="X120">
        <f>IFERROR(U120*V120*(1-W120/100),"")</f>
        <v/>
      </c>
      <c r="Y120">
        <f>IFERROR(ROUND(X120*0.13,2),"")</f>
        <v/>
      </c>
      <c r="Z120">
        <f>IFERROR(X120+Y120,"")</f>
        <v/>
      </c>
      <c r="AA120" t="inlineStr">
        <is>
          <t>Efectivo</t>
        </is>
      </c>
      <c r="AB120" t="inlineStr">
        <is>
          <t>pagó con billete de $100</t>
        </is>
      </c>
    </row>
    <row r="121">
      <c r="A121" t="inlineStr">
        <is>
          <t>10537</t>
        </is>
      </c>
      <c r="B121" s="3" t="n">
        <v>46214</v>
      </c>
      <c r="C121" t="inlineStr">
        <is>
          <t>Factura</t>
        </is>
      </c>
      <c r="D121" t="inlineStr">
        <is>
          <t>SS02</t>
        </is>
      </c>
      <c r="E121" t="inlineStr">
        <is>
          <t>Escalón</t>
        </is>
      </c>
      <c r="F121" t="inlineStr">
        <is>
          <t>Paseo General Escalón #3910</t>
        </is>
      </c>
      <c r="G121" t="inlineStr">
        <is>
          <t>San Salvador</t>
        </is>
      </c>
      <c r="H121" t="inlineStr">
        <is>
          <t>San Salvador</t>
        </is>
      </c>
      <c r="I121" t="inlineStr">
        <is>
          <t>Claudia Menjívar</t>
        </is>
      </c>
      <c r="J121" t="inlineStr">
        <is>
          <t>2264-1190</t>
        </is>
      </c>
      <c r="K121" t="inlineStr">
        <is>
          <t>Fátima Rosales</t>
        </is>
      </c>
      <c r="L121" t="inlineStr">
        <is>
          <t>María Castillo Martínez</t>
        </is>
      </c>
      <c r="M121" t="inlineStr">
        <is>
          <t>09352468-8</t>
        </is>
      </c>
      <c r="N121" t="inlineStr">
        <is>
          <t>6394-8494</t>
        </is>
      </c>
      <c r="O121" t="inlineStr">
        <is>
          <t>Consumidor final</t>
        </is>
      </c>
      <c r="P121" t="inlineStr">
        <is>
          <t>BEB-003</t>
        </is>
      </c>
      <c r="Q121" t="inlineStr">
        <is>
          <t>Horchata en polvo 400g</t>
        </is>
      </c>
      <c r="R121" t="inlineStr">
        <is>
          <t>Abarrotes</t>
        </is>
      </c>
      <c r="S121" t="inlineStr">
        <is>
          <t>Bebidas Izalco</t>
        </is>
      </c>
      <c r="T121" t="inlineStr">
        <is>
          <t>2450-7700</t>
        </is>
      </c>
      <c r="U121" t="n">
        <v>2.6</v>
      </c>
      <c r="V121" t="n">
        <v>1</v>
      </c>
      <c r="W121" t="n">
        <v>0</v>
      </c>
      <c r="X121">
        <f>IFERROR(U121*V121*(1-W121/100),"")</f>
        <v/>
      </c>
      <c r="Y121">
        <f>IFERROR(ROUND(X121*0.13,2),"")</f>
        <v/>
      </c>
      <c r="Z121">
        <f>IFERROR(X121+Y121,"")</f>
        <v/>
      </c>
      <c r="AA121" t="inlineStr">
        <is>
          <t>efectivo</t>
        </is>
      </c>
      <c r="AB121" t="inlineStr">
        <is>
          <t>entregar en bodega</t>
        </is>
      </c>
    </row>
    <row r="122">
      <c r="A122" t="inlineStr">
        <is>
          <t>F-10540</t>
        </is>
      </c>
      <c r="B122" s="3" t="n">
        <v>46263</v>
      </c>
      <c r="C122" t="inlineStr">
        <is>
          <t>CCF</t>
        </is>
      </c>
      <c r="D122" t="inlineStr">
        <is>
          <t>SO01</t>
        </is>
      </c>
      <c r="E122" t="inlineStr">
        <is>
          <t>SONSONATE</t>
        </is>
      </c>
      <c r="F122" t="inlineStr">
        <is>
          <t>Calle Obispo Marroquín #3</t>
        </is>
      </c>
      <c r="G122" t="inlineStr">
        <is>
          <t>Sonsonate</t>
        </is>
      </c>
      <c r="H122" t="inlineStr">
        <is>
          <t>Sonsonate</t>
        </is>
      </c>
      <c r="I122" t="inlineStr">
        <is>
          <t>Ernesto Chávez</t>
        </is>
      </c>
      <c r="J122" t="inlineStr">
        <is>
          <t>2451-2288</t>
        </is>
      </c>
      <c r="K122" t="inlineStr">
        <is>
          <t>Ricardo Funes</t>
        </is>
      </c>
      <c r="L122" t="inlineStr">
        <is>
          <t>HOTEL BRISAS DEL MAR</t>
        </is>
      </c>
      <c r="M122" t="inlineStr">
        <is>
          <t>280004-0</t>
        </is>
      </c>
      <c r="N122" t="inlineStr">
        <is>
          <t>2129-2911</t>
        </is>
      </c>
      <c r="O122" t="inlineStr">
        <is>
          <t>Contribuyente</t>
        </is>
      </c>
      <c r="P122" t="inlineStr">
        <is>
          <t>PAN-001</t>
        </is>
      </c>
      <c r="Q122" t="inlineStr">
        <is>
          <t>Pan francés bolsa 10u</t>
        </is>
      </c>
      <c r="R122" t="inlineStr">
        <is>
          <t>Panadería</t>
        </is>
      </c>
      <c r="S122" t="inlineStr">
        <is>
          <t>Panificadora Ilopango</t>
        </is>
      </c>
      <c r="T122" t="inlineStr">
        <is>
          <t>2295-0081</t>
        </is>
      </c>
      <c r="U122" t="n">
        <v>1</v>
      </c>
      <c r="V122" t="n">
        <v>2</v>
      </c>
      <c r="W122" t="n">
        <v>5</v>
      </c>
      <c r="X122">
        <f>IFERROR(U122*V122*(1-W122/100),"")</f>
        <v/>
      </c>
      <c r="Y122">
        <f>IFERROR(ROUND(X122*0.13,2),"")</f>
        <v/>
      </c>
      <c r="Z122">
        <f>IFERROR(X122+Y122,"")</f>
        <v/>
      </c>
      <c r="AA122" t="inlineStr">
        <is>
          <t>TARJETA</t>
        </is>
      </c>
      <c r="AB122" t="inlineStr"/>
    </row>
    <row r="123">
      <c r="A123" t="inlineStr">
        <is>
          <t>F-10540</t>
        </is>
      </c>
      <c r="B123" s="3" t="n">
        <v>46263</v>
      </c>
      <c r="C123" t="inlineStr">
        <is>
          <t>CCF</t>
        </is>
      </c>
      <c r="D123" t="inlineStr">
        <is>
          <t>SO01</t>
        </is>
      </c>
      <c r="E123" t="inlineStr">
        <is>
          <t>SONSONATE</t>
        </is>
      </c>
      <c r="F123" t="inlineStr">
        <is>
          <t>Calle Obispo Marroquín #3</t>
        </is>
      </c>
      <c r="G123" t="inlineStr">
        <is>
          <t>Sonsonate</t>
        </is>
      </c>
      <c r="H123" t="inlineStr">
        <is>
          <t>Sonsonate</t>
        </is>
      </c>
      <c r="I123" t="inlineStr">
        <is>
          <t>Ernesto Chávez</t>
        </is>
      </c>
      <c r="J123" t="inlineStr">
        <is>
          <t>2451-2288</t>
        </is>
      </c>
      <c r="K123" t="inlineStr">
        <is>
          <t>Ricardo Funes</t>
        </is>
      </c>
      <c r="L123" t="inlineStr">
        <is>
          <t>Hotel Brisas del Mar</t>
        </is>
      </c>
      <c r="M123" t="inlineStr">
        <is>
          <t>280004-0</t>
        </is>
      </c>
      <c r="N123" t="inlineStr">
        <is>
          <t>2129-2911</t>
        </is>
      </c>
      <c r="O123" t="inlineStr">
        <is>
          <t>Contribuyente</t>
        </is>
      </c>
      <c r="P123" t="inlineStr">
        <is>
          <t>CAF-002</t>
        </is>
      </c>
      <c r="Q123" t="inlineStr">
        <is>
          <t>Café en grano 1lb</t>
        </is>
      </c>
      <c r="R123" t="inlineStr">
        <is>
          <t>Abarrotes</t>
        </is>
      </c>
      <c r="S123" t="inlineStr">
        <is>
          <t>Café Volcán S.A.</t>
        </is>
      </c>
      <c r="T123" t="inlineStr">
        <is>
          <t>2510-3344</t>
        </is>
      </c>
      <c r="U123" t="inlineStr">
        <is>
          <t>$6.75</t>
        </is>
      </c>
      <c r="V123" t="n">
        <v>1</v>
      </c>
      <c r="W123" t="n">
        <v>0</v>
      </c>
      <c r="X123">
        <f>IFERROR(U123*V123*(1-W123/100),"")</f>
        <v/>
      </c>
      <c r="Y123">
        <f>IFERROR(ROUND(X123*0.13,2),"")</f>
        <v/>
      </c>
      <c r="Z123">
        <f>IFERROR(X123+Y123,"")</f>
        <v/>
      </c>
      <c r="AA123" t="inlineStr">
        <is>
          <t>TARJETA</t>
        </is>
      </c>
      <c r="AB123" t="inlineStr">
        <is>
          <t>precio especial autorizado por gerente</t>
        </is>
      </c>
    </row>
    <row r="124">
      <c r="A124" t="inlineStr">
        <is>
          <t>F-10542</t>
        </is>
      </c>
      <c r="B124" s="3" t="n">
        <v>46215</v>
      </c>
      <c r="C124" t="inlineStr">
        <is>
          <t>Factura</t>
        </is>
      </c>
      <c r="D124" t="inlineStr">
        <is>
          <t>SS01</t>
        </is>
      </c>
      <c r="E124" t="inlineStr">
        <is>
          <t>San Salvador Centro</t>
        </is>
      </c>
      <c r="F124" t="inlineStr">
        <is>
          <t>4a Calle Poniente #215</t>
        </is>
      </c>
      <c r="G124" t="inlineStr">
        <is>
          <t>San Salvador</t>
        </is>
      </c>
      <c r="H124" t="inlineStr">
        <is>
          <t>San Salvador</t>
        </is>
      </c>
      <c r="I124" t="inlineStr">
        <is>
          <t>Roberto Alfaro</t>
        </is>
      </c>
      <c r="J124" t="inlineStr">
        <is>
          <t>2221-4580</t>
        </is>
      </c>
      <c r="K124" t="inlineStr">
        <is>
          <t>José Martínez</t>
        </is>
      </c>
      <c r="L124" t="inlineStr">
        <is>
          <t>Ana Pérez Rivera</t>
        </is>
      </c>
      <c r="M124" t="inlineStr">
        <is>
          <t>00820199-8</t>
        </is>
      </c>
      <c r="N124" t="inlineStr">
        <is>
          <t>7205-8035</t>
        </is>
      </c>
      <c r="O124" t="inlineStr">
        <is>
          <t>Consumidor final</t>
        </is>
      </c>
      <c r="P124" t="inlineStr">
        <is>
          <t>PAN-001</t>
        </is>
      </c>
      <c r="Q124" t="inlineStr">
        <is>
          <t>Pan francés bolsa 10u</t>
        </is>
      </c>
      <c r="R124" t="inlineStr">
        <is>
          <t>Panaderia</t>
        </is>
      </c>
      <c r="S124" t="inlineStr">
        <is>
          <t>Panificadora Ilopango</t>
        </is>
      </c>
      <c r="T124" t="inlineStr">
        <is>
          <t>2295-0081</t>
        </is>
      </c>
      <c r="U124" t="n">
        <v>1</v>
      </c>
      <c r="V124" t="n">
        <v>12</v>
      </c>
      <c r="W124" t="n">
        <v>0</v>
      </c>
      <c r="X124">
        <f>IFERROR(U124*V124*(1-W124/100),"")</f>
        <v/>
      </c>
      <c r="Y124">
        <f>IFERROR(ROUND(X124*0.13,2),"")</f>
        <v/>
      </c>
      <c r="Z124">
        <f>IFERROR(X124+Y124,"")</f>
        <v/>
      </c>
      <c r="AA124" t="inlineStr">
        <is>
          <t>Efectivo</t>
        </is>
      </c>
      <c r="AB124" t="inlineStr"/>
    </row>
    <row r="125">
      <c r="A125" t="inlineStr">
        <is>
          <t>F-10544</t>
        </is>
      </c>
      <c r="B125" t="inlineStr">
        <is>
          <t>10/07/2026</t>
        </is>
      </c>
      <c r="C125" t="inlineStr">
        <is>
          <t>FCF</t>
        </is>
      </c>
      <c r="D125" t="inlineStr">
        <is>
          <t>SO01</t>
        </is>
      </c>
      <c r="E125" t="inlineStr">
        <is>
          <t>SONSONATE</t>
        </is>
      </c>
      <c r="F125" t="inlineStr">
        <is>
          <t>Calle Obispo Marroquín #3</t>
        </is>
      </c>
      <c r="G125" t="inlineStr">
        <is>
          <t>Sonsonate</t>
        </is>
      </c>
      <c r="H125" t="inlineStr">
        <is>
          <t>Sonsonate</t>
        </is>
      </c>
      <c r="I125" t="inlineStr">
        <is>
          <t>Ernesto Chávez</t>
        </is>
      </c>
      <c r="J125" t="inlineStr">
        <is>
          <t>2451-2288</t>
        </is>
      </c>
      <c r="K125" t="inlineStr">
        <is>
          <t>Ricardo Funes</t>
        </is>
      </c>
      <c r="L125" t="inlineStr">
        <is>
          <t>MARIO MARTÍNEZ SORTO</t>
        </is>
      </c>
      <c r="M125" t="inlineStr">
        <is>
          <t>02686393-2</t>
        </is>
      </c>
      <c r="N125" t="inlineStr">
        <is>
          <t>7413-9318</t>
        </is>
      </c>
      <c r="O125" t="inlineStr">
        <is>
          <t>Consumidor final</t>
        </is>
      </c>
      <c r="P125" t="inlineStr">
        <is>
          <t>PAN-003</t>
        </is>
      </c>
      <c r="Q125" t="inlineStr">
        <is>
          <t>Quesadilla salvadoreña</t>
        </is>
      </c>
      <c r="R125" t="inlineStr">
        <is>
          <t>Panadería</t>
        </is>
      </c>
      <c r="S125" t="inlineStr">
        <is>
          <t>Panificadora Ilopango</t>
        </is>
      </c>
      <c r="T125" t="inlineStr">
        <is>
          <t>2295-0081</t>
        </is>
      </c>
      <c r="U125" t="inlineStr">
        <is>
          <t>2,50</t>
        </is>
      </c>
      <c r="V125" t="n">
        <v>1</v>
      </c>
      <c r="W125" t="n">
        <v>0</v>
      </c>
      <c r="X125">
        <f>IFERROR(U125*V125*(1-W125/100),"")</f>
        <v/>
      </c>
      <c r="Y125">
        <f>IFERROR(ROUND(X125*0.13,2),"")</f>
        <v/>
      </c>
      <c r="Z125">
        <f>IFERROR(X125+Y125,"")</f>
        <v/>
      </c>
      <c r="AA125" t="inlineStr">
        <is>
          <t>Tarjeta</t>
        </is>
      </c>
      <c r="AB125" t="inlineStr"/>
    </row>
    <row r="126">
      <c r="A126" t="inlineStr">
        <is>
          <t>F-10546</t>
        </is>
      </c>
      <c r="B126" s="3" t="n">
        <v>46233</v>
      </c>
      <c r="C126" t="inlineStr">
        <is>
          <t>Factura</t>
        </is>
      </c>
      <c r="D126" t="inlineStr">
        <is>
          <t>SS03</t>
        </is>
      </c>
      <c r="E126" t="inlineStr">
        <is>
          <t>Soyapango</t>
        </is>
      </c>
      <c r="F126" t="inlineStr">
        <is>
          <t>Blvd. del Ejército km 4</t>
        </is>
      </c>
      <c r="G126" t="inlineStr">
        <is>
          <t>Soyapango</t>
        </is>
      </c>
      <c r="H126" t="inlineStr">
        <is>
          <t>San Salvador</t>
        </is>
      </c>
      <c r="I126" t="inlineStr">
        <is>
          <t>Karla Henríquez</t>
        </is>
      </c>
      <c r="J126" t="inlineStr">
        <is>
          <t>2277-3402</t>
        </is>
      </c>
      <c r="K126" t="inlineStr">
        <is>
          <t>Carlos Molina</t>
        </is>
      </c>
      <c r="L126" t="inlineStr">
        <is>
          <t>Patricia García Martínez</t>
        </is>
      </c>
      <c r="M126" t="inlineStr">
        <is>
          <t>02380558-6</t>
        </is>
      </c>
      <c r="N126" t="inlineStr">
        <is>
          <t>6660-5283</t>
        </is>
      </c>
      <c r="O126" t="inlineStr">
        <is>
          <t>Consumidor final</t>
        </is>
      </c>
      <c r="P126" t="inlineStr">
        <is>
          <t>HIG-001</t>
        </is>
      </c>
      <c r="Q126" t="inlineStr">
        <is>
          <t>Detergente 1kg</t>
        </is>
      </c>
      <c r="R126" t="inlineStr">
        <is>
          <t>Higiene</t>
        </is>
      </c>
      <c r="S126" t="inlineStr">
        <is>
          <t>Higiene Total C.A.</t>
        </is>
      </c>
      <c r="T126" t="inlineStr">
        <is>
          <t>2207-5566</t>
        </is>
      </c>
      <c r="U126" t="n">
        <v>3.45</v>
      </c>
      <c r="V126" t="n">
        <v>2</v>
      </c>
      <c r="W126" t="n">
        <v>0</v>
      </c>
      <c r="X126">
        <f>IFERROR(U126*V126*(1-W126/100),"")</f>
        <v/>
      </c>
      <c r="Y126">
        <f>IFERROR(ROUND(X126*0.13,2),"")</f>
        <v/>
      </c>
      <c r="Z126">
        <f>IFERROR(X126+Y126,"")</f>
        <v/>
      </c>
      <c r="AA126" t="inlineStr">
        <is>
          <t>Efectivo</t>
        </is>
      </c>
      <c r="AB126" t="inlineStr"/>
    </row>
    <row r="127">
      <c r="A127" t="inlineStr">
        <is>
          <t>F-10546</t>
        </is>
      </c>
      <c r="B127" s="3" t="n">
        <v>46233</v>
      </c>
      <c r="C127" t="inlineStr">
        <is>
          <t>Factura</t>
        </is>
      </c>
      <c r="D127" t="inlineStr">
        <is>
          <t>SS03</t>
        </is>
      </c>
      <c r="E127" t="inlineStr">
        <is>
          <t xml:space="preserve">SOYAPANGO </t>
        </is>
      </c>
      <c r="F127" t="inlineStr">
        <is>
          <t>Blvd. del Ejército km 4</t>
        </is>
      </c>
      <c r="G127" t="inlineStr">
        <is>
          <t>Soyapango</t>
        </is>
      </c>
      <c r="H127" t="inlineStr">
        <is>
          <t>San Salvador</t>
        </is>
      </c>
      <c r="I127" t="inlineStr">
        <is>
          <t>Karla Henríquez</t>
        </is>
      </c>
      <c r="J127" t="inlineStr">
        <is>
          <t>2277-3402</t>
        </is>
      </c>
      <c r="K127" t="inlineStr">
        <is>
          <t>Carlos Molina</t>
        </is>
      </c>
      <c r="L127" t="inlineStr">
        <is>
          <t>Patricia García Martínez</t>
        </is>
      </c>
      <c r="M127" t="inlineStr">
        <is>
          <t>02380558-6</t>
        </is>
      </c>
      <c r="N127" t="inlineStr">
        <is>
          <t>6660-5283</t>
        </is>
      </c>
      <c r="O127" t="inlineStr">
        <is>
          <t>Consumidor final</t>
        </is>
      </c>
      <c r="P127" t="inlineStr">
        <is>
          <t>FRI-001</t>
        </is>
      </c>
      <c r="Q127" t="inlineStr">
        <is>
          <t>Frijol rojo de seda 2lb</t>
        </is>
      </c>
      <c r="R127" t="inlineStr">
        <is>
          <t>Abarrotes</t>
        </is>
      </c>
      <c r="S127" t="inlineStr">
        <is>
          <t>Granos del Pacífico</t>
        </is>
      </c>
      <c r="T127" t="inlineStr">
        <is>
          <t>2234-8890</t>
        </is>
      </c>
      <c r="U127" t="n">
        <v>2.4</v>
      </c>
      <c r="V127" t="n">
        <v>-2</v>
      </c>
      <c r="W127" t="n">
        <v>0</v>
      </c>
      <c r="X127">
        <f>IFERROR(U127*V127*(1-W127/100),"")</f>
        <v/>
      </c>
      <c r="Y127">
        <f>IFERROR(ROUND(X127*0.13,2),"")</f>
        <v/>
      </c>
      <c r="Z127">
        <f>IFERROR(X127+Y127,"")</f>
        <v/>
      </c>
      <c r="AA127" t="inlineStr">
        <is>
          <t>Efectivo</t>
        </is>
      </c>
      <c r="AB127" t="inlineStr">
        <is>
          <t>Cliente frecuente</t>
        </is>
      </c>
    </row>
    <row r="128">
      <c r="A128" t="inlineStr">
        <is>
          <t>10546</t>
        </is>
      </c>
      <c r="B128" t="inlineStr">
        <is>
          <t>30/07/2026</t>
        </is>
      </c>
      <c r="C128" t="inlineStr">
        <is>
          <t>Factura</t>
        </is>
      </c>
      <c r="D128" t="inlineStr">
        <is>
          <t>SS03</t>
        </is>
      </c>
      <c r="E128" t="inlineStr">
        <is>
          <t xml:space="preserve">SOYAPANGO </t>
        </is>
      </c>
      <c r="F128" t="inlineStr">
        <is>
          <t>Blvd. del Ejército km 4</t>
        </is>
      </c>
      <c r="G128" t="inlineStr">
        <is>
          <t>Soyapango</t>
        </is>
      </c>
      <c r="H128" t="inlineStr">
        <is>
          <t>San Salvador</t>
        </is>
      </c>
      <c r="I128" t="inlineStr">
        <is>
          <t>Karla Henríquez</t>
        </is>
      </c>
      <c r="J128" t="inlineStr">
        <is>
          <t>2277-3402</t>
        </is>
      </c>
      <c r="K128" t="inlineStr">
        <is>
          <t>Carlos Molina</t>
        </is>
      </c>
      <c r="L128" t="inlineStr">
        <is>
          <t>Patricia García Martínez</t>
        </is>
      </c>
      <c r="M128" t="inlineStr">
        <is>
          <t>02380558-6</t>
        </is>
      </c>
      <c r="N128" t="inlineStr">
        <is>
          <t>6660-5283</t>
        </is>
      </c>
      <c r="O128" t="inlineStr">
        <is>
          <t>Consumidor final</t>
        </is>
      </c>
      <c r="P128" t="inlineStr">
        <is>
          <t>HIG-003</t>
        </is>
      </c>
      <c r="Q128" t="inlineStr">
        <is>
          <t>Jabón de lavar barra</t>
        </is>
      </c>
      <c r="R128" t="inlineStr">
        <is>
          <t>Limpieza</t>
        </is>
      </c>
      <c r="S128" t="inlineStr">
        <is>
          <t>Higiene Total C.A.</t>
        </is>
      </c>
      <c r="T128" t="inlineStr">
        <is>
          <t>2207-5566</t>
        </is>
      </c>
      <c r="U128" t="n">
        <v>0.75</v>
      </c>
      <c r="V128" t="n">
        <v>1</v>
      </c>
      <c r="W128" t="n">
        <v>0</v>
      </c>
      <c r="X128">
        <f>IFERROR(U128*V128*(1-W128/100),"")</f>
        <v/>
      </c>
      <c r="Y128">
        <f>IFERROR(ROUND(X128*0.13,2),"")</f>
        <v/>
      </c>
      <c r="Z128">
        <f>IFERROR(X128+Y128,"")</f>
        <v/>
      </c>
      <c r="AA128" t="inlineStr">
        <is>
          <t>Efectivo</t>
        </is>
      </c>
      <c r="AB128" t="inlineStr">
        <is>
          <t>Cliente frecuente</t>
        </is>
      </c>
    </row>
    <row r="129">
      <c r="A129" t="inlineStr">
        <is>
          <t>10546</t>
        </is>
      </c>
      <c r="B129" t="inlineStr">
        <is>
          <t>30/07/2026</t>
        </is>
      </c>
      <c r="C129" t="inlineStr">
        <is>
          <t>Factura</t>
        </is>
      </c>
      <c r="D129" t="inlineStr">
        <is>
          <t>SS03</t>
        </is>
      </c>
      <c r="E129" t="inlineStr">
        <is>
          <t xml:space="preserve">SOYAPANGO </t>
        </is>
      </c>
      <c r="F129" t="inlineStr">
        <is>
          <t>Blvd. del Ejército km 4</t>
        </is>
      </c>
      <c r="G129" t="inlineStr">
        <is>
          <t>Soyapango</t>
        </is>
      </c>
      <c r="H129" t="inlineStr">
        <is>
          <t>San Salvador</t>
        </is>
      </c>
      <c r="I129" t="inlineStr">
        <is>
          <t>Karla Henríquez</t>
        </is>
      </c>
      <c r="J129" t="inlineStr">
        <is>
          <t>2277-3402</t>
        </is>
      </c>
      <c r="K129" t="inlineStr">
        <is>
          <t>Carlos Molina</t>
        </is>
      </c>
      <c r="L129" t="inlineStr">
        <is>
          <t>Patricia García Martínez</t>
        </is>
      </c>
      <c r="M129" t="inlineStr">
        <is>
          <t>02380558-6</t>
        </is>
      </c>
      <c r="N129" t="inlineStr">
        <is>
          <t>6660-5283</t>
        </is>
      </c>
      <c r="O129" t="inlineStr">
        <is>
          <t>Consumidor final</t>
        </is>
      </c>
      <c r="P129" t="inlineStr">
        <is>
          <t>HIG-003</t>
        </is>
      </c>
      <c r="Q129" t="inlineStr">
        <is>
          <t>Jabón de lavar barra</t>
        </is>
      </c>
      <c r="R129" t="inlineStr">
        <is>
          <t>Limpieza</t>
        </is>
      </c>
      <c r="S129" t="inlineStr">
        <is>
          <t>Higiene Total C.A.</t>
        </is>
      </c>
      <c r="T129" t="inlineStr">
        <is>
          <t>2207-5566</t>
        </is>
      </c>
      <c r="U129" t="n">
        <v>0.75</v>
      </c>
      <c r="V129" t="n">
        <v>1</v>
      </c>
      <c r="W129" t="n">
        <v>0</v>
      </c>
      <c r="X129">
        <f>IFERROR(U129*V129*(1-W129/100),"")</f>
        <v/>
      </c>
      <c r="Y129">
        <f>IFERROR(ROUND(X129*0.13,2),"")</f>
        <v/>
      </c>
      <c r="Z129">
        <f>IFERROR(X129+Y129,"")</f>
        <v/>
      </c>
      <c r="AA129" t="inlineStr">
        <is>
          <t>Efectivo</t>
        </is>
      </c>
      <c r="AB129" t="inlineStr">
        <is>
          <t>Cliente frecuente</t>
        </is>
      </c>
    </row>
    <row r="130">
      <c r="A130" t="inlineStr">
        <is>
          <t>F-10546</t>
        </is>
      </c>
      <c r="B130" s="3" t="n">
        <v>46233</v>
      </c>
      <c r="C130" t="inlineStr">
        <is>
          <t>Factura</t>
        </is>
      </c>
      <c r="D130" t="inlineStr">
        <is>
          <t>SS03</t>
        </is>
      </c>
      <c r="E130" t="inlineStr">
        <is>
          <t xml:space="preserve">SOYAPANGO </t>
        </is>
      </c>
      <c r="F130" t="inlineStr">
        <is>
          <t>Blvd. del Ejército km 4</t>
        </is>
      </c>
      <c r="G130" t="inlineStr">
        <is>
          <t>Soyapango</t>
        </is>
      </c>
      <c r="H130" t="inlineStr">
        <is>
          <t>San Salvador</t>
        </is>
      </c>
      <c r="I130" t="inlineStr">
        <is>
          <t>Karla Henríquez</t>
        </is>
      </c>
      <c r="J130" t="inlineStr">
        <is>
          <t>2277-3402</t>
        </is>
      </c>
      <c r="K130" t="inlineStr">
        <is>
          <t>Carlos Molina</t>
        </is>
      </c>
      <c r="L130" t="inlineStr">
        <is>
          <t>Patricia García Martínez</t>
        </is>
      </c>
      <c r="M130" t="inlineStr">
        <is>
          <t>02380558-6</t>
        </is>
      </c>
      <c r="N130" t="inlineStr">
        <is>
          <t>6660-5283</t>
        </is>
      </c>
      <c r="O130" t="inlineStr">
        <is>
          <t>Consumidor final</t>
        </is>
      </c>
      <c r="P130" t="inlineStr">
        <is>
          <t>BEB-002</t>
        </is>
      </c>
      <c r="Q130" t="inlineStr">
        <is>
          <t>Agua purificada 1 galón</t>
        </is>
      </c>
      <c r="R130" t="inlineStr">
        <is>
          <t>Bebidas</t>
        </is>
      </c>
      <c r="S130" t="inlineStr">
        <is>
          <t>Bebidas Izalco</t>
        </is>
      </c>
      <c r="T130" t="inlineStr">
        <is>
          <t>2450-7700</t>
        </is>
      </c>
      <c r="U130" t="n">
        <v>1.1</v>
      </c>
      <c r="V130" t="n">
        <v>12</v>
      </c>
      <c r="W130" t="n">
        <v>0</v>
      </c>
      <c r="X130">
        <f>IFERROR(U130*V130*(1-W130/100),"")</f>
        <v/>
      </c>
      <c r="Y130">
        <f>IFERROR(ROUND(X130*0.13,2),"")</f>
        <v/>
      </c>
      <c r="Z130">
        <f>IFERROR(X130+Y130,"")</f>
        <v/>
      </c>
      <c r="AA130" t="inlineStr">
        <is>
          <t>Efectivo</t>
        </is>
      </c>
      <c r="AB130" t="inlineStr"/>
    </row>
    <row r="131">
      <c r="A131" t="inlineStr">
        <is>
          <t>F-10549</t>
        </is>
      </c>
      <c r="B131" s="3" t="n">
        <v>46226</v>
      </c>
      <c r="C131" t="inlineStr">
        <is>
          <t>FCF</t>
        </is>
      </c>
      <c r="D131" t="inlineStr">
        <is>
          <t>SS01</t>
        </is>
      </c>
      <c r="E131" t="inlineStr">
        <is>
          <t xml:space="preserve">san salvador centro </t>
        </is>
      </c>
      <c r="F131" t="inlineStr">
        <is>
          <t>4a Calle Poniente #215</t>
        </is>
      </c>
      <c r="G131" t="inlineStr">
        <is>
          <t>San Salvador</t>
        </is>
      </c>
      <c r="H131" t="inlineStr">
        <is>
          <t>San Salvador</t>
        </is>
      </c>
      <c r="I131" t="inlineStr">
        <is>
          <t>Roberto Alfaro</t>
        </is>
      </c>
      <c r="J131" t="inlineStr">
        <is>
          <t>2221-4580</t>
        </is>
      </c>
      <c r="K131" t="inlineStr">
        <is>
          <t>José Martínez</t>
        </is>
      </c>
      <c r="L131" t="inlineStr">
        <is>
          <t>Mario Martínez Sorto</t>
        </is>
      </c>
      <c r="M131" t="inlineStr">
        <is>
          <t>02686393-2</t>
        </is>
      </c>
      <c r="N131" t="inlineStr">
        <is>
          <t>7413-9318</t>
        </is>
      </c>
      <c r="O131" t="inlineStr">
        <is>
          <t>Consumidor final</t>
        </is>
      </c>
      <c r="P131" t="inlineStr">
        <is>
          <t>HIG-001</t>
        </is>
      </c>
      <c r="Q131" t="inlineStr">
        <is>
          <t>Detergente 1kg</t>
        </is>
      </c>
      <c r="R131" t="inlineStr">
        <is>
          <t>limpieza</t>
        </is>
      </c>
      <c r="S131" t="inlineStr">
        <is>
          <t>Higiene Total C.A.</t>
        </is>
      </c>
      <c r="T131" t="inlineStr">
        <is>
          <t>2207-5566</t>
        </is>
      </c>
      <c r="U131" t="n">
        <v>3.45</v>
      </c>
      <c r="V131" t="n">
        <v>6</v>
      </c>
      <c r="W131" t="n">
        <v>0</v>
      </c>
      <c r="X131">
        <f>IFERROR(U131*V131*(1-W131/100),"")</f>
        <v/>
      </c>
      <c r="Y131">
        <f>IFERROR(ROUND(X131*0.13,2),"")</f>
        <v/>
      </c>
      <c r="Z131">
        <f>IFERROR(X131+Y131,"")</f>
        <v/>
      </c>
      <c r="AA131" t="inlineStr">
        <is>
          <t>Tarjeta</t>
        </is>
      </c>
      <c r="AB131" t="inlineStr"/>
    </row>
    <row r="132">
      <c r="A132" t="inlineStr">
        <is>
          <t>F-10549</t>
        </is>
      </c>
      <c r="B132" s="4" t="n">
        <v>46226</v>
      </c>
      <c r="C132" t="inlineStr">
        <is>
          <t>FCF</t>
        </is>
      </c>
      <c r="D132" t="inlineStr">
        <is>
          <t>SS01</t>
        </is>
      </c>
      <c r="E132" t="inlineStr">
        <is>
          <t xml:space="preserve">san salvador centro </t>
        </is>
      </c>
      <c r="F132" t="inlineStr">
        <is>
          <t>4a Calle Poniente #215</t>
        </is>
      </c>
      <c r="G132" t="inlineStr">
        <is>
          <t>San Salvador</t>
        </is>
      </c>
      <c r="H132" t="inlineStr">
        <is>
          <t>San Salvador</t>
        </is>
      </c>
      <c r="I132" t="inlineStr">
        <is>
          <t>Roberto Alfaro</t>
        </is>
      </c>
      <c r="J132" t="inlineStr">
        <is>
          <t>2221-4580</t>
        </is>
      </c>
      <c r="K132" t="inlineStr">
        <is>
          <t>José Martínez</t>
        </is>
      </c>
      <c r="L132" t="inlineStr">
        <is>
          <t>Mario Martínez Sorto</t>
        </is>
      </c>
      <c r="M132" t="inlineStr">
        <is>
          <t>02686393-2</t>
        </is>
      </c>
      <c r="N132" t="inlineStr">
        <is>
          <t>7413-9318</t>
        </is>
      </c>
      <c r="O132" t="inlineStr">
        <is>
          <t>Consumidor final</t>
        </is>
      </c>
      <c r="P132" t="inlineStr">
        <is>
          <t>HIG-001</t>
        </is>
      </c>
      <c r="Q132" t="inlineStr">
        <is>
          <t>Detergente 1kg</t>
        </is>
      </c>
      <c r="R132" t="inlineStr">
        <is>
          <t>limpieza</t>
        </is>
      </c>
      <c r="S132" t="inlineStr">
        <is>
          <t>Higiene Total C.A.</t>
        </is>
      </c>
      <c r="T132" t="inlineStr">
        <is>
          <t>2207-5566</t>
        </is>
      </c>
      <c r="U132" t="n">
        <v>3.45</v>
      </c>
      <c r="V132" t="n">
        <v>6</v>
      </c>
      <c r="W132" t="n">
        <v>0</v>
      </c>
      <c r="X132">
        <f>IFERROR(U132*V132*(1-W132/100),"")</f>
        <v/>
      </c>
      <c r="Y132">
        <f>IFERROR(ROUND(X132*0.13,2),"")</f>
        <v/>
      </c>
      <c r="Z132">
        <f>IFERROR(X132+Y132,"")</f>
        <v/>
      </c>
      <c r="AA132" t="inlineStr">
        <is>
          <t>Tarjeta</t>
        </is>
      </c>
      <c r="AB132" t="inlineStr"/>
    </row>
    <row r="133">
      <c r="A133" t="inlineStr">
        <is>
          <t>F-10549</t>
        </is>
      </c>
      <c r="B133" s="3" t="n">
        <v>46226</v>
      </c>
      <c r="C133" t="inlineStr">
        <is>
          <t>FCF</t>
        </is>
      </c>
      <c r="D133" t="inlineStr">
        <is>
          <t>SS01</t>
        </is>
      </c>
      <c r="E133" t="inlineStr">
        <is>
          <t xml:space="preserve">san salvador centro </t>
        </is>
      </c>
      <c r="F133" t="inlineStr">
        <is>
          <t>4a Calle Poniente #215</t>
        </is>
      </c>
      <c r="G133" t="inlineStr">
        <is>
          <t>San Salvador</t>
        </is>
      </c>
      <c r="H133" t="inlineStr">
        <is>
          <t>San Salvador</t>
        </is>
      </c>
      <c r="I133" t="inlineStr">
        <is>
          <t>Roberto Alfaro</t>
        </is>
      </c>
      <c r="J133" t="inlineStr">
        <is>
          <t>2221-4580</t>
        </is>
      </c>
      <c r="K133" t="inlineStr">
        <is>
          <t>José Martínez</t>
        </is>
      </c>
      <c r="L133" t="inlineStr">
        <is>
          <t>Mario Martínez Sorto</t>
        </is>
      </c>
      <c r="M133" t="inlineStr">
        <is>
          <t>02686393-2</t>
        </is>
      </c>
      <c r="N133" t="inlineStr">
        <is>
          <t>7413-9318</t>
        </is>
      </c>
      <c r="O133" t="inlineStr">
        <is>
          <t>Consumidor final</t>
        </is>
      </c>
      <c r="P133" t="inlineStr">
        <is>
          <t>LAC-003</t>
        </is>
      </c>
      <c r="Q133" t="inlineStr">
        <is>
          <t>Leche entera 1L</t>
        </is>
      </c>
      <c r="R133" t="inlineStr">
        <is>
          <t>Lácteos</t>
        </is>
      </c>
      <c r="S133" t="inlineStr">
        <is>
          <t>Lácteos Chalate</t>
        </is>
      </c>
      <c r="T133" t="inlineStr">
        <is>
          <t>2335-1020</t>
        </is>
      </c>
      <c r="U133" t="n">
        <v>1.2</v>
      </c>
      <c r="V133" t="n">
        <v>1</v>
      </c>
      <c r="W133" t="n">
        <v>0</v>
      </c>
      <c r="X133">
        <f>IFERROR(U133*V133*(1-W133/100),"")</f>
        <v/>
      </c>
      <c r="Y133">
        <f>IFERROR(ROUND(X133*0.13,2),"")</f>
        <v/>
      </c>
      <c r="Z133">
        <f>IFERROR(X133+Y133,"")</f>
        <v/>
      </c>
      <c r="AA133" t="inlineStr">
        <is>
          <t>Tarjeta</t>
        </is>
      </c>
      <c r="AB133" t="inlineStr"/>
    </row>
    <row r="134">
      <c r="A134" t="inlineStr">
        <is>
          <t>F-10549</t>
        </is>
      </c>
      <c r="B134" s="3" t="n">
        <v>46226</v>
      </c>
      <c r="C134" t="inlineStr">
        <is>
          <t>FCF</t>
        </is>
      </c>
      <c r="D134" t="inlineStr">
        <is>
          <t>SS01</t>
        </is>
      </c>
      <c r="E134" t="inlineStr">
        <is>
          <t>San Salvador Centro</t>
        </is>
      </c>
      <c r="F134" t="inlineStr">
        <is>
          <t>4a Calle Poniente #215</t>
        </is>
      </c>
      <c r="G134" t="inlineStr">
        <is>
          <t>San Salvador</t>
        </is>
      </c>
      <c r="H134" t="inlineStr">
        <is>
          <t>San Salvador</t>
        </is>
      </c>
      <c r="I134" t="inlineStr">
        <is>
          <t>Roberto Alfaro</t>
        </is>
      </c>
      <c r="J134" t="inlineStr">
        <is>
          <t>2221-4580</t>
        </is>
      </c>
      <c r="K134" t="inlineStr">
        <is>
          <t>José Martínez</t>
        </is>
      </c>
      <c r="L134" t="inlineStr">
        <is>
          <t>Mario Martínez Sorto</t>
        </is>
      </c>
      <c r="M134" t="inlineStr">
        <is>
          <t>02686393-2</t>
        </is>
      </c>
      <c r="N134" t="inlineStr">
        <is>
          <t>7413-9318</t>
        </is>
      </c>
      <c r="O134" t="inlineStr">
        <is>
          <t>Consumidor final</t>
        </is>
      </c>
      <c r="P134" t="inlineStr">
        <is>
          <t>HAR-001</t>
        </is>
      </c>
      <c r="Q134" t="inlineStr">
        <is>
          <t>Harina de maíz 2lb</t>
        </is>
      </c>
      <c r="R134" t="inlineStr">
        <is>
          <t>Abarrotes</t>
        </is>
      </c>
      <c r="S134" t="inlineStr">
        <is>
          <t>Granos del Pacífico</t>
        </is>
      </c>
      <c r="T134" t="inlineStr">
        <is>
          <t>2234-8890</t>
        </is>
      </c>
      <c r="U134" t="n">
        <v>1.35</v>
      </c>
      <c r="V134" t="n">
        <v>6</v>
      </c>
      <c r="W134" t="n">
        <v>0</v>
      </c>
      <c r="X134">
        <f>IFERROR(U134*V134*(1-W134/100),"")</f>
        <v/>
      </c>
      <c r="Y134">
        <f>IFERROR(ROUND(X134*0.13,2),"")</f>
        <v/>
      </c>
      <c r="Z134">
        <f>IFERROR(X134+Y134,"")</f>
        <v/>
      </c>
      <c r="AA134" t="inlineStr">
        <is>
          <t>Tarjeta</t>
        </is>
      </c>
      <c r="AB134" t="inlineStr">
        <is>
          <t>pagó con billete de $100</t>
        </is>
      </c>
    </row>
    <row r="135">
      <c r="A135" t="inlineStr">
        <is>
          <t>F-10551</t>
        </is>
      </c>
      <c r="B135" t="inlineStr">
        <is>
          <t>12/07/2026</t>
        </is>
      </c>
      <c r="C135" t="inlineStr">
        <is>
          <t>Factura</t>
        </is>
      </c>
      <c r="D135" t="inlineStr">
        <is>
          <t>SS01</t>
        </is>
      </c>
      <c r="E135" t="inlineStr">
        <is>
          <t xml:space="preserve">san salvador centro </t>
        </is>
      </c>
      <c r="F135" t="inlineStr">
        <is>
          <t>4a Calle Poniente #215</t>
        </is>
      </c>
      <c r="G135" t="inlineStr">
        <is>
          <t>San Salvador</t>
        </is>
      </c>
      <c r="H135" t="inlineStr">
        <is>
          <t>San Salvador</t>
        </is>
      </c>
      <c r="I135" t="inlineStr">
        <is>
          <t>Roberto Alfaro</t>
        </is>
      </c>
      <c r="J135" t="inlineStr">
        <is>
          <t>2221-4580</t>
        </is>
      </c>
      <c r="K135" t="inlineStr">
        <is>
          <t>José Martínez</t>
        </is>
      </c>
      <c r="L135" t="inlineStr">
        <is>
          <t>Edwin Rivera Guevara</t>
        </is>
      </c>
      <c r="M135" t="inlineStr">
        <is>
          <t>03840762-1</t>
        </is>
      </c>
      <c r="N135" t="inlineStr">
        <is>
          <t>7817-8484</t>
        </is>
      </c>
      <c r="O135" t="inlineStr">
        <is>
          <t>Consumidor final</t>
        </is>
      </c>
      <c r="P135" t="inlineStr">
        <is>
          <t>AZU-001</t>
        </is>
      </c>
      <c r="Q135" t="inlineStr">
        <is>
          <t>Azúcar blanca 2.5kg</t>
        </is>
      </c>
      <c r="R135" t="inlineStr">
        <is>
          <t>Abarrotes</t>
        </is>
      </c>
      <c r="S135" t="inlineStr">
        <is>
          <t>Granos del Pacífico</t>
        </is>
      </c>
      <c r="T135" t="inlineStr">
        <is>
          <t>2234-8890</t>
        </is>
      </c>
      <c r="U135" t="n">
        <v>3.1</v>
      </c>
      <c r="V135" t="n">
        <v>1</v>
      </c>
      <c r="W135" t="n">
        <v>0</v>
      </c>
      <c r="X135">
        <f>IFERROR(U135*V135*(1-W135/100),"")</f>
        <v/>
      </c>
      <c r="Y135">
        <f>IFERROR(ROUND(X135*0.13,2),"")</f>
        <v/>
      </c>
      <c r="Z135">
        <f>IFERROR(X135+Y135,"")</f>
        <v/>
      </c>
      <c r="AA135" t="inlineStr">
        <is>
          <t>Bitcoin</t>
        </is>
      </c>
      <c r="AB135" t="inlineStr"/>
    </row>
    <row r="136">
      <c r="A136" t="inlineStr">
        <is>
          <t>F-10551</t>
        </is>
      </c>
      <c r="B136" s="3" t="n">
        <v>46215</v>
      </c>
      <c r="C136" t="inlineStr">
        <is>
          <t>Factura</t>
        </is>
      </c>
      <c r="D136" t="inlineStr">
        <is>
          <t>SS01</t>
        </is>
      </c>
      <c r="E136" t="inlineStr">
        <is>
          <t>San Salvador Centro</t>
        </is>
      </c>
      <c r="F136" t="inlineStr">
        <is>
          <t>4a Calle Poniente #215</t>
        </is>
      </c>
      <c r="G136" t="inlineStr">
        <is>
          <t>San Salvador</t>
        </is>
      </c>
      <c r="H136" t="inlineStr">
        <is>
          <t>San Salvador</t>
        </is>
      </c>
      <c r="I136" t="inlineStr">
        <is>
          <t>Roberto Alfaro</t>
        </is>
      </c>
      <c r="J136" t="inlineStr">
        <is>
          <t>2221-4580</t>
        </is>
      </c>
      <c r="K136" t="inlineStr">
        <is>
          <t>José Martínez</t>
        </is>
      </c>
      <c r="L136" t="inlineStr">
        <is>
          <t>Edwin Rivera Guevara</t>
        </is>
      </c>
      <c r="M136" t="inlineStr">
        <is>
          <t>03840762-1</t>
        </is>
      </c>
      <c r="N136" t="inlineStr">
        <is>
          <t>7817-8484</t>
        </is>
      </c>
      <c r="O136" t="inlineStr">
        <is>
          <t>Consumidor final</t>
        </is>
      </c>
      <c r="P136" t="inlineStr">
        <is>
          <t>BEB-002</t>
        </is>
      </c>
      <c r="Q136" t="inlineStr">
        <is>
          <t>Agua purificada 1 galón</t>
        </is>
      </c>
      <c r="R136" t="inlineStr">
        <is>
          <t>Bebidas</t>
        </is>
      </c>
      <c r="S136" t="inlineStr">
        <is>
          <t>Bebidas Izalco</t>
        </is>
      </c>
      <c r="T136" t="inlineStr">
        <is>
          <t>2450-7700</t>
        </is>
      </c>
      <c r="U136" t="n">
        <v>1.1</v>
      </c>
      <c r="V136" t="n">
        <v>2</v>
      </c>
      <c r="W136" t="n">
        <v>0</v>
      </c>
      <c r="X136">
        <f>IFERROR(U136*V136*(1-W136/100),"")</f>
        <v/>
      </c>
      <c r="Y136">
        <f>IFERROR(ROUND(X136*0.13,2),"")</f>
        <v/>
      </c>
      <c r="Z136">
        <f>IFERROR(X136+Y136,"")</f>
        <v/>
      </c>
      <c r="AA136" t="inlineStr">
        <is>
          <t>Bitcoin</t>
        </is>
      </c>
      <c r="AB136" t="inlineStr">
        <is>
          <t>Cliente frecuente</t>
        </is>
      </c>
    </row>
    <row r="137">
      <c r="A137" t="inlineStr">
        <is>
          <t>F-10551</t>
        </is>
      </c>
      <c r="B137" s="3" t="n">
        <v>46215</v>
      </c>
      <c r="C137" t="inlineStr">
        <is>
          <t>Factura</t>
        </is>
      </c>
      <c r="D137" t="inlineStr">
        <is>
          <t>SS01</t>
        </is>
      </c>
      <c r="E137" t="inlineStr">
        <is>
          <t xml:space="preserve">san salvador centro </t>
        </is>
      </c>
      <c r="F137" t="inlineStr">
        <is>
          <t>4a Calle Poniente #215</t>
        </is>
      </c>
      <c r="G137" t="inlineStr">
        <is>
          <t>San Salvador</t>
        </is>
      </c>
      <c r="H137" t="inlineStr">
        <is>
          <t>San Salvador</t>
        </is>
      </c>
      <c r="I137" t="inlineStr">
        <is>
          <t>Roberto Alfaro</t>
        </is>
      </c>
      <c r="J137" t="inlineStr">
        <is>
          <t>2221-4580</t>
        </is>
      </c>
      <c r="K137" t="inlineStr">
        <is>
          <t>José Martínez</t>
        </is>
      </c>
      <c r="L137" t="inlineStr">
        <is>
          <t>Edwin Rivera Guevara</t>
        </is>
      </c>
      <c r="M137" t="inlineStr">
        <is>
          <t>03840762-1</t>
        </is>
      </c>
      <c r="N137" t="inlineStr">
        <is>
          <t>7817-8484</t>
        </is>
      </c>
      <c r="O137" t="inlineStr">
        <is>
          <t>Consumidor final</t>
        </is>
      </c>
      <c r="P137" t="inlineStr">
        <is>
          <t>HAR-001</t>
        </is>
      </c>
      <c r="Q137" t="inlineStr">
        <is>
          <t>Harina de maíz 2lb</t>
        </is>
      </c>
      <c r="R137" t="inlineStr">
        <is>
          <t>Abarrotes</t>
        </is>
      </c>
      <c r="S137" t="inlineStr">
        <is>
          <t>Granos del Pacífico</t>
        </is>
      </c>
      <c r="T137" t="inlineStr">
        <is>
          <t>2234-8890</t>
        </is>
      </c>
      <c r="U137" t="n">
        <v>1.35</v>
      </c>
      <c r="V137" t="n">
        <v>24</v>
      </c>
      <c r="W137" t="n">
        <v>0</v>
      </c>
      <c r="X137">
        <f>IFERROR(U137*V137*(1-W137/100),"")</f>
        <v/>
      </c>
      <c r="Y137">
        <f>IFERROR(ROUND(X137*0.13,2),"")</f>
        <v/>
      </c>
      <c r="Z137">
        <f>IFERROR(X137+Y137,"")</f>
        <v/>
      </c>
      <c r="AA137" t="inlineStr">
        <is>
          <t>Bitcoin</t>
        </is>
      </c>
      <c r="AB137" t="inlineStr"/>
    </row>
    <row r="138">
      <c r="A138" t="inlineStr">
        <is>
          <t>F-10551</t>
        </is>
      </c>
      <c r="B138" s="3" t="n">
        <v>46215</v>
      </c>
      <c r="C138" t="inlineStr">
        <is>
          <t>Factura</t>
        </is>
      </c>
      <c r="D138" t="inlineStr">
        <is>
          <t>SS01</t>
        </is>
      </c>
      <c r="E138" t="inlineStr">
        <is>
          <t>SAN SALVADOR CENTRO</t>
        </is>
      </c>
      <c r="F138" t="inlineStr">
        <is>
          <t>4a Calle Poniente #215</t>
        </is>
      </c>
      <c r="G138" t="inlineStr">
        <is>
          <t>San Salvador</t>
        </is>
      </c>
      <c r="H138" t="inlineStr">
        <is>
          <t>San Salvador</t>
        </is>
      </c>
      <c r="I138" t="inlineStr">
        <is>
          <t>Roberto Alfaro</t>
        </is>
      </c>
      <c r="J138" t="inlineStr">
        <is>
          <t>2221-4580</t>
        </is>
      </c>
      <c r="K138" t="inlineStr">
        <is>
          <t>José Martínez</t>
        </is>
      </c>
      <c r="L138" t="inlineStr">
        <is>
          <t>Edwin Rivera Guevara</t>
        </is>
      </c>
      <c r="M138" t="inlineStr">
        <is>
          <t>03840762-1</t>
        </is>
      </c>
      <c r="N138" t="inlineStr">
        <is>
          <t>7817-8484</t>
        </is>
      </c>
      <c r="O138" t="inlineStr">
        <is>
          <t>Consumidor final</t>
        </is>
      </c>
      <c r="P138" t="inlineStr">
        <is>
          <t>LAC-002</t>
        </is>
      </c>
      <c r="Q138" t="inlineStr">
        <is>
          <t>Crema 500ml</t>
        </is>
      </c>
      <c r="R138" t="inlineStr">
        <is>
          <t>Lácteos</t>
        </is>
      </c>
      <c r="S138" t="inlineStr">
        <is>
          <t>Lácteos Chalate</t>
        </is>
      </c>
      <c r="T138" t="inlineStr">
        <is>
          <t>2335-1020</t>
        </is>
      </c>
      <c r="U138" t="n">
        <v>2.25</v>
      </c>
      <c r="V138" t="n">
        <v>1</v>
      </c>
      <c r="W138" t="n">
        <v>0</v>
      </c>
      <c r="X138">
        <f>IFERROR(U138*V138*(1-W138/100),"")</f>
        <v/>
      </c>
      <c r="Y138">
        <f>IFERROR(ROUND(X138*0.13,2),"")</f>
        <v/>
      </c>
      <c r="Z138">
        <f>IFERROR(X138+Y138,"")</f>
        <v/>
      </c>
      <c r="AA138" t="inlineStr">
        <is>
          <t>Bitcoin</t>
        </is>
      </c>
      <c r="AB138" t="inlineStr"/>
    </row>
    <row r="139">
      <c r="A139" t="inlineStr">
        <is>
          <t>F-10554</t>
        </is>
      </c>
      <c r="B139" t="inlineStr">
        <is>
          <t>15/07/2026</t>
        </is>
      </c>
      <c r="C139" t="inlineStr">
        <is>
          <t>Factura</t>
        </is>
      </c>
      <c r="D139" t="inlineStr">
        <is>
          <t>SS01</t>
        </is>
      </c>
      <c r="E139" t="inlineStr">
        <is>
          <t>San Salvador Centro</t>
        </is>
      </c>
      <c r="F139" t="inlineStr">
        <is>
          <t>4a Calle Poniente #215</t>
        </is>
      </c>
      <c r="G139" t="inlineStr">
        <is>
          <t>San Salvador</t>
        </is>
      </c>
      <c r="H139" t="inlineStr">
        <is>
          <t>San Salvador</t>
        </is>
      </c>
      <c r="I139" t="inlineStr">
        <is>
          <t>Roberto Alfaro</t>
        </is>
      </c>
      <c r="J139" t="inlineStr">
        <is>
          <t>2221-4580</t>
        </is>
      </c>
      <c r="K139" t="inlineStr">
        <is>
          <t>Daniela Orellana</t>
        </is>
      </c>
      <c r="L139" t="inlineStr">
        <is>
          <t>Rosa Flores Cornejo</t>
        </is>
      </c>
      <c r="M139" t="inlineStr">
        <is>
          <t>00476760-8</t>
        </is>
      </c>
      <c r="N139" t="inlineStr">
        <is>
          <t>7668-7502</t>
        </is>
      </c>
      <c r="O139" t="inlineStr">
        <is>
          <t>Consumidor final</t>
        </is>
      </c>
      <c r="P139" t="inlineStr">
        <is>
          <t>PAN-002</t>
        </is>
      </c>
      <c r="Q139" t="inlineStr">
        <is>
          <t>Semita alta</t>
        </is>
      </c>
      <c r="R139" t="inlineStr">
        <is>
          <t>Panadería</t>
        </is>
      </c>
      <c r="S139" t="inlineStr">
        <is>
          <t>Panificadora Ilopango</t>
        </is>
      </c>
      <c r="T139" t="inlineStr">
        <is>
          <t>2295-0081</t>
        </is>
      </c>
      <c r="U139" t="n">
        <v>1.75</v>
      </c>
      <c r="V139" t="n">
        <v>6</v>
      </c>
      <c r="W139" t="n">
        <v>0</v>
      </c>
      <c r="X139">
        <f>IFERROR(U139*V139*(1-W139/100),"")</f>
        <v/>
      </c>
      <c r="Y139">
        <f>IFERROR(ROUND(X139*0.13,2),"")</f>
        <v/>
      </c>
      <c r="Z139">
        <f>IFERROR(X139+Y139,"")</f>
        <v/>
      </c>
      <c r="AA139" t="inlineStr">
        <is>
          <t>Tarjeta</t>
        </is>
      </c>
      <c r="AB139" t="inlineStr">
        <is>
          <t>entregar en bodega</t>
        </is>
      </c>
    </row>
    <row r="140">
      <c r="A140" t="inlineStr">
        <is>
          <t>F-10554</t>
        </is>
      </c>
      <c r="B140" s="3" t="n">
        <v>46218</v>
      </c>
      <c r="C140" t="inlineStr">
        <is>
          <t>Factura</t>
        </is>
      </c>
      <c r="D140" t="inlineStr">
        <is>
          <t>SS01</t>
        </is>
      </c>
      <c r="E140" t="inlineStr">
        <is>
          <t xml:space="preserve">san salvador centro </t>
        </is>
      </c>
      <c r="F140" t="inlineStr">
        <is>
          <t>4a Calle Poniente #215</t>
        </is>
      </c>
      <c r="G140" t="inlineStr">
        <is>
          <t>San Salvador</t>
        </is>
      </c>
      <c r="H140" t="inlineStr">
        <is>
          <t>San Salvador</t>
        </is>
      </c>
      <c r="I140" t="inlineStr">
        <is>
          <t>Roberto Alfaro</t>
        </is>
      </c>
      <c r="J140" t="inlineStr">
        <is>
          <t>2221-4580</t>
        </is>
      </c>
      <c r="K140" t="inlineStr">
        <is>
          <t>Daniela Orellana</t>
        </is>
      </c>
      <c r="L140" t="inlineStr">
        <is>
          <t>Rosa Flores Cornejo</t>
        </is>
      </c>
      <c r="M140" t="inlineStr"/>
      <c r="N140" t="inlineStr">
        <is>
          <t>7668-7502</t>
        </is>
      </c>
      <c r="O140" t="inlineStr">
        <is>
          <t>Consumidor final</t>
        </is>
      </c>
      <c r="P140" t="inlineStr">
        <is>
          <t>BEB-003</t>
        </is>
      </c>
      <c r="Q140" t="inlineStr">
        <is>
          <t>Horchata en polvo 400g</t>
        </is>
      </c>
      <c r="R140" t="inlineStr">
        <is>
          <t>Abarrotes</t>
        </is>
      </c>
      <c r="S140" t="inlineStr">
        <is>
          <t>Bebidas Izalco</t>
        </is>
      </c>
      <c r="T140" t="inlineStr">
        <is>
          <t>2450-7700</t>
        </is>
      </c>
      <c r="U140" t="n">
        <v>2.6</v>
      </c>
      <c r="V140" t="n">
        <v>1</v>
      </c>
      <c r="W140" t="n">
        <v>0</v>
      </c>
      <c r="X140">
        <f>IFERROR(U140*V140*(1-W140/100),"")</f>
        <v/>
      </c>
      <c r="Y140">
        <f>IFERROR(ROUND(X140*0.13,2),"")</f>
        <v/>
      </c>
      <c r="Z140">
        <f>IFERROR(X140+Y140,"")</f>
        <v/>
      </c>
      <c r="AA140" t="inlineStr">
        <is>
          <t>Tarjeta</t>
        </is>
      </c>
      <c r="AB140" t="inlineStr">
        <is>
          <t>pagó con billete de $100</t>
        </is>
      </c>
    </row>
    <row r="141">
      <c r="A141" t="inlineStr">
        <is>
          <t>F-10554</t>
        </is>
      </c>
      <c r="B141" t="inlineStr">
        <is>
          <t>15/07/2026</t>
        </is>
      </c>
      <c r="C141" t="inlineStr">
        <is>
          <t>Factura</t>
        </is>
      </c>
      <c r="D141" t="inlineStr">
        <is>
          <t>SS01</t>
        </is>
      </c>
      <c r="E141" t="inlineStr">
        <is>
          <t>S.S. Centro</t>
        </is>
      </c>
      <c r="F141" t="inlineStr">
        <is>
          <t>4a Calle Poniente #215</t>
        </is>
      </c>
      <c r="G141" t="inlineStr">
        <is>
          <t>San Salvador</t>
        </is>
      </c>
      <c r="H141" t="inlineStr">
        <is>
          <t>San Salvador</t>
        </is>
      </c>
      <c r="I141" t="inlineStr">
        <is>
          <t>Roberto Alfaro</t>
        </is>
      </c>
      <c r="J141" t="inlineStr">
        <is>
          <t>2221-4580</t>
        </is>
      </c>
      <c r="K141" t="inlineStr">
        <is>
          <t>Daniela Orellana</t>
        </is>
      </c>
      <c r="L141" t="inlineStr">
        <is>
          <t>Rosa Flores Cornejo</t>
        </is>
      </c>
      <c r="M141" t="inlineStr">
        <is>
          <t>00476760-8</t>
        </is>
      </c>
      <c r="N141" t="inlineStr">
        <is>
          <t>7668-7502</t>
        </is>
      </c>
      <c r="O141" t="inlineStr">
        <is>
          <t>Consumidor final</t>
        </is>
      </c>
      <c r="P141" t="inlineStr">
        <is>
          <t>FRI-001</t>
        </is>
      </c>
      <c r="Q141" t="inlineStr">
        <is>
          <t>Frijol rojo de seda 2lb</t>
        </is>
      </c>
      <c r="R141" t="inlineStr">
        <is>
          <t>Abarrotes</t>
        </is>
      </c>
      <c r="S141" t="inlineStr">
        <is>
          <t>Granos del Pacífico</t>
        </is>
      </c>
      <c r="T141" t="inlineStr">
        <is>
          <t>2234-8890</t>
        </is>
      </c>
      <c r="U141" t="inlineStr">
        <is>
          <t>2,40</t>
        </is>
      </c>
      <c r="V141" t="n">
        <v>1</v>
      </c>
      <c r="W141" t="n">
        <v>0</v>
      </c>
      <c r="X141">
        <f>IFERROR(U141*V141*(1-W141/100),"")</f>
        <v/>
      </c>
      <c r="Y141">
        <f>IFERROR(ROUND(X141*0.13,2),"")</f>
        <v/>
      </c>
      <c r="Z141">
        <f>IFERROR(X141+Y141,"")</f>
        <v/>
      </c>
      <c r="AA141" t="inlineStr">
        <is>
          <t>Tarjeta</t>
        </is>
      </c>
      <c r="AB141" t="inlineStr"/>
    </row>
    <row r="142">
      <c r="A142" t="inlineStr">
        <is>
          <t>F-10554</t>
        </is>
      </c>
      <c r="B142" t="inlineStr">
        <is>
          <t>15/07/2026</t>
        </is>
      </c>
      <c r="C142" t="inlineStr">
        <is>
          <t>Factura</t>
        </is>
      </c>
      <c r="D142" t="inlineStr">
        <is>
          <t>SS01</t>
        </is>
      </c>
      <c r="E142" t="inlineStr">
        <is>
          <t>S.S. Centro</t>
        </is>
      </c>
      <c r="F142" t="inlineStr">
        <is>
          <t>4a Calle Poniente #215</t>
        </is>
      </c>
      <c r="G142" t="inlineStr">
        <is>
          <t>San Salvador</t>
        </is>
      </c>
      <c r="H142" t="inlineStr">
        <is>
          <t>San Salvador</t>
        </is>
      </c>
      <c r="I142" t="inlineStr">
        <is>
          <t>Roberto Alfaro</t>
        </is>
      </c>
      <c r="J142" t="inlineStr">
        <is>
          <t>2221-4580</t>
        </is>
      </c>
      <c r="K142" t="inlineStr">
        <is>
          <t>Daniela Orellana</t>
        </is>
      </c>
      <c r="L142" t="inlineStr">
        <is>
          <t>Rosa Flores Cornejo</t>
        </is>
      </c>
      <c r="M142" t="inlineStr">
        <is>
          <t>00476760-8</t>
        </is>
      </c>
      <c r="N142" t="inlineStr">
        <is>
          <t>7668-7502</t>
        </is>
      </c>
      <c r="O142" t="inlineStr">
        <is>
          <t>Consumidor final</t>
        </is>
      </c>
      <c r="P142" t="inlineStr">
        <is>
          <t>FRI-001</t>
        </is>
      </c>
      <c r="Q142" t="inlineStr">
        <is>
          <t>Frijol rojo de seda 2lb</t>
        </is>
      </c>
      <c r="R142" t="inlineStr">
        <is>
          <t>Abarrotes</t>
        </is>
      </c>
      <c r="S142" t="inlineStr">
        <is>
          <t>Granos del Pacífico</t>
        </is>
      </c>
      <c r="T142" t="inlineStr">
        <is>
          <t>2234-8890</t>
        </is>
      </c>
      <c r="U142" t="inlineStr">
        <is>
          <t>2,40</t>
        </is>
      </c>
      <c r="V142" t="n">
        <v>1</v>
      </c>
      <c r="W142" t="n">
        <v>0</v>
      </c>
      <c r="X142">
        <f>IFERROR(U142*V142*(1-W142/100),"")</f>
        <v/>
      </c>
      <c r="Y142">
        <f>IFERROR(ROUND(X142*0.13,2),"")</f>
        <v/>
      </c>
      <c r="Z142">
        <f>IFERROR(X142+Y142,"")</f>
        <v/>
      </c>
      <c r="AA142" t="inlineStr">
        <is>
          <t>Tarjeta</t>
        </is>
      </c>
      <c r="AB142" t="inlineStr"/>
    </row>
    <row r="143">
      <c r="A143" t="inlineStr">
        <is>
          <t>F-10557</t>
        </is>
      </c>
      <c r="B143" s="3" t="n">
        <v>46291</v>
      </c>
      <c r="C143" t="inlineStr">
        <is>
          <t>Factura</t>
        </is>
      </c>
      <c r="D143" t="inlineStr">
        <is>
          <t>SS03</t>
        </is>
      </c>
      <c r="E143" t="inlineStr">
        <is>
          <t>soyapango</t>
        </is>
      </c>
      <c r="F143" t="inlineStr">
        <is>
          <t>Blvd. del Ejército km 4</t>
        </is>
      </c>
      <c r="G143" t="inlineStr">
        <is>
          <t>Soyapango</t>
        </is>
      </c>
      <c r="H143" t="inlineStr">
        <is>
          <t>San Salvador</t>
        </is>
      </c>
      <c r="I143" t="inlineStr">
        <is>
          <t>Karla Henríquez</t>
        </is>
      </c>
      <c r="J143" t="inlineStr">
        <is>
          <t>2277-3402</t>
        </is>
      </c>
      <c r="K143" t="inlineStr">
        <is>
          <t>Carlos Molina</t>
        </is>
      </c>
      <c r="L143" t="inlineStr">
        <is>
          <t>Patricia Argueta Mejía</t>
        </is>
      </c>
      <c r="M143" t="inlineStr"/>
      <c r="N143" t="inlineStr">
        <is>
          <t>2105-2525</t>
        </is>
      </c>
      <c r="O143" t="inlineStr">
        <is>
          <t>Consumidor final</t>
        </is>
      </c>
      <c r="P143" t="inlineStr">
        <is>
          <t>BEB-001</t>
        </is>
      </c>
      <c r="Q143" t="inlineStr">
        <is>
          <t>Gaseosa 2.5L</t>
        </is>
      </c>
      <c r="R143" t="inlineStr">
        <is>
          <t>Bebidas</t>
        </is>
      </c>
      <c r="S143" t="inlineStr">
        <is>
          <t>Bebidas Izalco</t>
        </is>
      </c>
      <c r="T143" t="inlineStr">
        <is>
          <t>2450-7700</t>
        </is>
      </c>
      <c r="U143" t="n">
        <v>1.95</v>
      </c>
      <c r="V143" t="n">
        <v>2</v>
      </c>
      <c r="W143" t="n">
        <v>0</v>
      </c>
      <c r="X143">
        <f>IFERROR(U143*V143*(1-W143/100),"")</f>
        <v/>
      </c>
      <c r="Y143">
        <f>IFERROR(ROUND(X143*0.13,2),"")</f>
        <v/>
      </c>
      <c r="Z143">
        <f>IFERROR(X143+Y143,"")</f>
        <v/>
      </c>
      <c r="AA143" t="inlineStr">
        <is>
          <t>Efectivo</t>
        </is>
      </c>
      <c r="AB143" t="inlineStr">
        <is>
          <t>Cliente frecuente</t>
        </is>
      </c>
    </row>
    <row r="144">
      <c r="A144" t="inlineStr">
        <is>
          <t>F-10557</t>
        </is>
      </c>
      <c r="B144" s="3" t="n">
        <v>46291</v>
      </c>
      <c r="C144" t="inlineStr">
        <is>
          <t>Factura</t>
        </is>
      </c>
      <c r="D144" t="inlineStr">
        <is>
          <t>SS03</t>
        </is>
      </c>
      <c r="E144" t="inlineStr">
        <is>
          <t>soyapango</t>
        </is>
      </c>
      <c r="F144" t="inlineStr">
        <is>
          <t>Blvd. del Ejército km 4</t>
        </is>
      </c>
      <c r="G144" t="inlineStr">
        <is>
          <t>Soyapango</t>
        </is>
      </c>
      <c r="H144" t="inlineStr">
        <is>
          <t>San Salvador</t>
        </is>
      </c>
      <c r="I144" t="inlineStr">
        <is>
          <t>Karla Henríquez</t>
        </is>
      </c>
      <c r="J144" t="inlineStr">
        <is>
          <t>2277-3402</t>
        </is>
      </c>
      <c r="K144" t="inlineStr">
        <is>
          <t>Carlos Molina</t>
        </is>
      </c>
      <c r="L144" t="inlineStr">
        <is>
          <t>Patricia Argueta Mejía</t>
        </is>
      </c>
      <c r="M144" t="inlineStr">
        <is>
          <t>01586554-3</t>
        </is>
      </c>
      <c r="N144" t="inlineStr">
        <is>
          <t>2105-2525</t>
        </is>
      </c>
      <c r="O144" t="inlineStr">
        <is>
          <t>Consumidor final</t>
        </is>
      </c>
      <c r="P144" t="inlineStr">
        <is>
          <t>HAR-001</t>
        </is>
      </c>
      <c r="Q144" t="inlineStr">
        <is>
          <t>Harina de maíz 2lb</t>
        </is>
      </c>
      <c r="R144" t="inlineStr">
        <is>
          <t>Abarrotes</t>
        </is>
      </c>
      <c r="S144" t="inlineStr">
        <is>
          <t>Granos del Pacífico</t>
        </is>
      </c>
      <c r="T144" t="inlineStr">
        <is>
          <t>2234-8890</t>
        </is>
      </c>
      <c r="U144" t="n">
        <v>1.35</v>
      </c>
      <c r="V144" t="n">
        <v>1</v>
      </c>
      <c r="W144" t="n">
        <v>0</v>
      </c>
      <c r="X144">
        <f>IFERROR(U144*V144*(1-W144/100),"")</f>
        <v/>
      </c>
      <c r="Y144">
        <f>IFERROR(ROUND(X144*0.13,2),"")</f>
        <v/>
      </c>
      <c r="Z144">
        <f>IFERROR(X144+Y144,"")</f>
        <v/>
      </c>
      <c r="AA144" t="inlineStr">
        <is>
          <t>Efectivo</t>
        </is>
      </c>
      <c r="AB144" t="inlineStr">
        <is>
          <t>precio especial autorizado por gerente</t>
        </is>
      </c>
    </row>
    <row r="145">
      <c r="A145" t="inlineStr">
        <is>
          <t>F-10559</t>
        </is>
      </c>
      <c r="B145" s="3" t="n">
        <v>46272</v>
      </c>
      <c r="C145" t="inlineStr">
        <is>
          <t>Factura</t>
        </is>
      </c>
      <c r="D145" t="inlineStr">
        <is>
          <t>SS01</t>
        </is>
      </c>
      <c r="E145" t="inlineStr">
        <is>
          <t>SAN SALVADOR CENTRO</t>
        </is>
      </c>
      <c r="F145" t="inlineStr">
        <is>
          <t>4a Calle Poniente #215</t>
        </is>
      </c>
      <c r="G145" t="inlineStr">
        <is>
          <t>San Salvador</t>
        </is>
      </c>
      <c r="H145" t="inlineStr">
        <is>
          <t>San Salvador</t>
        </is>
      </c>
      <c r="I145" t="inlineStr">
        <is>
          <t>Roberto Alfaro</t>
        </is>
      </c>
      <c r="J145" t="inlineStr">
        <is>
          <t>2221-4580</t>
        </is>
      </c>
      <c r="K145" t="inlineStr">
        <is>
          <t>José Martínez</t>
        </is>
      </c>
      <c r="L145" t="inlineStr">
        <is>
          <t>Carmen Quintanilla Mejía</t>
        </is>
      </c>
      <c r="M145" t="inlineStr">
        <is>
          <t>05832730-5</t>
        </is>
      </c>
      <c r="N145" t="inlineStr">
        <is>
          <t>6863-9414</t>
        </is>
      </c>
      <c r="O145" t="inlineStr">
        <is>
          <t>Consumidor final</t>
        </is>
      </c>
      <c r="P145" t="inlineStr">
        <is>
          <t>LAC-002</t>
        </is>
      </c>
      <c r="Q145" t="inlineStr">
        <is>
          <t>Crema 500ml</t>
        </is>
      </c>
      <c r="R145" t="inlineStr">
        <is>
          <t>Lacteos</t>
        </is>
      </c>
      <c r="S145" t="inlineStr">
        <is>
          <t>Lácteos Chalate</t>
        </is>
      </c>
      <c r="T145" t="inlineStr">
        <is>
          <t>7120-4455</t>
        </is>
      </c>
      <c r="U145" t="n">
        <v>2.25</v>
      </c>
      <c r="V145" t="n">
        <v>1</v>
      </c>
      <c r="W145" t="n">
        <v>0</v>
      </c>
      <c r="X145">
        <f>IFERROR(U145*V145*(1-W145/100),"")</f>
        <v/>
      </c>
      <c r="Y145">
        <f>IFERROR(ROUND(X145*0.13,2),"")</f>
        <v/>
      </c>
      <c r="Z145">
        <f>IFERROR(X145+Y145,"")</f>
        <v/>
      </c>
      <c r="AA145" t="inlineStr">
        <is>
          <t>Transferencia</t>
        </is>
      </c>
      <c r="AB145" t="inlineStr"/>
    </row>
    <row r="146">
      <c r="A146" t="inlineStr">
        <is>
          <t>F-10559</t>
        </is>
      </c>
      <c r="B146" s="4" t="n">
        <v>46272</v>
      </c>
      <c r="C146" t="inlineStr">
        <is>
          <t>Factura</t>
        </is>
      </c>
      <c r="D146" t="inlineStr">
        <is>
          <t>SS01</t>
        </is>
      </c>
      <c r="E146" t="inlineStr">
        <is>
          <t>SAN SALVADOR CENTRO</t>
        </is>
      </c>
      <c r="F146" t="inlineStr">
        <is>
          <t>4a Calle Poniente #215</t>
        </is>
      </c>
      <c r="G146" t="inlineStr">
        <is>
          <t>San Salvador</t>
        </is>
      </c>
      <c r="H146" t="inlineStr">
        <is>
          <t>San Salvador</t>
        </is>
      </c>
      <c r="I146" t="inlineStr">
        <is>
          <t>Roberto Alfaro</t>
        </is>
      </c>
      <c r="J146" t="inlineStr">
        <is>
          <t>2221-4580</t>
        </is>
      </c>
      <c r="K146" t="inlineStr">
        <is>
          <t>José Martínez</t>
        </is>
      </c>
      <c r="L146" t="inlineStr">
        <is>
          <t>Carmen Quintanilla Mejía</t>
        </is>
      </c>
      <c r="M146" t="inlineStr">
        <is>
          <t>05832730-5</t>
        </is>
      </c>
      <c r="N146" t="inlineStr">
        <is>
          <t>6863-9414</t>
        </is>
      </c>
      <c r="O146" t="inlineStr">
        <is>
          <t>Consumidor final</t>
        </is>
      </c>
      <c r="P146" t="inlineStr">
        <is>
          <t>LAC-002</t>
        </is>
      </c>
      <c r="Q146" t="inlineStr">
        <is>
          <t>Crema 500ml</t>
        </is>
      </c>
      <c r="R146" t="inlineStr">
        <is>
          <t>Lacteos</t>
        </is>
      </c>
      <c r="S146" t="inlineStr">
        <is>
          <t>Lácteos Chalate</t>
        </is>
      </c>
      <c r="T146" t="inlineStr">
        <is>
          <t>7120-4455</t>
        </is>
      </c>
      <c r="U146" t="n">
        <v>2.25</v>
      </c>
      <c r="V146" t="n">
        <v>1</v>
      </c>
      <c r="W146" t="n">
        <v>0</v>
      </c>
      <c r="X146">
        <f>IFERROR(U146*V146*(1-W146/100),"")</f>
        <v/>
      </c>
      <c r="Y146">
        <f>IFERROR(ROUND(X146*0.13,2),"")</f>
        <v/>
      </c>
      <c r="Z146">
        <f>IFERROR(X146+Y146,"")</f>
        <v/>
      </c>
      <c r="AA146" t="inlineStr">
        <is>
          <t>Transferencia</t>
        </is>
      </c>
      <c r="AB146" t="inlineStr"/>
    </row>
    <row r="147">
      <c r="A147" t="inlineStr">
        <is>
          <t>F-10562</t>
        </is>
      </c>
      <c r="B147" t="inlineStr">
        <is>
          <t>30/08/2026</t>
        </is>
      </c>
      <c r="C147" t="inlineStr">
        <is>
          <t>FCF</t>
        </is>
      </c>
      <c r="D147" t="inlineStr">
        <is>
          <t>SM01</t>
        </is>
      </c>
      <c r="E147" t="inlineStr">
        <is>
          <t>S. Miguel</t>
        </is>
      </c>
      <c r="F147" t="inlineStr">
        <is>
          <t>Av. Roosevelt Sur #7</t>
        </is>
      </c>
      <c r="G147" t="inlineStr">
        <is>
          <t>San Miguel</t>
        </is>
      </c>
      <c r="H147" t="inlineStr">
        <is>
          <t>San Miguel</t>
        </is>
      </c>
      <c r="I147" t="inlineStr">
        <is>
          <t>Iris Portillo</t>
        </is>
      </c>
      <c r="J147" t="inlineStr">
        <is>
          <t>2661-5076</t>
        </is>
      </c>
      <c r="K147" t="inlineStr">
        <is>
          <t>Paola Cruz</t>
        </is>
      </c>
      <c r="L147" t="inlineStr">
        <is>
          <t>Douglas Pérez Guevara</t>
        </is>
      </c>
      <c r="M147" t="inlineStr">
        <is>
          <t>09863904-2</t>
        </is>
      </c>
      <c r="N147" t="inlineStr">
        <is>
          <t>7997-9269</t>
        </is>
      </c>
      <c r="O147" t="inlineStr">
        <is>
          <t>Consumidor final</t>
        </is>
      </c>
      <c r="P147" t="inlineStr">
        <is>
          <t>CAF-001</t>
        </is>
      </c>
      <c r="Q147" t="inlineStr">
        <is>
          <t>Café molido 400g</t>
        </is>
      </c>
      <c r="R147" t="inlineStr">
        <is>
          <t>abarrotes</t>
        </is>
      </c>
      <c r="S147" t="inlineStr">
        <is>
          <t>Café Volcán S.A.</t>
        </is>
      </c>
      <c r="T147" t="inlineStr">
        <is>
          <t>2510-3344</t>
        </is>
      </c>
      <c r="U147" t="n">
        <v>4.25</v>
      </c>
      <c r="V147" t="n">
        <v>24</v>
      </c>
      <c r="W147" t="n">
        <v>0</v>
      </c>
      <c r="X147">
        <f>IFERROR(U147*V147*(1-W147/100),"")</f>
        <v/>
      </c>
      <c r="Y147">
        <f>IFERROR(ROUND(X147*0.13,2),"")</f>
        <v/>
      </c>
      <c r="Z147">
        <f>IFERROR(X147+Y147,"")</f>
        <v/>
      </c>
      <c r="AA147" t="inlineStr">
        <is>
          <t>Efectivo</t>
        </is>
      </c>
      <c r="AB147" t="inlineStr"/>
    </row>
    <row r="148">
      <c r="A148" t="inlineStr">
        <is>
          <t>F-10562</t>
        </is>
      </c>
      <c r="B148" s="3" t="n">
        <v>46264</v>
      </c>
      <c r="C148" t="inlineStr">
        <is>
          <t>FCF</t>
        </is>
      </c>
      <c r="D148" t="inlineStr"/>
      <c r="E148" t="inlineStr">
        <is>
          <t>SAN MIGUEL</t>
        </is>
      </c>
      <c r="F148" t="inlineStr">
        <is>
          <t>Av. Roosevelt Sur #7</t>
        </is>
      </c>
      <c r="G148" t="inlineStr">
        <is>
          <t>San Miguel</t>
        </is>
      </c>
      <c r="H148" t="inlineStr">
        <is>
          <t>San Miguel</t>
        </is>
      </c>
      <c r="I148" t="inlineStr">
        <is>
          <t>Iris Portillo</t>
        </is>
      </c>
      <c r="J148" t="inlineStr">
        <is>
          <t>2661-5076</t>
        </is>
      </c>
      <c r="K148" t="inlineStr">
        <is>
          <t>Paola Cruz</t>
        </is>
      </c>
      <c r="L148" t="inlineStr">
        <is>
          <t>Douglas Pérez Guevara</t>
        </is>
      </c>
      <c r="M148" t="inlineStr">
        <is>
          <t>09863904-2</t>
        </is>
      </c>
      <c r="N148" t="inlineStr">
        <is>
          <t>7997-9269</t>
        </is>
      </c>
      <c r="O148" t="inlineStr">
        <is>
          <t>Consumidor final</t>
        </is>
      </c>
      <c r="P148" t="inlineStr">
        <is>
          <t>PAN-002</t>
        </is>
      </c>
      <c r="Q148" t="inlineStr">
        <is>
          <t>Semita alta</t>
        </is>
      </c>
      <c r="R148" t="inlineStr">
        <is>
          <t>Panadería</t>
        </is>
      </c>
      <c r="S148" t="inlineStr">
        <is>
          <t>Panificadora Ilopango</t>
        </is>
      </c>
      <c r="T148" t="inlineStr">
        <is>
          <t>2295-0081</t>
        </is>
      </c>
      <c r="U148" t="inlineStr">
        <is>
          <t>1,75</t>
        </is>
      </c>
      <c r="V148" t="n">
        <v>12</v>
      </c>
      <c r="W148" t="n">
        <v>0</v>
      </c>
      <c r="X148">
        <f>IFERROR(U148*V148*(1-W148/100),"")</f>
        <v/>
      </c>
      <c r="Y148">
        <f>IFERROR(ROUND(X148*0.13,2),"")</f>
        <v/>
      </c>
      <c r="Z148">
        <f>IFERROR(X148+Y148,"")</f>
        <v/>
      </c>
      <c r="AA148" t="inlineStr">
        <is>
          <t>Efectivo</t>
        </is>
      </c>
      <c r="AB148" t="inlineStr">
        <is>
          <t>Cliente frecuente</t>
        </is>
      </c>
    </row>
    <row r="149">
      <c r="A149" t="inlineStr">
        <is>
          <t>F-10564</t>
        </is>
      </c>
      <c r="B149" t="inlineStr">
        <is>
          <t>19/07/2026</t>
        </is>
      </c>
      <c r="C149" t="inlineStr">
        <is>
          <t>Factura</t>
        </is>
      </c>
      <c r="D149" t="inlineStr">
        <is>
          <t>LL01</t>
        </is>
      </c>
      <c r="E149" t="inlineStr">
        <is>
          <t>SANTA TECLA</t>
        </is>
      </c>
      <c r="F149" t="inlineStr">
        <is>
          <t>Calle Daniel Hernández #18</t>
        </is>
      </c>
      <c r="G149" t="inlineStr">
        <is>
          <t>Santa Tecla</t>
        </is>
      </c>
      <c r="H149" t="inlineStr">
        <is>
          <t>La Libertad</t>
        </is>
      </c>
      <c r="I149" t="inlineStr">
        <is>
          <t>Óscar Rivas</t>
        </is>
      </c>
      <c r="J149" t="inlineStr">
        <is>
          <t>2228-7731</t>
        </is>
      </c>
      <c r="K149" t="inlineStr">
        <is>
          <t>Luis Escobar</t>
        </is>
      </c>
      <c r="L149" t="inlineStr">
        <is>
          <t>Patricia Argueta Mejía</t>
        </is>
      </c>
      <c r="M149" t="inlineStr">
        <is>
          <t>01586554-3</t>
        </is>
      </c>
      <c r="N149" t="inlineStr">
        <is>
          <t>2105-2525</t>
        </is>
      </c>
      <c r="O149" t="inlineStr">
        <is>
          <t>Consumidor final</t>
        </is>
      </c>
      <c r="P149" t="inlineStr">
        <is>
          <t>HIG-001</t>
        </is>
      </c>
      <c r="Q149" t="inlineStr">
        <is>
          <t>Detergente 1kg</t>
        </is>
      </c>
      <c r="R149" t="inlineStr">
        <is>
          <t>Limpieza</t>
        </is>
      </c>
      <c r="S149" t="inlineStr">
        <is>
          <t>Higiene Total C.A.</t>
        </is>
      </c>
      <c r="T149" t="inlineStr">
        <is>
          <t>2207-5566</t>
        </is>
      </c>
      <c r="U149" t="n">
        <v>3.45</v>
      </c>
      <c r="V149" t="n">
        <v>1</v>
      </c>
      <c r="W149" t="n">
        <v>0</v>
      </c>
      <c r="X149">
        <f>IFERROR(U149*V149*(1-W149/100),"")</f>
        <v/>
      </c>
      <c r="Y149">
        <f>IFERROR(ROUND(X149*0.13,2),"")</f>
        <v/>
      </c>
      <c r="Z149">
        <f>IFERROR(X149+Y149,"")</f>
        <v/>
      </c>
      <c r="AA149" t="inlineStr">
        <is>
          <t>Tarjeta</t>
        </is>
      </c>
      <c r="AB149" t="inlineStr"/>
    </row>
    <row r="150">
      <c r="A150" t="inlineStr">
        <is>
          <t>F-10564</t>
        </is>
      </c>
      <c r="B150" s="3" t="n">
        <v>46222</v>
      </c>
      <c r="C150" t="inlineStr">
        <is>
          <t>Factura</t>
        </is>
      </c>
      <c r="D150" t="inlineStr">
        <is>
          <t>LL01</t>
        </is>
      </c>
      <c r="E150" t="inlineStr">
        <is>
          <t>Santa Tecla</t>
        </is>
      </c>
      <c r="F150" t="inlineStr">
        <is>
          <t>Calle Daniel Hernández #18</t>
        </is>
      </c>
      <c r="G150" t="inlineStr">
        <is>
          <t>Santa Tecla</t>
        </is>
      </c>
      <c r="H150" t="inlineStr">
        <is>
          <t>La Libertad</t>
        </is>
      </c>
      <c r="I150" t="inlineStr">
        <is>
          <t>Óscar Rivas</t>
        </is>
      </c>
      <c r="J150" t="inlineStr">
        <is>
          <t>2228-7731</t>
        </is>
      </c>
      <c r="K150" t="inlineStr">
        <is>
          <t>Luis Escobar</t>
        </is>
      </c>
      <c r="L150" t="inlineStr">
        <is>
          <t>Patricia Argueta Mejía</t>
        </is>
      </c>
      <c r="M150" t="inlineStr">
        <is>
          <t>01586554-3</t>
        </is>
      </c>
      <c r="N150" t="inlineStr">
        <is>
          <t>2105-2525</t>
        </is>
      </c>
      <c r="O150" t="inlineStr">
        <is>
          <t>Consumidor final</t>
        </is>
      </c>
      <c r="P150" t="inlineStr">
        <is>
          <t>CAF-001</t>
        </is>
      </c>
      <c r="Q150" t="inlineStr">
        <is>
          <t>Café molido 400g</t>
        </is>
      </c>
      <c r="R150" t="inlineStr">
        <is>
          <t>Abarrotes</t>
        </is>
      </c>
      <c r="S150" t="inlineStr">
        <is>
          <t>Café Volcán S.A.</t>
        </is>
      </c>
      <c r="T150" t="inlineStr">
        <is>
          <t>2510-3344</t>
        </is>
      </c>
      <c r="U150" t="n">
        <v>4.25</v>
      </c>
      <c r="V150" t="n">
        <v>2</v>
      </c>
      <c r="W150" t="n">
        <v>0</v>
      </c>
      <c r="X150">
        <f>IFERROR(U150*V150*(1-W150/100),"")</f>
        <v/>
      </c>
      <c r="Y150">
        <f>IFERROR(ROUND(X150*0.13,2),"")</f>
        <v/>
      </c>
      <c r="Z150">
        <f>IFERROR(X150+Y150,"")</f>
        <v/>
      </c>
      <c r="AA150" t="inlineStr">
        <is>
          <t>Tarjeta</t>
        </is>
      </c>
      <c r="AB150" t="inlineStr"/>
    </row>
    <row r="151">
      <c r="A151" t="inlineStr">
        <is>
          <t>F-10566</t>
        </is>
      </c>
      <c r="B151" t="inlineStr">
        <is>
          <t>14-Sep-26</t>
        </is>
      </c>
      <c r="C151" t="inlineStr">
        <is>
          <t>Factura</t>
        </is>
      </c>
      <c r="D151" t="inlineStr"/>
      <c r="E151" t="inlineStr">
        <is>
          <t xml:space="preserve">san salvador centro </t>
        </is>
      </c>
      <c r="F151" t="inlineStr">
        <is>
          <t>4a Calle Poniente #215</t>
        </is>
      </c>
      <c r="G151" t="inlineStr">
        <is>
          <t>San Salvador</t>
        </is>
      </c>
      <c r="H151" t="inlineStr">
        <is>
          <t>San Salvador</t>
        </is>
      </c>
      <c r="I151" t="inlineStr">
        <is>
          <t>Roberto Alfaro</t>
        </is>
      </c>
      <c r="J151" t="inlineStr">
        <is>
          <t>2221-4580</t>
        </is>
      </c>
      <c r="K151" t="inlineStr">
        <is>
          <t>Daniela Orellana</t>
        </is>
      </c>
      <c r="L151" t="inlineStr">
        <is>
          <t>Silvia Mejía Sorto</t>
        </is>
      </c>
      <c r="M151" t="inlineStr">
        <is>
          <t>08942439-6</t>
        </is>
      </c>
      <c r="N151" t="inlineStr">
        <is>
          <t>2492-5995</t>
        </is>
      </c>
      <c r="O151" t="inlineStr">
        <is>
          <t>Consumidor final</t>
        </is>
      </c>
      <c r="P151" t="inlineStr">
        <is>
          <t>LAC-003</t>
        </is>
      </c>
      <c r="Q151" t="inlineStr">
        <is>
          <t>Leche entera 1L</t>
        </is>
      </c>
      <c r="R151" t="inlineStr">
        <is>
          <t>Lácteos</t>
        </is>
      </c>
      <c r="S151" t="inlineStr">
        <is>
          <t>Lácteos Chalate</t>
        </is>
      </c>
      <c r="T151" t="inlineStr">
        <is>
          <t>7120-4455</t>
        </is>
      </c>
      <c r="U151" t="inlineStr">
        <is>
          <t>$1.20</t>
        </is>
      </c>
      <c r="V151" t="n">
        <v>1</v>
      </c>
      <c r="W151" t="n">
        <v>0</v>
      </c>
      <c r="X151">
        <f>IFERROR(U151*V151*(1-W151/100),"")</f>
        <v/>
      </c>
      <c r="Y151">
        <f>IFERROR(ROUND(X151*0.13,2),"")</f>
        <v/>
      </c>
      <c r="Z151">
        <f>IFERROR(X151+Y151,"")</f>
        <v/>
      </c>
      <c r="AA151" t="inlineStr">
        <is>
          <t>Transferencia</t>
        </is>
      </c>
      <c r="AB151" t="inlineStr">
        <is>
          <t>entregar en bodega</t>
        </is>
      </c>
    </row>
    <row r="152">
      <c r="A152" t="inlineStr">
        <is>
          <t>F-10566</t>
        </is>
      </c>
      <c r="B152" t="inlineStr">
        <is>
          <t>14/09/2026</t>
        </is>
      </c>
      <c r="C152" t="inlineStr">
        <is>
          <t>Factura</t>
        </is>
      </c>
      <c r="D152" t="inlineStr">
        <is>
          <t>SS01</t>
        </is>
      </c>
      <c r="E152" t="inlineStr">
        <is>
          <t>S.S. Centro</t>
        </is>
      </c>
      <c r="F152" t="inlineStr">
        <is>
          <t>4a Calle Poniente #215</t>
        </is>
      </c>
      <c r="G152" t="inlineStr">
        <is>
          <t>San Salvador</t>
        </is>
      </c>
      <c r="H152" t="inlineStr">
        <is>
          <t>San Salvador</t>
        </is>
      </c>
      <c r="I152" t="inlineStr">
        <is>
          <t>Roberto Alfaro</t>
        </is>
      </c>
      <c r="J152" t="inlineStr">
        <is>
          <t>2221-4580</t>
        </is>
      </c>
      <c r="K152" t="inlineStr">
        <is>
          <t>Daniela Orellana</t>
        </is>
      </c>
      <c r="L152" t="inlineStr">
        <is>
          <t>Silvia Mejía Sorto</t>
        </is>
      </c>
      <c r="M152" t="inlineStr"/>
      <c r="N152" t="inlineStr">
        <is>
          <t>2492-5995</t>
        </is>
      </c>
      <c r="O152" t="inlineStr">
        <is>
          <t>Consumidor final</t>
        </is>
      </c>
      <c r="P152" t="inlineStr">
        <is>
          <t>HIG-003</t>
        </is>
      </c>
      <c r="Q152" t="inlineStr">
        <is>
          <t>Jabón de lavar barra</t>
        </is>
      </c>
      <c r="R152" t="inlineStr">
        <is>
          <t>Limpieza</t>
        </is>
      </c>
      <c r="S152" t="inlineStr">
        <is>
          <t>Higiene Total C.A.</t>
        </is>
      </c>
      <c r="T152" t="inlineStr">
        <is>
          <t>2207-5566</t>
        </is>
      </c>
      <c r="U152" t="n">
        <v>0.75</v>
      </c>
      <c r="V152" t="n">
        <v>24</v>
      </c>
      <c r="W152" t="n">
        <v>0</v>
      </c>
      <c r="X152">
        <f>IFERROR(U152*V152*(1-W152/100),"")</f>
        <v/>
      </c>
      <c r="Y152">
        <f>IFERROR(ROUND(X152*0.13,2),"")</f>
        <v/>
      </c>
      <c r="Z152">
        <f>IFERROR(X152+Y152,"")</f>
        <v/>
      </c>
      <c r="AA152" t="inlineStr">
        <is>
          <t>Transferencia</t>
        </is>
      </c>
      <c r="AB152" t="inlineStr"/>
    </row>
    <row r="153">
      <c r="A153" t="inlineStr">
        <is>
          <t>F-10566</t>
        </is>
      </c>
      <c r="B153" s="3" t="n">
        <v>46279</v>
      </c>
      <c r="C153" t="inlineStr">
        <is>
          <t>Factura</t>
        </is>
      </c>
      <c r="D153" t="inlineStr">
        <is>
          <t>SS01</t>
        </is>
      </c>
      <c r="E153" t="inlineStr">
        <is>
          <t>San Salvador Centro</t>
        </is>
      </c>
      <c r="F153" t="inlineStr">
        <is>
          <t>4a Calle Poniente #215</t>
        </is>
      </c>
      <c r="G153" t="inlineStr">
        <is>
          <t>San Salvador</t>
        </is>
      </c>
      <c r="H153" t="inlineStr">
        <is>
          <t>San Salvador</t>
        </is>
      </c>
      <c r="I153" t="inlineStr">
        <is>
          <t>Roberto Alfaro</t>
        </is>
      </c>
      <c r="J153" t="inlineStr">
        <is>
          <t>2221-4580</t>
        </is>
      </c>
      <c r="K153" t="inlineStr">
        <is>
          <t>Daniela Orellana</t>
        </is>
      </c>
      <c r="L153" t="inlineStr">
        <is>
          <t>Silvia Mejía Sorto</t>
        </is>
      </c>
      <c r="M153" t="inlineStr">
        <is>
          <t>08942439-6</t>
        </is>
      </c>
      <c r="N153" t="inlineStr">
        <is>
          <t>2492-5995</t>
        </is>
      </c>
      <c r="O153" t="inlineStr">
        <is>
          <t>Consumidor final</t>
        </is>
      </c>
      <c r="P153" t="inlineStr">
        <is>
          <t>PAN-002</t>
        </is>
      </c>
      <c r="Q153" t="inlineStr">
        <is>
          <t>Semita alta</t>
        </is>
      </c>
      <c r="R153" t="inlineStr">
        <is>
          <t>Panadería</t>
        </is>
      </c>
      <c r="S153" t="inlineStr">
        <is>
          <t>Panificadora Ilopango</t>
        </is>
      </c>
      <c r="T153" t="inlineStr">
        <is>
          <t>2295-0081</t>
        </is>
      </c>
      <c r="U153" t="n">
        <v>1.75</v>
      </c>
      <c r="V153" t="n">
        <v>1</v>
      </c>
      <c r="W153" t="n">
        <v>0</v>
      </c>
      <c r="X153">
        <f>IFERROR(U153*V153*(1-W153/100),"")</f>
        <v/>
      </c>
      <c r="Y153">
        <f>IFERROR(ROUND(X153*0.13,2),"")</f>
        <v/>
      </c>
      <c r="Z153">
        <f>IFERROR(X153+Y153,"")</f>
        <v/>
      </c>
      <c r="AA153" t="inlineStr">
        <is>
          <t>Transferencia</t>
        </is>
      </c>
      <c r="AB153" t="inlineStr">
        <is>
          <t>pagó con billete de $100</t>
        </is>
      </c>
    </row>
    <row r="154">
      <c r="A154" t="inlineStr">
        <is>
          <t>F-10566</t>
        </is>
      </c>
      <c r="B154" t="inlineStr">
        <is>
          <t>2026-09-14</t>
        </is>
      </c>
      <c r="C154" t="inlineStr">
        <is>
          <t>Factura</t>
        </is>
      </c>
      <c r="D154" t="inlineStr">
        <is>
          <t>SS01</t>
        </is>
      </c>
      <c r="E154" t="inlineStr">
        <is>
          <t>SAN SALVADOR CENTRO</t>
        </is>
      </c>
      <c r="F154" t="inlineStr">
        <is>
          <t>4a Calle Poniente #215</t>
        </is>
      </c>
      <c r="G154" t="inlineStr">
        <is>
          <t>San Salvador</t>
        </is>
      </c>
      <c r="H154" t="inlineStr">
        <is>
          <t>San Salvador</t>
        </is>
      </c>
      <c r="I154" t="inlineStr">
        <is>
          <t>Roberto Alfaro</t>
        </is>
      </c>
      <c r="J154" t="inlineStr">
        <is>
          <t>2221-4580</t>
        </is>
      </c>
      <c r="K154" t="inlineStr">
        <is>
          <t>Daniela Orellana</t>
        </is>
      </c>
      <c r="L154" t="inlineStr">
        <is>
          <t>Silvia Mejía Sorto</t>
        </is>
      </c>
      <c r="M154" t="inlineStr">
        <is>
          <t>08942439-6</t>
        </is>
      </c>
      <c r="N154" t="inlineStr">
        <is>
          <t>2492-5995</t>
        </is>
      </c>
      <c r="O154" t="inlineStr">
        <is>
          <t>Consumidor final</t>
        </is>
      </c>
      <c r="P154" t="inlineStr">
        <is>
          <t>BEB-003</t>
        </is>
      </c>
      <c r="Q154" t="inlineStr">
        <is>
          <t>Horchata en polvo 400g</t>
        </is>
      </c>
      <c r="R154" t="inlineStr">
        <is>
          <t>Abarrotes</t>
        </is>
      </c>
      <c r="S154" t="inlineStr">
        <is>
          <t>Bebidas Izalco</t>
        </is>
      </c>
      <c r="T154" t="inlineStr">
        <is>
          <t>2450-7700</t>
        </is>
      </c>
      <c r="U154" t="inlineStr">
        <is>
          <t>2,60</t>
        </is>
      </c>
      <c r="V154" t="n">
        <v>1</v>
      </c>
      <c r="W154" t="n">
        <v>0</v>
      </c>
      <c r="X154">
        <f>IFERROR(U154*V154*(1-W154/100),"")</f>
        <v/>
      </c>
      <c r="Y154">
        <f>IFERROR(ROUND(X154*0.13,2),"")</f>
        <v/>
      </c>
      <c r="Z154">
        <f>IFERROR(X154+Y154,"")</f>
        <v/>
      </c>
      <c r="AA154" t="inlineStr">
        <is>
          <t>Transferencia</t>
        </is>
      </c>
      <c r="AB154" t="inlineStr">
        <is>
          <t>pagó con billete de $100</t>
        </is>
      </c>
    </row>
    <row r="155">
      <c r="A155" t="inlineStr">
        <is>
          <t>F-10568</t>
        </is>
      </c>
      <c r="B155" s="3" t="n">
        <v>46236</v>
      </c>
      <c r="C155" t="inlineStr">
        <is>
          <t>factura</t>
        </is>
      </c>
      <c r="D155" t="inlineStr"/>
      <c r="E155" t="inlineStr">
        <is>
          <t>SANTA TECLA</t>
        </is>
      </c>
      <c r="F155" t="inlineStr">
        <is>
          <t>Calle Daniel Hernández #18</t>
        </is>
      </c>
      <c r="G155" t="inlineStr">
        <is>
          <t>Santa Tecla</t>
        </is>
      </c>
      <c r="H155" t="inlineStr">
        <is>
          <t>La Libertad</t>
        </is>
      </c>
      <c r="I155" t="inlineStr">
        <is>
          <t>Óscar Rivas</t>
        </is>
      </c>
      <c r="J155" t="inlineStr">
        <is>
          <t>2228-7731</t>
        </is>
      </c>
      <c r="K155" t="inlineStr">
        <is>
          <t>Luis Escobar</t>
        </is>
      </c>
      <c r="L155" t="inlineStr">
        <is>
          <t>José López Pérez</t>
        </is>
      </c>
      <c r="M155" t="inlineStr">
        <is>
          <t>07894436-0</t>
        </is>
      </c>
      <c r="N155" t="inlineStr">
        <is>
          <t>2795-9333</t>
        </is>
      </c>
      <c r="O155" t="inlineStr">
        <is>
          <t>Consumidor final</t>
        </is>
      </c>
      <c r="P155" t="inlineStr">
        <is>
          <t>ARR-001</t>
        </is>
      </c>
      <c r="Q155" t="inlineStr">
        <is>
          <t>Arroz blanco 5lb</t>
        </is>
      </c>
      <c r="R155" t="inlineStr">
        <is>
          <t>Granos básicos</t>
        </is>
      </c>
      <c r="S155" t="inlineStr">
        <is>
          <t>Granos del Pacífico</t>
        </is>
      </c>
      <c r="T155" t="inlineStr">
        <is>
          <t>2234-8890</t>
        </is>
      </c>
      <c r="U155" t="n">
        <v>3.95</v>
      </c>
      <c r="V155" t="n">
        <v>24</v>
      </c>
      <c r="W155" t="n">
        <v>0</v>
      </c>
      <c r="X155">
        <f>IFERROR(U155*V155*(1-W155/100),"")</f>
        <v/>
      </c>
      <c r="Y155">
        <f>IFERROR(ROUND(X155*0.13,2),"")</f>
        <v/>
      </c>
      <c r="Z155">
        <f>IFERROR(X155+Y155,"")</f>
        <v/>
      </c>
      <c r="AA155" t="inlineStr">
        <is>
          <t>Bitcoin</t>
        </is>
      </c>
      <c r="AB155" t="inlineStr">
        <is>
          <t>precio especial autorizado por gerente</t>
        </is>
      </c>
    </row>
    <row r="156">
      <c r="A156" t="inlineStr">
        <is>
          <t>F-10568</t>
        </is>
      </c>
      <c r="B156" t="inlineStr">
        <is>
          <t>2026-08-02</t>
        </is>
      </c>
      <c r="C156" t="inlineStr">
        <is>
          <t>factura</t>
        </is>
      </c>
      <c r="D156" t="inlineStr">
        <is>
          <t>LL01</t>
        </is>
      </c>
      <c r="E156" t="inlineStr">
        <is>
          <t>Santa Tecla</t>
        </is>
      </c>
      <c r="F156" t="inlineStr">
        <is>
          <t>Calle Daniel Hernández #18</t>
        </is>
      </c>
      <c r="G156" t="inlineStr">
        <is>
          <t>Santa Tecla</t>
        </is>
      </c>
      <c r="H156" t="inlineStr">
        <is>
          <t>La Libertad</t>
        </is>
      </c>
      <c r="I156" t="inlineStr">
        <is>
          <t>Óscar Rivas</t>
        </is>
      </c>
      <c r="J156" t="inlineStr">
        <is>
          <t>2228-7731</t>
        </is>
      </c>
      <c r="K156" t="inlineStr">
        <is>
          <t>Luis Escobar</t>
        </is>
      </c>
      <c r="L156" t="inlineStr">
        <is>
          <t>José López Pérez</t>
        </is>
      </c>
      <c r="M156" t="inlineStr">
        <is>
          <t>07894436-0</t>
        </is>
      </c>
      <c r="N156" t="inlineStr">
        <is>
          <t>2795-9333</t>
        </is>
      </c>
      <c r="O156" t="inlineStr">
        <is>
          <t>Consumidor final</t>
        </is>
      </c>
      <c r="P156" t="inlineStr">
        <is>
          <t>CAF-001</t>
        </is>
      </c>
      <c r="Q156" t="inlineStr">
        <is>
          <t>Café molido 400g</t>
        </is>
      </c>
      <c r="R156" t="inlineStr">
        <is>
          <t>ABARROTES</t>
        </is>
      </c>
      <c r="S156" t="inlineStr">
        <is>
          <t>Café Volcán S.A.</t>
        </is>
      </c>
      <c r="T156" t="inlineStr">
        <is>
          <t>2510-3344</t>
        </is>
      </c>
      <c r="U156" t="inlineStr">
        <is>
          <t>4,25</t>
        </is>
      </c>
      <c r="V156" t="n">
        <v>2</v>
      </c>
      <c r="W156" t="n">
        <v>0</v>
      </c>
      <c r="X156">
        <f>IFERROR(U156*V156*(1-W156/100),"")</f>
        <v/>
      </c>
      <c r="Y156">
        <f>IFERROR(ROUND(X156*0.13,2),"")</f>
        <v/>
      </c>
      <c r="Z156">
        <f>IFERROR(X156+Y156,"")</f>
        <v/>
      </c>
      <c r="AA156" t="inlineStr">
        <is>
          <t>Bitcoin</t>
        </is>
      </c>
      <c r="AB156" t="inlineStr"/>
    </row>
    <row r="157">
      <c r="A157" t="inlineStr">
        <is>
          <t>F-10569</t>
        </is>
      </c>
      <c r="B157" t="inlineStr">
        <is>
          <t>28/07/2026</t>
        </is>
      </c>
      <c r="C157" t="inlineStr">
        <is>
          <t>factura</t>
        </is>
      </c>
      <c r="D157" t="inlineStr">
        <is>
          <t>US01</t>
        </is>
      </c>
      <c r="E157" t="inlineStr">
        <is>
          <t>Usulutan</t>
        </is>
      </c>
      <c r="F157" t="inlineStr">
        <is>
          <t>2a Av. Norte #9</t>
        </is>
      </c>
      <c r="G157" t="inlineStr">
        <is>
          <t>Usulután</t>
        </is>
      </c>
      <c r="H157" t="inlineStr">
        <is>
          <t>Usulután</t>
        </is>
      </c>
      <c r="I157" t="inlineStr">
        <is>
          <t>Nelson Fuentes</t>
        </is>
      </c>
      <c r="J157" t="inlineStr">
        <is>
          <t>2662-8810</t>
        </is>
      </c>
      <c r="K157" t="inlineStr">
        <is>
          <t>Miguel Bonilla</t>
        </is>
      </c>
      <c r="L157" t="inlineStr">
        <is>
          <t>René Flores García</t>
        </is>
      </c>
      <c r="M157" t="inlineStr">
        <is>
          <t>08499785-5</t>
        </is>
      </c>
      <c r="N157" t="inlineStr">
        <is>
          <t>6702-2047</t>
        </is>
      </c>
      <c r="O157" t="inlineStr">
        <is>
          <t>Consumidor final</t>
        </is>
      </c>
      <c r="P157" t="inlineStr">
        <is>
          <t>HAR-001</t>
        </is>
      </c>
      <c r="Q157" t="inlineStr">
        <is>
          <t>Harina de maíz 2lb</t>
        </is>
      </c>
      <c r="R157" t="inlineStr">
        <is>
          <t>Abarrotes</t>
        </is>
      </c>
      <c r="S157" t="inlineStr">
        <is>
          <t>Granos del Pacífico</t>
        </is>
      </c>
      <c r="T157" t="inlineStr">
        <is>
          <t>2234-8890</t>
        </is>
      </c>
      <c r="U157" t="n">
        <v>1.35</v>
      </c>
      <c r="V157" t="n">
        <v>3</v>
      </c>
      <c r="W157" t="n">
        <v>0</v>
      </c>
      <c r="X157">
        <f>IFERROR(U157*V157*(1-W157/100),"")</f>
        <v/>
      </c>
      <c r="Y157">
        <f>IFERROR(ROUND(X157*0.13,2),"")</f>
        <v/>
      </c>
      <c r="Z157">
        <f>IFERROR(X157+Y157,"")</f>
        <v/>
      </c>
      <c r="AA157" t="inlineStr">
        <is>
          <t>efectivo</t>
        </is>
      </c>
      <c r="AB157" t="inlineStr">
        <is>
          <t>entregar en bodega</t>
        </is>
      </c>
    </row>
    <row r="158">
      <c r="A158" t="inlineStr">
        <is>
          <t>F-10569</t>
        </is>
      </c>
      <c r="B158" s="3" t="n">
        <v>46231</v>
      </c>
      <c r="C158" t="inlineStr">
        <is>
          <t>factura</t>
        </is>
      </c>
      <c r="D158" t="inlineStr">
        <is>
          <t>US01</t>
        </is>
      </c>
      <c r="E158" t="inlineStr">
        <is>
          <t>Usulután</t>
        </is>
      </c>
      <c r="F158" t="inlineStr">
        <is>
          <t>2a Av. Norte #9</t>
        </is>
      </c>
      <c r="G158" t="inlineStr">
        <is>
          <t>Usulután</t>
        </is>
      </c>
      <c r="H158" t="inlineStr">
        <is>
          <t>Usulután</t>
        </is>
      </c>
      <c r="I158" t="inlineStr">
        <is>
          <t>Nelson Fuentes</t>
        </is>
      </c>
      <c r="J158" t="inlineStr">
        <is>
          <t>2662-8810</t>
        </is>
      </c>
      <c r="K158" t="inlineStr">
        <is>
          <t>Miguel Bonilla</t>
        </is>
      </c>
      <c r="L158" t="inlineStr">
        <is>
          <t>René Flores García</t>
        </is>
      </c>
      <c r="M158" t="inlineStr">
        <is>
          <t>08499785-5</t>
        </is>
      </c>
      <c r="N158" t="inlineStr">
        <is>
          <t>6702-2047</t>
        </is>
      </c>
      <c r="O158" t="inlineStr">
        <is>
          <t>Consumidor final</t>
        </is>
      </c>
      <c r="P158" t="inlineStr">
        <is>
          <t>ARR-001</t>
        </is>
      </c>
      <c r="Q158" t="inlineStr">
        <is>
          <t>Arroz blanco 5lb</t>
        </is>
      </c>
      <c r="R158" t="inlineStr">
        <is>
          <t>Abarrotes</t>
        </is>
      </c>
      <c r="S158" t="inlineStr">
        <is>
          <t>Granos del Pacífico</t>
        </is>
      </c>
      <c r="T158" t="inlineStr">
        <is>
          <t>2234-8890</t>
        </is>
      </c>
      <c r="U158" t="n">
        <v>3.95</v>
      </c>
      <c r="V158" t="n">
        <v>1</v>
      </c>
      <c r="W158" t="n">
        <v>0</v>
      </c>
      <c r="X158">
        <f>IFERROR(U158*V158*(1-W158/100),"")</f>
        <v/>
      </c>
      <c r="Y158">
        <f>IFERROR(ROUND(X158*0.13,2),"")</f>
        <v/>
      </c>
      <c r="Z158">
        <f>IFERROR(X158+Y158,"")</f>
        <v/>
      </c>
      <c r="AA158" t="inlineStr">
        <is>
          <t>efectivo</t>
        </is>
      </c>
      <c r="AB158" t="inlineStr"/>
    </row>
    <row r="159">
      <c r="A159" t="inlineStr">
        <is>
          <t>F-10569</t>
        </is>
      </c>
      <c r="B159" s="4" t="n">
        <v>46231</v>
      </c>
      <c r="C159" t="inlineStr">
        <is>
          <t>factura</t>
        </is>
      </c>
      <c r="D159" t="inlineStr">
        <is>
          <t>US01</t>
        </is>
      </c>
      <c r="E159" t="inlineStr">
        <is>
          <t>Usulután</t>
        </is>
      </c>
      <c r="F159" t="inlineStr">
        <is>
          <t>2a Av. Norte #9</t>
        </is>
      </c>
      <c r="G159" t="inlineStr">
        <is>
          <t>Usulután</t>
        </is>
      </c>
      <c r="H159" t="inlineStr">
        <is>
          <t>Usulután</t>
        </is>
      </c>
      <c r="I159" t="inlineStr">
        <is>
          <t>Nelson Fuentes</t>
        </is>
      </c>
      <c r="J159" t="inlineStr">
        <is>
          <t>2662-8810</t>
        </is>
      </c>
      <c r="K159" t="inlineStr">
        <is>
          <t>Miguel Bonilla</t>
        </is>
      </c>
      <c r="L159" t="inlineStr">
        <is>
          <t>René Flores García</t>
        </is>
      </c>
      <c r="M159" t="inlineStr">
        <is>
          <t>08499785-5</t>
        </is>
      </c>
      <c r="N159" t="inlineStr">
        <is>
          <t>6702-2047</t>
        </is>
      </c>
      <c r="O159" t="inlineStr">
        <is>
          <t>Consumidor final</t>
        </is>
      </c>
      <c r="P159" t="inlineStr">
        <is>
          <t>ARR-001</t>
        </is>
      </c>
      <c r="Q159" t="inlineStr">
        <is>
          <t>Arroz blanco 5lb</t>
        </is>
      </c>
      <c r="R159" t="inlineStr">
        <is>
          <t>Abarrotes</t>
        </is>
      </c>
      <c r="S159" t="inlineStr">
        <is>
          <t>Granos del Pacífico</t>
        </is>
      </c>
      <c r="T159" t="inlineStr">
        <is>
          <t>2234-8890</t>
        </is>
      </c>
      <c r="U159" t="n">
        <v>3.95</v>
      </c>
      <c r="V159" t="n">
        <v>1</v>
      </c>
      <c r="W159" t="n">
        <v>0</v>
      </c>
      <c r="X159">
        <f>IFERROR(U159*V159*(1-W159/100),"")</f>
        <v/>
      </c>
      <c r="Y159">
        <f>IFERROR(ROUND(X159*0.13,2),"")</f>
        <v/>
      </c>
      <c r="Z159">
        <f>IFERROR(X159+Y159,"")</f>
        <v/>
      </c>
      <c r="AA159" t="inlineStr">
        <is>
          <t>efectivo</t>
        </is>
      </c>
      <c r="AB159" t="inlineStr"/>
    </row>
    <row r="160">
      <c r="A160" t="inlineStr">
        <is>
          <t>F-10569</t>
        </is>
      </c>
      <c r="B160" s="3" t="n">
        <v>46231</v>
      </c>
      <c r="C160" t="inlineStr">
        <is>
          <t>factura</t>
        </is>
      </c>
      <c r="D160" t="inlineStr">
        <is>
          <t>US01</t>
        </is>
      </c>
      <c r="E160" t="inlineStr">
        <is>
          <t>Usulután</t>
        </is>
      </c>
      <c r="F160" t="inlineStr">
        <is>
          <t>2a Av. Norte #9</t>
        </is>
      </c>
      <c r="G160" t="inlineStr">
        <is>
          <t>Usulután</t>
        </is>
      </c>
      <c r="H160" t="inlineStr">
        <is>
          <t>Usulután</t>
        </is>
      </c>
      <c r="I160" t="inlineStr">
        <is>
          <t>Nelson Fuentes</t>
        </is>
      </c>
      <c r="J160" t="inlineStr">
        <is>
          <t>2662-8810</t>
        </is>
      </c>
      <c r="K160" t="inlineStr">
        <is>
          <t>Miguel Bonilla</t>
        </is>
      </c>
      <c r="L160" t="inlineStr">
        <is>
          <t>René Flores García</t>
        </is>
      </c>
      <c r="M160" t="inlineStr">
        <is>
          <t>08499785-5</t>
        </is>
      </c>
      <c r="N160" t="inlineStr">
        <is>
          <t>6702-2047</t>
        </is>
      </c>
      <c r="O160" t="inlineStr">
        <is>
          <t>Consumidor final</t>
        </is>
      </c>
      <c r="P160" t="inlineStr">
        <is>
          <t>LAC-002</t>
        </is>
      </c>
      <c r="Q160" t="inlineStr">
        <is>
          <t>Crema 500ml</t>
        </is>
      </c>
      <c r="R160" t="inlineStr">
        <is>
          <t>Lácteos</t>
        </is>
      </c>
      <c r="S160" t="inlineStr">
        <is>
          <t>Lácteos Chalate</t>
        </is>
      </c>
      <c r="T160" t="inlineStr">
        <is>
          <t>2335-1020</t>
        </is>
      </c>
      <c r="U160" t="inlineStr">
        <is>
          <t>$2.25</t>
        </is>
      </c>
      <c r="V160" t="n">
        <v>4</v>
      </c>
      <c r="W160" t="n">
        <v>0</v>
      </c>
      <c r="X160">
        <f>IFERROR(U160*V160*(1-W160/100),"")</f>
        <v/>
      </c>
      <c r="Y160">
        <f>IFERROR(ROUND(X160*0.13,2),"")</f>
        <v/>
      </c>
      <c r="Z160">
        <f>IFERROR(X160+Y160,"")</f>
        <v/>
      </c>
      <c r="AA160" t="inlineStr">
        <is>
          <t>efectivo</t>
        </is>
      </c>
      <c r="AB160" t="inlineStr">
        <is>
          <t>Llamar al 7788-1234 antes de entregar</t>
        </is>
      </c>
    </row>
    <row r="161">
      <c r="A161" t="inlineStr">
        <is>
          <t>F-10571</t>
        </is>
      </c>
      <c r="B161" t="inlineStr">
        <is>
          <t>2026-07-17</t>
        </is>
      </c>
      <c r="C161" t="inlineStr">
        <is>
          <t>Factura</t>
        </is>
      </c>
      <c r="D161" t="inlineStr">
        <is>
          <t>SS03</t>
        </is>
      </c>
      <c r="E161" t="inlineStr">
        <is>
          <t xml:space="preserve">SOYAPANGO </t>
        </is>
      </c>
      <c r="F161" t="inlineStr">
        <is>
          <t>Blvd. del Ejército km 4</t>
        </is>
      </c>
      <c r="G161" t="inlineStr">
        <is>
          <t>Soyapango</t>
        </is>
      </c>
      <c r="H161" t="inlineStr">
        <is>
          <t>San Salvador</t>
        </is>
      </c>
      <c r="I161" t="inlineStr">
        <is>
          <t>Karla Henríquez</t>
        </is>
      </c>
      <c r="J161" t="inlineStr">
        <is>
          <t>2277-3402</t>
        </is>
      </c>
      <c r="K161" t="inlineStr">
        <is>
          <t>Marta Gómez</t>
        </is>
      </c>
      <c r="L161" t="inlineStr">
        <is>
          <t>Walter Mejía Castillo</t>
        </is>
      </c>
      <c r="M161" t="inlineStr"/>
      <c r="N161" t="inlineStr">
        <is>
          <t>2959-3937</t>
        </is>
      </c>
      <c r="O161" t="inlineStr">
        <is>
          <t>Consumidor final</t>
        </is>
      </c>
      <c r="P161" t="inlineStr">
        <is>
          <t>LAC-003</t>
        </is>
      </c>
      <c r="Q161" t="inlineStr">
        <is>
          <t>Leche entera 1L</t>
        </is>
      </c>
      <c r="R161" t="inlineStr">
        <is>
          <t>Lácteos</t>
        </is>
      </c>
      <c r="S161" t="inlineStr">
        <is>
          <t>Lácteos Chalate</t>
        </is>
      </c>
      <c r="T161" t="inlineStr">
        <is>
          <t>2335-1020</t>
        </is>
      </c>
      <c r="U161" t="n">
        <v>1.2</v>
      </c>
      <c r="V161" t="n">
        <v>3</v>
      </c>
      <c r="W161" t="n">
        <v>0</v>
      </c>
      <c r="X161">
        <f>IFERROR(U161*V161*(1-W161/100),"")</f>
        <v/>
      </c>
      <c r="Y161">
        <f>IFERROR(ROUND(X161*0.13,2),"")</f>
        <v/>
      </c>
      <c r="Z161">
        <f>IFERROR(X161+Y161,"")</f>
        <v/>
      </c>
      <c r="AA161" t="inlineStr">
        <is>
          <t>efectivo</t>
        </is>
      </c>
      <c r="AB161" t="inlineStr"/>
    </row>
    <row r="162">
      <c r="A162" t="inlineStr">
        <is>
          <t>F-10571</t>
        </is>
      </c>
      <c r="B162" s="3" t="n">
        <v>46220</v>
      </c>
      <c r="C162" t="inlineStr">
        <is>
          <t>Factura</t>
        </is>
      </c>
      <c r="D162" t="inlineStr">
        <is>
          <t>SS03</t>
        </is>
      </c>
      <c r="E162" t="inlineStr">
        <is>
          <t>soyapango</t>
        </is>
      </c>
      <c r="F162" t="inlineStr">
        <is>
          <t>Blvd. del Ejército km 4</t>
        </is>
      </c>
      <c r="G162" t="inlineStr">
        <is>
          <t>Soyapango</t>
        </is>
      </c>
      <c r="H162" t="inlineStr">
        <is>
          <t>San Salvador</t>
        </is>
      </c>
      <c r="I162" t="inlineStr">
        <is>
          <t>Karla Henríquez</t>
        </is>
      </c>
      <c r="J162" t="inlineStr">
        <is>
          <t>2277-3402</t>
        </is>
      </c>
      <c r="K162" t="inlineStr">
        <is>
          <t>Marta Gómez</t>
        </is>
      </c>
      <c r="L162" t="inlineStr">
        <is>
          <t>Walter Mejía Castillo</t>
        </is>
      </c>
      <c r="M162" t="inlineStr"/>
      <c r="N162" t="inlineStr">
        <is>
          <t>2959-3937</t>
        </is>
      </c>
      <c r="O162" t="inlineStr">
        <is>
          <t>Consumidor final</t>
        </is>
      </c>
      <c r="P162" t="inlineStr">
        <is>
          <t>BEB-003</t>
        </is>
      </c>
      <c r="Q162" t="inlineStr">
        <is>
          <t>Horchata en polvo 400g</t>
        </is>
      </c>
      <c r="R162" t="inlineStr">
        <is>
          <t>Bebidas</t>
        </is>
      </c>
      <c r="S162" t="inlineStr">
        <is>
          <t>Bebidas Izalco</t>
        </is>
      </c>
      <c r="T162" t="inlineStr">
        <is>
          <t>2450-7700</t>
        </is>
      </c>
      <c r="U162" t="n">
        <v>2.6</v>
      </c>
      <c r="V162" t="n">
        <v>24</v>
      </c>
      <c r="W162" t="n">
        <v>0</v>
      </c>
      <c r="X162">
        <f>IFERROR(U162*V162*(1-W162/100),"")</f>
        <v/>
      </c>
      <c r="Y162">
        <f>IFERROR(ROUND(X162*0.13,2),"")</f>
        <v/>
      </c>
      <c r="Z162">
        <f>IFERROR(X162+Y162,"")</f>
        <v/>
      </c>
      <c r="AA162" t="inlineStr">
        <is>
          <t>efectivo</t>
        </is>
      </c>
      <c r="AB162" t="inlineStr">
        <is>
          <t>Cliente frecuente</t>
        </is>
      </c>
    </row>
    <row r="163">
      <c r="A163" t="inlineStr">
        <is>
          <t>F-10571</t>
        </is>
      </c>
      <c r="B163" t="inlineStr">
        <is>
          <t>17/07/2026</t>
        </is>
      </c>
      <c r="C163" t="inlineStr">
        <is>
          <t>Factura</t>
        </is>
      </c>
      <c r="D163" t="inlineStr">
        <is>
          <t>SS03</t>
        </is>
      </c>
      <c r="E163" t="inlineStr">
        <is>
          <t>Soyapango</t>
        </is>
      </c>
      <c r="F163" t="inlineStr">
        <is>
          <t>Blvd. del Ejército km 4</t>
        </is>
      </c>
      <c r="G163" t="inlineStr">
        <is>
          <t>Soyapango</t>
        </is>
      </c>
      <c r="H163" t="inlineStr">
        <is>
          <t>San Salvador</t>
        </is>
      </c>
      <c r="I163" t="inlineStr">
        <is>
          <t>Karla Henríquez</t>
        </is>
      </c>
      <c r="J163" t="inlineStr">
        <is>
          <t>2277-3402</t>
        </is>
      </c>
      <c r="K163" t="inlineStr">
        <is>
          <t>Marta Gómez</t>
        </is>
      </c>
      <c r="L163" t="inlineStr">
        <is>
          <t>Walter Mejía Castillo</t>
        </is>
      </c>
      <c r="M163" t="inlineStr">
        <is>
          <t>02326285-9</t>
        </is>
      </c>
      <c r="N163" t="inlineStr">
        <is>
          <t>2959-3937</t>
        </is>
      </c>
      <c r="O163" t="inlineStr">
        <is>
          <t>Consumidor final</t>
        </is>
      </c>
      <c r="P163" t="inlineStr">
        <is>
          <t>HIG-003</t>
        </is>
      </c>
      <c r="Q163" t="inlineStr">
        <is>
          <t>Jabón de lavar barra</t>
        </is>
      </c>
      <c r="R163" t="inlineStr">
        <is>
          <t>Limpieza</t>
        </is>
      </c>
      <c r="S163" t="inlineStr">
        <is>
          <t>Higiene Total C.A.</t>
        </is>
      </c>
      <c r="T163" t="inlineStr">
        <is>
          <t>2207-5566</t>
        </is>
      </c>
      <c r="U163" t="n">
        <v>0.75</v>
      </c>
      <c r="V163" t="n">
        <v>2</v>
      </c>
      <c r="W163" t="n">
        <v>0</v>
      </c>
      <c r="X163">
        <f>IFERROR(U163*V163*(1-W163/100),"")</f>
        <v/>
      </c>
      <c r="Y163">
        <f>IFERROR(ROUND(X163*0.13,2),"")</f>
        <v/>
      </c>
      <c r="Z163">
        <f>IFERROR(X163+Y163,"")</f>
        <v/>
      </c>
      <c r="AA163" t="inlineStr">
        <is>
          <t>efectivo</t>
        </is>
      </c>
      <c r="AB163" t="inlineStr"/>
    </row>
    <row r="164">
      <c r="A164" t="inlineStr">
        <is>
          <t>10571</t>
        </is>
      </c>
      <c r="B164" s="3" t="n">
        <v>46220</v>
      </c>
      <c r="C164" t="inlineStr">
        <is>
          <t>Factura</t>
        </is>
      </c>
      <c r="D164" t="inlineStr">
        <is>
          <t>SS03</t>
        </is>
      </c>
      <c r="E164" t="inlineStr">
        <is>
          <t xml:space="preserve">SOYAPANGO </t>
        </is>
      </c>
      <c r="F164" t="inlineStr">
        <is>
          <t>Blvd. del Ejército km 4</t>
        </is>
      </c>
      <c r="G164" t="inlineStr">
        <is>
          <t>Soyapango</t>
        </is>
      </c>
      <c r="H164" t="inlineStr">
        <is>
          <t>San Salvador</t>
        </is>
      </c>
      <c r="I164" t="inlineStr">
        <is>
          <t>Karla Henríquez</t>
        </is>
      </c>
      <c r="J164" t="inlineStr">
        <is>
          <t>2277-3402</t>
        </is>
      </c>
      <c r="K164" t="inlineStr">
        <is>
          <t>Marta Gómez</t>
        </is>
      </c>
      <c r="L164" t="inlineStr">
        <is>
          <t>WALTER MEJÍA CASTILLO</t>
        </is>
      </c>
      <c r="M164" t="inlineStr">
        <is>
          <t>02326285-9</t>
        </is>
      </c>
      <c r="N164" t="inlineStr">
        <is>
          <t>2959-3937</t>
        </is>
      </c>
      <c r="O164" t="inlineStr">
        <is>
          <t>Consumidor final</t>
        </is>
      </c>
      <c r="P164" t="inlineStr">
        <is>
          <t>ARR-001</t>
        </is>
      </c>
      <c r="Q164" t="inlineStr">
        <is>
          <t>Arroz blanco 5lb</t>
        </is>
      </c>
      <c r="R164" t="inlineStr">
        <is>
          <t>Granos básicos</t>
        </is>
      </c>
      <c r="S164" t="inlineStr">
        <is>
          <t>Granos del Pacífico</t>
        </is>
      </c>
      <c r="T164" t="inlineStr">
        <is>
          <t>2234-8890</t>
        </is>
      </c>
      <c r="U164" t="n">
        <v>3.95</v>
      </c>
      <c r="V164" t="n">
        <v>1</v>
      </c>
      <c r="W164" t="n">
        <v>0</v>
      </c>
      <c r="X164">
        <f>IFERROR(U164*V164*(1-W164/100),"")</f>
        <v/>
      </c>
      <c r="Y164">
        <f>IFERROR(ROUND(X164*0.13,2),"")</f>
        <v/>
      </c>
      <c r="Z164">
        <f>IFERROR(X164+Y164,"")</f>
        <v/>
      </c>
      <c r="AA164" t="inlineStr">
        <is>
          <t>efectivo</t>
        </is>
      </c>
      <c r="AB164" t="inlineStr"/>
    </row>
    <row r="165">
      <c r="A165" t="inlineStr">
        <is>
          <t>F-10572</t>
        </is>
      </c>
      <c r="B165" s="3" t="n">
        <v>46269</v>
      </c>
      <c r="C165" t="inlineStr">
        <is>
          <t>Factura</t>
        </is>
      </c>
      <c r="D165" t="inlineStr">
        <is>
          <t>SS02</t>
        </is>
      </c>
      <c r="E165" t="inlineStr">
        <is>
          <t>Escalón</t>
        </is>
      </c>
      <c r="F165" t="inlineStr">
        <is>
          <t>Paseo General Escalón #3910</t>
        </is>
      </c>
      <c r="G165" t="inlineStr">
        <is>
          <t>San Salvador</t>
        </is>
      </c>
      <c r="H165" t="inlineStr">
        <is>
          <t>San Salvador</t>
        </is>
      </c>
      <c r="I165" t="inlineStr">
        <is>
          <t>Claudia Menjívar</t>
        </is>
      </c>
      <c r="J165" t="inlineStr">
        <is>
          <t>2264-1190</t>
        </is>
      </c>
      <c r="K165" t="inlineStr">
        <is>
          <t>Fátima Rosales</t>
        </is>
      </c>
      <c r="L165" t="inlineStr">
        <is>
          <t>Xiomara Flores Rivera</t>
        </is>
      </c>
      <c r="M165" t="inlineStr">
        <is>
          <t>09919727-8</t>
        </is>
      </c>
      <c r="N165" t="inlineStr">
        <is>
          <t>2544-6511</t>
        </is>
      </c>
      <c r="O165" t="inlineStr">
        <is>
          <t>Consumidor final</t>
        </is>
      </c>
      <c r="P165" t="inlineStr">
        <is>
          <t>HIG-003</t>
        </is>
      </c>
      <c r="Q165" t="inlineStr">
        <is>
          <t>Jabón de lavar barra</t>
        </is>
      </c>
      <c r="R165" t="inlineStr">
        <is>
          <t>Limpieza</t>
        </is>
      </c>
      <c r="S165" t="inlineStr">
        <is>
          <t>Higiene Total C.A.</t>
        </is>
      </c>
      <c r="T165" t="inlineStr">
        <is>
          <t>2207-5566</t>
        </is>
      </c>
      <c r="U165" t="n">
        <v>0.75</v>
      </c>
      <c r="V165" t="n">
        <v>2</v>
      </c>
      <c r="W165" t="n">
        <v>0</v>
      </c>
      <c r="X165">
        <f>IFERROR(U165*V165*(1-W165/100),"")</f>
        <v/>
      </c>
      <c r="Y165">
        <f>IFERROR(ROUND(X165*0.13,2),"")</f>
        <v/>
      </c>
      <c r="Z165">
        <f>IFERROR(X165+Y165,"")</f>
        <v/>
      </c>
      <c r="AA165" t="inlineStr">
        <is>
          <t>Bitcoin</t>
        </is>
      </c>
      <c r="AB165" t="inlineStr"/>
    </row>
    <row r="166">
      <c r="A166" t="inlineStr">
        <is>
          <t>F-10572</t>
        </is>
      </c>
      <c r="B166" s="3" t="n">
        <v>46269</v>
      </c>
      <c r="C166" t="inlineStr">
        <is>
          <t>Factura</t>
        </is>
      </c>
      <c r="D166" t="inlineStr">
        <is>
          <t>SS02</t>
        </is>
      </c>
      <c r="E166" t="inlineStr">
        <is>
          <t>Escalón</t>
        </is>
      </c>
      <c r="F166" t="inlineStr">
        <is>
          <t>Paseo General Escalón #3910</t>
        </is>
      </c>
      <c r="G166" t="inlineStr">
        <is>
          <t>San Salvador</t>
        </is>
      </c>
      <c r="H166" t="inlineStr">
        <is>
          <t>San Salvador</t>
        </is>
      </c>
      <c r="I166" t="inlineStr">
        <is>
          <t>Claudia Menjívar</t>
        </is>
      </c>
      <c r="J166" t="inlineStr">
        <is>
          <t>2264-1190</t>
        </is>
      </c>
      <c r="K166" t="inlineStr">
        <is>
          <t>Fátima Rosales</t>
        </is>
      </c>
      <c r="L166" t="inlineStr">
        <is>
          <t>XIOMARA FLORES RIVERA</t>
        </is>
      </c>
      <c r="M166" t="inlineStr">
        <is>
          <t>09919727-8</t>
        </is>
      </c>
      <c r="N166" t="inlineStr">
        <is>
          <t>2544-6511</t>
        </is>
      </c>
      <c r="O166" t="inlineStr">
        <is>
          <t>Consumidor final</t>
        </is>
      </c>
      <c r="P166" t="inlineStr">
        <is>
          <t>HIG-001</t>
        </is>
      </c>
      <c r="Q166" t="inlineStr">
        <is>
          <t>Detergente 1kg</t>
        </is>
      </c>
      <c r="R166" t="inlineStr">
        <is>
          <t>Limpieza</t>
        </is>
      </c>
      <c r="S166" t="inlineStr">
        <is>
          <t>Higiene Total C.A.</t>
        </is>
      </c>
      <c r="T166" t="inlineStr">
        <is>
          <t>2207-5566</t>
        </is>
      </c>
      <c r="U166" t="n">
        <v>3.45</v>
      </c>
      <c r="V166" t="n">
        <v>-6</v>
      </c>
      <c r="W166" t="n">
        <v>0</v>
      </c>
      <c r="X166">
        <f>IFERROR(U166*V166*(1-W166/100),"")</f>
        <v/>
      </c>
      <c r="Y166">
        <f>IFERROR(ROUND(X166*0.13,2),"")</f>
        <v/>
      </c>
      <c r="Z166">
        <f>IFERROR(X166+Y166,"")</f>
        <v/>
      </c>
      <c r="AA166" t="inlineStr">
        <is>
          <t>Bitcoin</t>
        </is>
      </c>
      <c r="AB166" t="inlineStr"/>
    </row>
    <row r="167">
      <c r="A167" t="inlineStr">
        <is>
          <t>F-10575</t>
        </is>
      </c>
      <c r="B167" s="3" t="n">
        <v>46267</v>
      </c>
      <c r="C167" t="inlineStr">
        <is>
          <t>Factura</t>
        </is>
      </c>
      <c r="D167" t="inlineStr">
        <is>
          <t>SA01</t>
        </is>
      </c>
      <c r="E167" t="inlineStr">
        <is>
          <t>Santa  Ana</t>
        </is>
      </c>
      <c r="F167" t="inlineStr">
        <is>
          <t>Av. Independencia Sur #12</t>
        </is>
      </c>
      <c r="G167" t="inlineStr">
        <is>
          <t>Santa Ana</t>
        </is>
      </c>
      <c r="H167" t="inlineStr">
        <is>
          <t>Santa Ana</t>
        </is>
      </c>
      <c r="I167" t="inlineStr">
        <is>
          <t>Verónica Sandoval</t>
        </is>
      </c>
      <c r="J167" t="inlineStr">
        <is>
          <t>2440-9921</t>
        </is>
      </c>
      <c r="K167" t="inlineStr">
        <is>
          <t>Sofía Cáceres</t>
        </is>
      </c>
      <c r="L167" t="inlineStr">
        <is>
          <t>Sandra Sorto López</t>
        </is>
      </c>
      <c r="M167" t="inlineStr">
        <is>
          <t>00961529-1</t>
        </is>
      </c>
      <c r="N167" t="inlineStr">
        <is>
          <t>2123-6077</t>
        </is>
      </c>
      <c r="O167" t="inlineStr">
        <is>
          <t>Consumidor final</t>
        </is>
      </c>
      <c r="P167" t="inlineStr">
        <is>
          <t>LAC-002</t>
        </is>
      </c>
      <c r="Q167" t="inlineStr">
        <is>
          <t>Crema 500ml</t>
        </is>
      </c>
      <c r="R167" t="inlineStr">
        <is>
          <t>Lácteos</t>
        </is>
      </c>
      <c r="S167" t="inlineStr">
        <is>
          <t>Lácteos Chalate</t>
        </is>
      </c>
      <c r="T167" t="inlineStr">
        <is>
          <t>2335-1020</t>
        </is>
      </c>
      <c r="U167" t="n">
        <v>2.25</v>
      </c>
      <c r="V167" t="n">
        <v>1</v>
      </c>
      <c r="W167" t="n">
        <v>0</v>
      </c>
      <c r="X167">
        <f>IFERROR(U167*V167*(1-W167/100),"")</f>
        <v/>
      </c>
      <c r="Y167">
        <f>IFERROR(ROUND(X167*0.13,2),"")</f>
        <v/>
      </c>
      <c r="Z167">
        <f>IFERROR(X167+Y167,"")</f>
        <v/>
      </c>
      <c r="AA167" t="inlineStr">
        <is>
          <t>Tarjeta</t>
        </is>
      </c>
      <c r="AB167" t="inlineStr"/>
    </row>
    <row r="168">
      <c r="A168" t="inlineStr">
        <is>
          <t>F-10575</t>
        </is>
      </c>
      <c r="B168" t="inlineStr">
        <is>
          <t>02/09/2026</t>
        </is>
      </c>
      <c r="C168" t="inlineStr">
        <is>
          <t>Factura</t>
        </is>
      </c>
      <c r="D168" t="inlineStr">
        <is>
          <t>SA01</t>
        </is>
      </c>
      <c r="E168" t="inlineStr">
        <is>
          <t>STA ANA</t>
        </is>
      </c>
      <c r="F168" t="inlineStr">
        <is>
          <t>Av. Independencia Sur #12</t>
        </is>
      </c>
      <c r="G168" t="inlineStr">
        <is>
          <t>Santa Ana</t>
        </is>
      </c>
      <c r="H168" t="inlineStr">
        <is>
          <t>Santa Ana</t>
        </is>
      </c>
      <c r="I168" t="inlineStr">
        <is>
          <t>Mauricio Linares</t>
        </is>
      </c>
      <c r="J168" t="inlineStr">
        <is>
          <t>2440-9921</t>
        </is>
      </c>
      <c r="K168" t="inlineStr">
        <is>
          <t>Sofía Cáceres</t>
        </is>
      </c>
      <c r="L168" t="inlineStr">
        <is>
          <t>Sandra Sorto López</t>
        </is>
      </c>
      <c r="M168" t="inlineStr">
        <is>
          <t>00961529-1</t>
        </is>
      </c>
      <c r="N168" t="inlineStr">
        <is>
          <t>2123-6077</t>
        </is>
      </c>
      <c r="O168" t="inlineStr">
        <is>
          <t>Consumidor final</t>
        </is>
      </c>
      <c r="P168" t="inlineStr">
        <is>
          <t>PAN-002</t>
        </is>
      </c>
      <c r="Q168" t="inlineStr">
        <is>
          <t>Semita alta</t>
        </is>
      </c>
      <c r="R168" t="inlineStr">
        <is>
          <t>Panadería</t>
        </is>
      </c>
      <c r="S168" t="inlineStr">
        <is>
          <t>Panificadora Ilopango</t>
        </is>
      </c>
      <c r="T168" t="inlineStr">
        <is>
          <t>2295-0081</t>
        </is>
      </c>
      <c r="U168" t="n">
        <v>1.75</v>
      </c>
      <c r="V168" t="n">
        <v>1</v>
      </c>
      <c r="W168" t="n">
        <v>0</v>
      </c>
      <c r="X168">
        <f>IFERROR(U168*V168*(1-W168/100),"")</f>
        <v/>
      </c>
      <c r="Y168">
        <f>IFERROR(ROUND(X168*0.13,2),"")</f>
        <v/>
      </c>
      <c r="Z168">
        <f>IFERROR(X168+Y168,"")</f>
        <v/>
      </c>
      <c r="AA168" t="inlineStr">
        <is>
          <t>Tarjeta</t>
        </is>
      </c>
      <c r="AB168" t="inlineStr">
        <is>
          <t>entregar en bodega</t>
        </is>
      </c>
    </row>
    <row r="169">
      <c r="A169" t="inlineStr">
        <is>
          <t>F-10575</t>
        </is>
      </c>
      <c r="B169" s="3" t="n">
        <v>46267</v>
      </c>
      <c r="C169" t="inlineStr">
        <is>
          <t>Factura</t>
        </is>
      </c>
      <c r="D169" t="inlineStr">
        <is>
          <t>SA01</t>
        </is>
      </c>
      <c r="E169" t="inlineStr">
        <is>
          <t>Santa  Ana</t>
        </is>
      </c>
      <c r="F169" t="inlineStr">
        <is>
          <t>Av. Independencia Sur #12</t>
        </is>
      </c>
      <c r="G169" t="inlineStr">
        <is>
          <t>Santa Ana</t>
        </is>
      </c>
      <c r="H169" t="inlineStr">
        <is>
          <t>Santa Ana</t>
        </is>
      </c>
      <c r="I169" t="inlineStr">
        <is>
          <t>Verónica Sandoval</t>
        </is>
      </c>
      <c r="J169" t="inlineStr">
        <is>
          <t>2440-9921</t>
        </is>
      </c>
      <c r="K169" t="inlineStr">
        <is>
          <t>Sofía Cáceres</t>
        </is>
      </c>
      <c r="L169" t="inlineStr">
        <is>
          <t>Sandra Sorto López</t>
        </is>
      </c>
      <c r="M169" t="inlineStr">
        <is>
          <t>00961529-1</t>
        </is>
      </c>
      <c r="N169" t="inlineStr">
        <is>
          <t>2123-6077</t>
        </is>
      </c>
      <c r="O169" t="inlineStr">
        <is>
          <t>Consumidor final</t>
        </is>
      </c>
      <c r="P169" t="inlineStr">
        <is>
          <t>BEB-001</t>
        </is>
      </c>
      <c r="Q169" t="inlineStr">
        <is>
          <t>Gaseosa 2.5L</t>
        </is>
      </c>
      <c r="R169" t="inlineStr">
        <is>
          <t>bebidas</t>
        </is>
      </c>
      <c r="S169" t="inlineStr">
        <is>
          <t>Bebidas Izalco</t>
        </is>
      </c>
      <c r="T169" t="inlineStr">
        <is>
          <t>2450-7700</t>
        </is>
      </c>
      <c r="U169" t="n">
        <v>1.95</v>
      </c>
      <c r="V169" t="n">
        <v>2</v>
      </c>
      <c r="W169" t="n">
        <v>0</v>
      </c>
      <c r="X169">
        <f>IFERROR(U169*V169*(1-W169/100),"")</f>
        <v/>
      </c>
      <c r="Y169">
        <f>IFERROR(ROUND(X169*0.13,2),"")</f>
        <v/>
      </c>
      <c r="Z169">
        <f>IFERROR(X169+Y169,"")</f>
        <v/>
      </c>
      <c r="AA169" t="inlineStr">
        <is>
          <t>Tarjeta</t>
        </is>
      </c>
      <c r="AB169" t="inlineStr">
        <is>
          <t>entregar en bodega</t>
        </is>
      </c>
    </row>
    <row r="170">
      <c r="A170" t="inlineStr">
        <is>
          <t>F-10575</t>
        </is>
      </c>
      <c r="B170" t="inlineStr">
        <is>
          <t>2026-09-02</t>
        </is>
      </c>
      <c r="C170" t="inlineStr">
        <is>
          <t>Factura</t>
        </is>
      </c>
      <c r="D170" t="inlineStr">
        <is>
          <t>SA01</t>
        </is>
      </c>
      <c r="E170" t="inlineStr">
        <is>
          <t>Santa Ana</t>
        </is>
      </c>
      <c r="F170" t="inlineStr">
        <is>
          <t>Av. Independencia Sur #12</t>
        </is>
      </c>
      <c r="G170" t="inlineStr">
        <is>
          <t>Santa Ana</t>
        </is>
      </c>
      <c r="H170" t="inlineStr">
        <is>
          <t>Santa Ana</t>
        </is>
      </c>
      <c r="I170" t="inlineStr">
        <is>
          <t>Mauricio Linares</t>
        </is>
      </c>
      <c r="J170" t="inlineStr">
        <is>
          <t>2440-9921</t>
        </is>
      </c>
      <c r="K170" t="inlineStr">
        <is>
          <t>Sofía Cáceres</t>
        </is>
      </c>
      <c r="L170" t="inlineStr">
        <is>
          <t>Sandra Sorto López</t>
        </is>
      </c>
      <c r="M170" t="inlineStr">
        <is>
          <t>00961529-1</t>
        </is>
      </c>
      <c r="N170" t="inlineStr">
        <is>
          <t>2123-6077</t>
        </is>
      </c>
      <c r="O170" t="inlineStr">
        <is>
          <t>Consumidor final</t>
        </is>
      </c>
      <c r="P170" t="inlineStr">
        <is>
          <t>HIG-001</t>
        </is>
      </c>
      <c r="Q170" t="inlineStr">
        <is>
          <t>Detergente 1kg</t>
        </is>
      </c>
      <c r="R170" t="inlineStr">
        <is>
          <t>Higiene</t>
        </is>
      </c>
      <c r="S170" t="inlineStr">
        <is>
          <t>Higiene Total C.A.</t>
        </is>
      </c>
      <c r="T170" t="inlineStr">
        <is>
          <t>2207-5566</t>
        </is>
      </c>
      <c r="U170" t="n">
        <v>3.45</v>
      </c>
      <c r="V170" t="n">
        <v>2</v>
      </c>
      <c r="W170" t="n">
        <v>0</v>
      </c>
      <c r="X170">
        <f>IFERROR(U170*V170*(1-W170/100),"")</f>
        <v/>
      </c>
      <c r="Y170">
        <f>IFERROR(ROUND(X170*0.13,2),"")</f>
        <v/>
      </c>
      <c r="Z170">
        <f>IFERROR(X170+Y170,"")</f>
        <v/>
      </c>
      <c r="AA170" t="inlineStr">
        <is>
          <t>Tarjeta</t>
        </is>
      </c>
      <c r="AB170" t="inlineStr">
        <is>
          <t>Llamar al 7788-1234 antes de entregar</t>
        </is>
      </c>
    </row>
    <row r="171">
      <c r="A171" t="inlineStr">
        <is>
          <t>F-10578</t>
        </is>
      </c>
      <c r="B171" s="3" t="n">
        <v>46282</v>
      </c>
      <c r="C171" t="inlineStr">
        <is>
          <t>factura</t>
        </is>
      </c>
      <c r="D171" t="inlineStr">
        <is>
          <t>SS03</t>
        </is>
      </c>
      <c r="E171" t="inlineStr">
        <is>
          <t>Soyapango</t>
        </is>
      </c>
      <c r="F171" t="inlineStr">
        <is>
          <t>Blvd. del Ejército km 4</t>
        </is>
      </c>
      <c r="G171" t="inlineStr">
        <is>
          <t>Soyapango</t>
        </is>
      </c>
      <c r="H171" t="inlineStr">
        <is>
          <t>San Salvador</t>
        </is>
      </c>
      <c r="I171" t="inlineStr">
        <is>
          <t>Karla Henríquez</t>
        </is>
      </c>
      <c r="J171" t="inlineStr">
        <is>
          <t>2277-3402</t>
        </is>
      </c>
      <c r="K171" t="inlineStr">
        <is>
          <t>Carlos Molina</t>
        </is>
      </c>
      <c r="L171" t="inlineStr">
        <is>
          <t>Mario Sorto Castillo</t>
        </is>
      </c>
      <c r="M171" t="inlineStr">
        <is>
          <t>09824839-0</t>
        </is>
      </c>
      <c r="N171" t="inlineStr">
        <is>
          <t>7450-4234</t>
        </is>
      </c>
      <c r="O171" t="inlineStr">
        <is>
          <t>Consumidor final</t>
        </is>
      </c>
      <c r="P171" t="inlineStr">
        <is>
          <t>HIG-001</t>
        </is>
      </c>
      <c r="Q171" t="inlineStr">
        <is>
          <t>Detergente 1kg</t>
        </is>
      </c>
      <c r="R171" t="inlineStr">
        <is>
          <t>limpieza</t>
        </is>
      </c>
      <c r="S171" t="inlineStr">
        <is>
          <t>Higiene Total C.A.</t>
        </is>
      </c>
      <c r="T171" t="inlineStr">
        <is>
          <t>2207-5566</t>
        </is>
      </c>
      <c r="U171" t="n">
        <v>3.45</v>
      </c>
      <c r="V171" t="n">
        <v>4</v>
      </c>
      <c r="W171" t="n">
        <v>0</v>
      </c>
      <c r="X171">
        <f>IFERROR(U171*V171*(1-W171/100),"")</f>
        <v/>
      </c>
      <c r="Y171">
        <f>IFERROR(ROUND(X171*0.13,2),"")</f>
        <v/>
      </c>
      <c r="Z171">
        <f>IFERROR(X171+Y171,"")</f>
        <v/>
      </c>
      <c r="AA171" t="inlineStr">
        <is>
          <t>Efectivo</t>
        </is>
      </c>
      <c r="AB171" t="inlineStr"/>
    </row>
    <row r="172">
      <c r="A172" t="inlineStr">
        <is>
          <t>F-10578</t>
        </is>
      </c>
      <c r="B172" s="3" t="n">
        <v>46282</v>
      </c>
      <c r="C172" t="inlineStr">
        <is>
          <t>factura</t>
        </is>
      </c>
      <c r="D172" t="inlineStr">
        <is>
          <t>SS03</t>
        </is>
      </c>
      <c r="E172" t="inlineStr">
        <is>
          <t>soyapango</t>
        </is>
      </c>
      <c r="F172" t="inlineStr">
        <is>
          <t>Blvd. del Ejército km 4</t>
        </is>
      </c>
      <c r="G172" t="inlineStr">
        <is>
          <t>Soyapango</t>
        </is>
      </c>
      <c r="H172" t="inlineStr">
        <is>
          <t>San Salvador</t>
        </is>
      </c>
      <c r="I172" t="inlineStr">
        <is>
          <t>Karla Henríquez</t>
        </is>
      </c>
      <c r="J172" t="inlineStr">
        <is>
          <t>2277-3402</t>
        </is>
      </c>
      <c r="K172" t="inlineStr">
        <is>
          <t>Carlos Molina</t>
        </is>
      </c>
      <c r="L172" t="inlineStr">
        <is>
          <t>Mario Sorto Castillo</t>
        </is>
      </c>
      <c r="M172" t="inlineStr">
        <is>
          <t>09824839-0</t>
        </is>
      </c>
      <c r="N172" t="inlineStr">
        <is>
          <t>7450-4234</t>
        </is>
      </c>
      <c r="O172" t="inlineStr">
        <is>
          <t>Consumidor final</t>
        </is>
      </c>
      <c r="P172" t="inlineStr">
        <is>
          <t>BEB-003</t>
        </is>
      </c>
      <c r="Q172" t="inlineStr">
        <is>
          <t>Horchata en polvo 400g</t>
        </is>
      </c>
      <c r="R172" t="inlineStr">
        <is>
          <t>Bebidas</t>
        </is>
      </c>
      <c r="S172" t="inlineStr">
        <is>
          <t>Bebidas Izalco</t>
        </is>
      </c>
      <c r="T172" t="inlineStr">
        <is>
          <t>2450-7700</t>
        </is>
      </c>
      <c r="U172" t="n">
        <v>2.6</v>
      </c>
      <c r="V172" t="n">
        <v>6</v>
      </c>
      <c r="W172" t="n">
        <v>0</v>
      </c>
      <c r="X172">
        <f>IFERROR(U172*V172*(1-W172/100),"")</f>
        <v/>
      </c>
      <c r="Y172">
        <f>IFERROR(ROUND(X172*0.13,2),"")</f>
        <v/>
      </c>
      <c r="Z172">
        <f>IFERROR(X172+Y172,"")</f>
        <v/>
      </c>
      <c r="AA172" t="inlineStr">
        <is>
          <t>Efectivo</t>
        </is>
      </c>
      <c r="AB172" t="inlineStr"/>
    </row>
    <row r="173">
      <c r="A173" t="inlineStr">
        <is>
          <t>F-10578</t>
        </is>
      </c>
      <c r="B173" s="3" t="n">
        <v>46282</v>
      </c>
      <c r="C173" t="inlineStr">
        <is>
          <t>factura</t>
        </is>
      </c>
      <c r="D173" t="inlineStr">
        <is>
          <t>SS03</t>
        </is>
      </c>
      <c r="E173" t="inlineStr">
        <is>
          <t>soyapango</t>
        </is>
      </c>
      <c r="F173" t="inlineStr">
        <is>
          <t>Blvd. del Ejército km 4</t>
        </is>
      </c>
      <c r="G173" t="inlineStr">
        <is>
          <t>Soyapango</t>
        </is>
      </c>
      <c r="H173" t="inlineStr">
        <is>
          <t>San Salvador</t>
        </is>
      </c>
      <c r="I173" t="inlineStr">
        <is>
          <t>Karla Henríquez</t>
        </is>
      </c>
      <c r="J173" t="inlineStr">
        <is>
          <t>2277-3402</t>
        </is>
      </c>
      <c r="K173" t="inlineStr">
        <is>
          <t>Carlos Molina</t>
        </is>
      </c>
      <c r="L173" t="inlineStr">
        <is>
          <t>Mario Sorto Castillo</t>
        </is>
      </c>
      <c r="M173" t="inlineStr"/>
      <c r="N173" t="inlineStr">
        <is>
          <t>7450-4234</t>
        </is>
      </c>
      <c r="O173" t="inlineStr">
        <is>
          <t>Consumidor final</t>
        </is>
      </c>
      <c r="P173" t="inlineStr">
        <is>
          <t>LAC-002</t>
        </is>
      </c>
      <c r="Q173" t="inlineStr">
        <is>
          <t>Crema 500ml</t>
        </is>
      </c>
      <c r="R173" t="inlineStr">
        <is>
          <t>Lacteos</t>
        </is>
      </c>
      <c r="S173" t="inlineStr">
        <is>
          <t>Lácteos Chalate</t>
        </is>
      </c>
      <c r="T173" t="inlineStr">
        <is>
          <t>2335-1020</t>
        </is>
      </c>
      <c r="U173" t="n">
        <v>2.25</v>
      </c>
      <c r="V173" t="n">
        <v>2</v>
      </c>
      <c r="W173" t="n">
        <v>0</v>
      </c>
      <c r="X173">
        <f>IFERROR(U173*V173*(1-W173/100),"")</f>
        <v/>
      </c>
      <c r="Y173">
        <f>IFERROR(ROUND(X173*0.13,2),"")</f>
        <v/>
      </c>
      <c r="Z173">
        <f>IFERROR(X173+Y173,"")</f>
        <v/>
      </c>
      <c r="AA173" t="inlineStr">
        <is>
          <t>Efectivo</t>
        </is>
      </c>
      <c r="AB173" t="inlineStr">
        <is>
          <t>precio especial autorizado por gerente</t>
        </is>
      </c>
    </row>
    <row r="174">
      <c r="A174" t="inlineStr">
        <is>
          <t>F-10578</t>
        </is>
      </c>
      <c r="B174" s="3" t="n">
        <v>46282</v>
      </c>
      <c r="C174" t="inlineStr">
        <is>
          <t>factura</t>
        </is>
      </c>
      <c r="D174" t="inlineStr">
        <is>
          <t>SS03</t>
        </is>
      </c>
      <c r="E174" t="inlineStr">
        <is>
          <t>soyapango</t>
        </is>
      </c>
      <c r="F174" t="inlineStr">
        <is>
          <t>Blvd. del Ejército km 4</t>
        </is>
      </c>
      <c r="G174" t="inlineStr">
        <is>
          <t>Soyapango</t>
        </is>
      </c>
      <c r="H174" t="inlineStr">
        <is>
          <t>San Salvador</t>
        </is>
      </c>
      <c r="I174" t="inlineStr">
        <is>
          <t>Karla Henríquez</t>
        </is>
      </c>
      <c r="J174" t="inlineStr">
        <is>
          <t>2277-3402</t>
        </is>
      </c>
      <c r="K174" t="inlineStr">
        <is>
          <t>Carlos Molina</t>
        </is>
      </c>
      <c r="L174" t="inlineStr">
        <is>
          <t>Mario Sorto Castillo</t>
        </is>
      </c>
      <c r="M174" t="inlineStr">
        <is>
          <t>09824839-0</t>
        </is>
      </c>
      <c r="N174" t="inlineStr">
        <is>
          <t>7450-4234</t>
        </is>
      </c>
      <c r="O174" t="inlineStr">
        <is>
          <t>Consumidor final</t>
        </is>
      </c>
      <c r="P174" t="inlineStr">
        <is>
          <t>LAC-003</t>
        </is>
      </c>
      <c r="Q174" t="inlineStr">
        <is>
          <t>Leche entera 1L</t>
        </is>
      </c>
      <c r="R174" t="inlineStr">
        <is>
          <t>Lácteos</t>
        </is>
      </c>
      <c r="S174" t="inlineStr">
        <is>
          <t>Lácteos Chalate</t>
        </is>
      </c>
      <c r="T174" t="inlineStr">
        <is>
          <t>2335-1020</t>
        </is>
      </c>
      <c r="U174" t="n">
        <v>1.2</v>
      </c>
      <c r="V174" t="n">
        <v>3</v>
      </c>
      <c r="W174" t="n">
        <v>0</v>
      </c>
      <c r="X174">
        <f>IFERROR(U174*V174*(1-W174/100),"")</f>
        <v/>
      </c>
      <c r="Y174">
        <f>IFERROR(ROUND(X174*0.13,2),"")</f>
        <v/>
      </c>
      <c r="Z174">
        <f>IFERROR(X174+Y174,"")</f>
        <v/>
      </c>
      <c r="AA174" t="inlineStr">
        <is>
          <t>Efectivo</t>
        </is>
      </c>
      <c r="AB174" t="inlineStr">
        <is>
          <t>pagó con billete de $100</t>
        </is>
      </c>
    </row>
    <row r="175">
      <c r="A175" t="inlineStr">
        <is>
          <t>F-10581</t>
        </is>
      </c>
      <c r="B175" s="3" t="n">
        <v>46252</v>
      </c>
      <c r="C175" t="inlineStr">
        <is>
          <t>Factura</t>
        </is>
      </c>
      <c r="D175" t="inlineStr">
        <is>
          <t>LL01</t>
        </is>
      </c>
      <c r="E175" t="inlineStr">
        <is>
          <t>SANTA TECLA</t>
        </is>
      </c>
      <c r="F175" t="inlineStr">
        <is>
          <t>Calle Daniel Hernández #18</t>
        </is>
      </c>
      <c r="G175" t="inlineStr">
        <is>
          <t>Santa Tecla</t>
        </is>
      </c>
      <c r="H175" t="inlineStr">
        <is>
          <t>La Libertad</t>
        </is>
      </c>
      <c r="I175" t="inlineStr">
        <is>
          <t>Óscar Rivas</t>
        </is>
      </c>
      <c r="J175" t="inlineStr">
        <is>
          <t>2228-7731</t>
        </is>
      </c>
      <c r="K175" t="inlineStr">
        <is>
          <t>Andrea Pineda</t>
        </is>
      </c>
      <c r="L175" t="inlineStr">
        <is>
          <t>CARMEN QUINTANILLA MEJÍA</t>
        </is>
      </c>
      <c r="M175" t="inlineStr">
        <is>
          <t>05832730-5</t>
        </is>
      </c>
      <c r="N175" t="inlineStr">
        <is>
          <t>6863-9414</t>
        </is>
      </c>
      <c r="O175" t="inlineStr">
        <is>
          <t>Consumidor final</t>
        </is>
      </c>
      <c r="P175" t="inlineStr">
        <is>
          <t>HIG-001</t>
        </is>
      </c>
      <c r="Q175" t="inlineStr">
        <is>
          <t>Detergente 1kg</t>
        </is>
      </c>
      <c r="R175" t="inlineStr">
        <is>
          <t>limpieza</t>
        </is>
      </c>
      <c r="S175" t="inlineStr">
        <is>
          <t>Higiene Total C.A.</t>
        </is>
      </c>
      <c r="T175" t="inlineStr">
        <is>
          <t>2207-5566</t>
        </is>
      </c>
      <c r="U175" t="n">
        <v>3.45</v>
      </c>
      <c r="V175" t="n">
        <v>1</v>
      </c>
      <c r="W175" t="n">
        <v>0</v>
      </c>
      <c r="X175">
        <f>IFERROR(U175*V175*(1-W175/100),"")</f>
        <v/>
      </c>
      <c r="Y175">
        <f>IFERROR(ROUND(X175*0.13,2),"")</f>
        <v/>
      </c>
      <c r="Z175">
        <f>IFERROR(X175+Y175,"")</f>
        <v/>
      </c>
      <c r="AA175" t="inlineStr">
        <is>
          <t>Efectivo</t>
        </is>
      </c>
      <c r="AB175" t="inlineStr">
        <is>
          <t>entregar en bodega</t>
        </is>
      </c>
    </row>
    <row r="176">
      <c r="A176" t="inlineStr">
        <is>
          <t>F-10581</t>
        </is>
      </c>
      <c r="B176" s="3" t="n">
        <v>46252</v>
      </c>
      <c r="C176" t="inlineStr">
        <is>
          <t>Factura</t>
        </is>
      </c>
      <c r="D176" t="inlineStr">
        <is>
          <t>LL01</t>
        </is>
      </c>
      <c r="E176" t="inlineStr">
        <is>
          <t>Santa Tecla</t>
        </is>
      </c>
      <c r="F176" t="inlineStr">
        <is>
          <t>Calle Daniel Hernández #18</t>
        </is>
      </c>
      <c r="G176" t="inlineStr">
        <is>
          <t>Santa Tecla</t>
        </is>
      </c>
      <c r="H176" t="inlineStr">
        <is>
          <t>La Libertad</t>
        </is>
      </c>
      <c r="I176" t="inlineStr">
        <is>
          <t>Óscar Rivas</t>
        </is>
      </c>
      <c r="J176" t="inlineStr">
        <is>
          <t>2228-7731</t>
        </is>
      </c>
      <c r="K176" t="inlineStr">
        <is>
          <t>Andrea Pineda</t>
        </is>
      </c>
      <c r="L176" t="inlineStr">
        <is>
          <t>Carmen Quintanilla Mejía</t>
        </is>
      </c>
      <c r="M176" t="inlineStr">
        <is>
          <t>05832730-5</t>
        </is>
      </c>
      <c r="N176" t="inlineStr">
        <is>
          <t>6863-9414</t>
        </is>
      </c>
      <c r="O176" t="inlineStr">
        <is>
          <t>Consumidor final</t>
        </is>
      </c>
      <c r="P176" t="inlineStr">
        <is>
          <t>PAN-001</t>
        </is>
      </c>
      <c r="Q176" t="inlineStr">
        <is>
          <t>Pan francés bolsa 10u</t>
        </is>
      </c>
      <c r="R176" t="inlineStr">
        <is>
          <t>Panaderia</t>
        </is>
      </c>
      <c r="S176" t="inlineStr">
        <is>
          <t>Panificadora Ilopango</t>
        </is>
      </c>
      <c r="T176" t="inlineStr">
        <is>
          <t>2295-0081</t>
        </is>
      </c>
      <c r="U176" t="n">
        <v>1</v>
      </c>
      <c r="V176" t="n">
        <v>4</v>
      </c>
      <c r="W176" t="n">
        <v>0</v>
      </c>
      <c r="X176">
        <f>IFERROR(U176*V176*(1-W176/100),"")</f>
        <v/>
      </c>
      <c r="Y176">
        <f>IFERROR(ROUND(X176*0.13,2),"")</f>
        <v/>
      </c>
      <c r="Z176">
        <f>IFERROR(X176+Y176,"")</f>
        <v/>
      </c>
      <c r="AA176" t="inlineStr">
        <is>
          <t>Efectivo</t>
        </is>
      </c>
      <c r="AB176" t="inlineStr">
        <is>
          <t>entregar en bodega</t>
        </is>
      </c>
    </row>
    <row r="177">
      <c r="A177" t="inlineStr">
        <is>
          <t>F-10581</t>
        </is>
      </c>
      <c r="B177" s="3" t="n">
        <v>46252</v>
      </c>
      <c r="C177" t="inlineStr">
        <is>
          <t>Factura</t>
        </is>
      </c>
      <c r="D177" t="inlineStr">
        <is>
          <t>LL01</t>
        </is>
      </c>
      <c r="E177" t="inlineStr">
        <is>
          <t>Santa Tecla</t>
        </is>
      </c>
      <c r="F177" t="inlineStr">
        <is>
          <t>Calle Daniel Hernández #18</t>
        </is>
      </c>
      <c r="G177" t="inlineStr">
        <is>
          <t>Santa Tecla</t>
        </is>
      </c>
      <c r="H177" t="inlineStr">
        <is>
          <t>La Libertad</t>
        </is>
      </c>
      <c r="I177" t="inlineStr">
        <is>
          <t>Óscar Rivas</t>
        </is>
      </c>
      <c r="J177" t="inlineStr">
        <is>
          <t>2228-7731</t>
        </is>
      </c>
      <c r="K177" t="inlineStr">
        <is>
          <t>Andrea Pineda</t>
        </is>
      </c>
      <c r="L177" t="inlineStr">
        <is>
          <t>Carmen Quintanilla Mejía</t>
        </is>
      </c>
      <c r="M177" t="inlineStr">
        <is>
          <t>05832730-5</t>
        </is>
      </c>
      <c r="N177" t="inlineStr">
        <is>
          <t>6863-9414</t>
        </is>
      </c>
      <c r="O177" t="inlineStr">
        <is>
          <t>Consumidor final</t>
        </is>
      </c>
      <c r="P177" t="inlineStr">
        <is>
          <t>HAR-001</t>
        </is>
      </c>
      <c r="Q177" t="inlineStr">
        <is>
          <t>Harina de maíz 2lb</t>
        </is>
      </c>
      <c r="R177" t="inlineStr">
        <is>
          <t>Abarrotes</t>
        </is>
      </c>
      <c r="S177" t="inlineStr">
        <is>
          <t>Granos del Pacífico</t>
        </is>
      </c>
      <c r="T177" t="inlineStr">
        <is>
          <t>2234-8890</t>
        </is>
      </c>
      <c r="U177" t="n">
        <v>1.35</v>
      </c>
      <c r="V177" t="n">
        <v>1</v>
      </c>
      <c r="W177" t="n">
        <v>0</v>
      </c>
      <c r="X177">
        <f>IFERROR(U177*V177*(1-W177/100),"")</f>
        <v/>
      </c>
      <c r="Y177">
        <f>IFERROR(ROUND(X177*0.13,2),"")</f>
        <v/>
      </c>
      <c r="Z177">
        <f>IFERROR(X177+Y177,"")</f>
        <v/>
      </c>
      <c r="AA177" t="inlineStr">
        <is>
          <t>Efectivo</t>
        </is>
      </c>
      <c r="AB177" t="inlineStr">
        <is>
          <t>pagó con billete de $100</t>
        </is>
      </c>
    </row>
    <row r="178">
      <c r="A178" t="inlineStr">
        <is>
          <t>F-10581</t>
        </is>
      </c>
      <c r="B178" s="3" t="n">
        <v>46252</v>
      </c>
      <c r="C178" t="inlineStr">
        <is>
          <t>Factura</t>
        </is>
      </c>
      <c r="D178" t="inlineStr">
        <is>
          <t>LL01</t>
        </is>
      </c>
      <c r="E178" t="inlineStr">
        <is>
          <t>SANTA TECLA</t>
        </is>
      </c>
      <c r="F178" t="inlineStr">
        <is>
          <t>Calle Daniel Hernández #18</t>
        </is>
      </c>
      <c r="G178" t="inlineStr">
        <is>
          <t>Santa Tecla</t>
        </is>
      </c>
      <c r="H178" t="inlineStr">
        <is>
          <t>La Libertad</t>
        </is>
      </c>
      <c r="I178" t="inlineStr">
        <is>
          <t>Óscar Rivas</t>
        </is>
      </c>
      <c r="J178" t="inlineStr">
        <is>
          <t>2228-7731</t>
        </is>
      </c>
      <c r="K178" t="inlineStr">
        <is>
          <t>Andrea Pineda</t>
        </is>
      </c>
      <c r="L178" t="inlineStr">
        <is>
          <t>Carmen Quintanilla Mejía</t>
        </is>
      </c>
      <c r="M178" t="inlineStr">
        <is>
          <t>05832730-5</t>
        </is>
      </c>
      <c r="N178" t="inlineStr">
        <is>
          <t>6863-9414</t>
        </is>
      </c>
      <c r="O178" t="inlineStr">
        <is>
          <t>Consumidor final</t>
        </is>
      </c>
      <c r="P178" t="inlineStr">
        <is>
          <t>LAC-001</t>
        </is>
      </c>
      <c r="Q178" t="inlineStr">
        <is>
          <t>Quesillo 1lb</t>
        </is>
      </c>
      <c r="R178" t="inlineStr">
        <is>
          <t>Lacteos</t>
        </is>
      </c>
      <c r="S178" t="inlineStr">
        <is>
          <t>Lácteos Chalate</t>
        </is>
      </c>
      <c r="T178" t="inlineStr">
        <is>
          <t>2335-1020</t>
        </is>
      </c>
      <c r="U178" t="n">
        <v>3.8</v>
      </c>
      <c r="V178" t="n">
        <v>1</v>
      </c>
      <c r="W178" t="n">
        <v>0</v>
      </c>
      <c r="X178">
        <f>IFERROR(U178*V178*(1-W178/100),"")</f>
        <v/>
      </c>
      <c r="Y178">
        <f>IFERROR(ROUND(X178*0.13,2),"")</f>
        <v/>
      </c>
      <c r="Z178">
        <f>IFERROR(X178+Y178,"")</f>
        <v/>
      </c>
      <c r="AA178" t="inlineStr">
        <is>
          <t>Efectivo</t>
        </is>
      </c>
      <c r="AB178" t="inlineStr"/>
    </row>
    <row r="179">
      <c r="A179" t="inlineStr">
        <is>
          <t>F-10584</t>
        </is>
      </c>
      <c r="B179" t="inlineStr">
        <is>
          <t>25/07/2026</t>
        </is>
      </c>
      <c r="C179" t="inlineStr">
        <is>
          <t>Factura</t>
        </is>
      </c>
      <c r="D179" t="inlineStr">
        <is>
          <t>LL01</t>
        </is>
      </c>
      <c r="E179" t="inlineStr">
        <is>
          <t>Santa Tecla</t>
        </is>
      </c>
      <c r="F179" t="inlineStr">
        <is>
          <t>Calle Daniel Hernández #18</t>
        </is>
      </c>
      <c r="G179" t="inlineStr">
        <is>
          <t>Santa Tecla</t>
        </is>
      </c>
      <c r="H179" t="inlineStr">
        <is>
          <t>La Libertad</t>
        </is>
      </c>
      <c r="I179" t="inlineStr">
        <is>
          <t>Óscar Rivas</t>
        </is>
      </c>
      <c r="J179" t="inlineStr">
        <is>
          <t>2228-7731</t>
        </is>
      </c>
      <c r="K179" t="inlineStr">
        <is>
          <t>Andrea Pineda</t>
        </is>
      </c>
      <c r="L179" t="inlineStr">
        <is>
          <t>Edwin Cornejo Mejía</t>
        </is>
      </c>
      <c r="M179" t="inlineStr">
        <is>
          <t>09391819-6</t>
        </is>
      </c>
      <c r="N179" t="inlineStr">
        <is>
          <t>7415-9980</t>
        </is>
      </c>
      <c r="O179" t="inlineStr">
        <is>
          <t>Consumidor final</t>
        </is>
      </c>
      <c r="P179" t="inlineStr">
        <is>
          <t>HIG-003</t>
        </is>
      </c>
      <c r="Q179" t="inlineStr">
        <is>
          <t>Jabón de lavar barra</t>
        </is>
      </c>
      <c r="R179" t="inlineStr">
        <is>
          <t>Limpieza</t>
        </is>
      </c>
      <c r="S179" t="inlineStr">
        <is>
          <t>Higiene Total C.A.</t>
        </is>
      </c>
      <c r="T179" t="inlineStr">
        <is>
          <t>2207-5566</t>
        </is>
      </c>
      <c r="U179" t="n">
        <v>0.75</v>
      </c>
      <c r="V179" t="n">
        <v>4</v>
      </c>
      <c r="W179" t="n">
        <v>0</v>
      </c>
      <c r="X179">
        <f>IFERROR(U179*V179*(1-W179/100),"")</f>
        <v/>
      </c>
      <c r="Y179">
        <f>IFERROR(ROUND(X179*0.13,2),"")</f>
        <v/>
      </c>
      <c r="Z179">
        <f>IFERROR(X179+Y179,"")</f>
        <v/>
      </c>
      <c r="AA179" t="inlineStr">
        <is>
          <t>Efectivo</t>
        </is>
      </c>
      <c r="AB179" t="inlineStr">
        <is>
          <t>pagó con billete de $100</t>
        </is>
      </c>
    </row>
    <row r="181">
      <c r="A181" s="5" t="inlineStr">
        <is>
          <t>TOTAL GENERAL</t>
        </is>
      </c>
      <c r="Z181">
        <f>SUM(Z5:Z179)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Factura</t>
        </is>
      </c>
      <c r="B1" s="2" t="inlineStr">
        <is>
          <t>Fecha venta</t>
        </is>
      </c>
      <c r="C1" s="2" t="inlineStr">
        <is>
          <t>DTE</t>
        </is>
      </c>
      <c r="D1" s="2" t="inlineStr">
        <is>
          <t>Sucursal</t>
        </is>
      </c>
      <c r="E1" s="2" t="inlineStr">
        <is>
          <t>Gerente</t>
        </is>
      </c>
      <c r="F1" s="2" t="inlineStr">
        <is>
          <t>Vendedor</t>
        </is>
      </c>
      <c r="G1" s="2" t="inlineStr">
        <is>
          <t>Cliente</t>
        </is>
      </c>
      <c r="H1" s="2" t="inlineStr">
        <is>
          <t>SKU</t>
        </is>
      </c>
      <c r="I1" s="2" t="inlineStr">
        <is>
          <t>Producto</t>
        </is>
      </c>
      <c r="J1" s="2" t="inlineStr">
        <is>
          <t>Categoria</t>
        </is>
      </c>
      <c r="K1" s="2" t="inlineStr">
        <is>
          <t>Precio</t>
        </is>
      </c>
      <c r="L1" s="2" t="inlineStr">
        <is>
          <t>Cant</t>
        </is>
      </c>
      <c r="M1" s="2" t="inlineStr">
        <is>
          <t>Total</t>
        </is>
      </c>
    </row>
    <row r="2">
      <c r="A2" t="inlineStr">
        <is>
          <t>F-10586</t>
        </is>
      </c>
      <c r="B2" t="inlineStr">
        <is>
          <t>03/10/2026</t>
        </is>
      </c>
      <c r="C2" t="inlineStr">
        <is>
          <t>CCF</t>
        </is>
      </c>
      <c r="D2" t="inlineStr">
        <is>
          <t>Santa Ana</t>
        </is>
      </c>
      <c r="E2" t="inlineStr">
        <is>
          <t>Verónica Sandoval</t>
        </is>
      </c>
      <c r="F2" t="inlineStr">
        <is>
          <t>Sofía Cáceres</t>
        </is>
      </c>
      <c r="G2" t="inlineStr">
        <is>
          <t>María Castillo Martínez</t>
        </is>
      </c>
      <c r="H2" t="inlineStr">
        <is>
          <t>HIG-002</t>
        </is>
      </c>
      <c r="I2" t="inlineStr">
        <is>
          <t>Papel higiénico 4 rollos</t>
        </is>
      </c>
      <c r="J2" t="inlineStr">
        <is>
          <t>Higiene</t>
        </is>
      </c>
      <c r="K2" t="n">
        <v>2.15</v>
      </c>
      <c r="L2" t="n">
        <v>2</v>
      </c>
      <c r="M2" t="n">
        <v>4.86</v>
      </c>
    </row>
    <row r="3">
      <c r="A3" t="inlineStr">
        <is>
          <t>F-10587</t>
        </is>
      </c>
      <c r="B3" t="inlineStr">
        <is>
          <t>08/10/2026</t>
        </is>
      </c>
      <c r="C3" t="inlineStr">
        <is>
          <t>CCF</t>
        </is>
      </c>
      <c r="D3" t="inlineStr">
        <is>
          <t>Escalón</t>
        </is>
      </c>
      <c r="E3" t="inlineStr">
        <is>
          <t>Claudia Menjívar</t>
        </is>
      </c>
      <c r="F3" t="inlineStr">
        <is>
          <t>Fátima Rosales</t>
        </is>
      </c>
      <c r="G3" t="inlineStr">
        <is>
          <t>Sandra Guevara Lemus</t>
        </is>
      </c>
      <c r="H3" t="inlineStr">
        <is>
          <t>LAC-002</t>
        </is>
      </c>
      <c r="I3" t="inlineStr">
        <is>
          <t>Crema 500ml</t>
        </is>
      </c>
      <c r="J3" t="inlineStr">
        <is>
          <t>Lácteos</t>
        </is>
      </c>
      <c r="K3" t="n">
        <v>2.25</v>
      </c>
      <c r="L3" t="n">
        <v>3</v>
      </c>
      <c r="M3" t="n">
        <v>7.63</v>
      </c>
    </row>
    <row r="4">
      <c r="A4" t="inlineStr">
        <is>
          <t>F-10588</t>
        </is>
      </c>
      <c r="B4" t="inlineStr">
        <is>
          <t>02/10/2026</t>
        </is>
      </c>
      <c r="C4" t="inlineStr">
        <is>
          <t>CCF</t>
        </is>
      </c>
      <c r="D4" t="inlineStr">
        <is>
          <t>Santa  Ana</t>
        </is>
      </c>
      <c r="E4" t="inlineStr">
        <is>
          <t>Verónica Sandoval</t>
        </is>
      </c>
      <c r="F4" t="inlineStr">
        <is>
          <t>Sofía Cáceres</t>
        </is>
      </c>
      <c r="G4" t="inlineStr">
        <is>
          <t>Patricia Argueta Mejía</t>
        </is>
      </c>
      <c r="H4" t="inlineStr">
        <is>
          <t>HAR-001</t>
        </is>
      </c>
      <c r="I4" t="inlineStr">
        <is>
          <t>Harina de maíz 2lb</t>
        </is>
      </c>
      <c r="J4" t="inlineStr">
        <is>
          <t>Abarrotes</t>
        </is>
      </c>
      <c r="K4" t="n">
        <v>1.35</v>
      </c>
      <c r="L4" t="n">
        <v>3</v>
      </c>
      <c r="M4" t="n">
        <v>4.58</v>
      </c>
    </row>
    <row r="5">
      <c r="A5" t="inlineStr">
        <is>
          <t>F-10589</t>
        </is>
      </c>
      <c r="B5" t="inlineStr">
        <is>
          <t>09/10/2026</t>
        </is>
      </c>
      <c r="C5" t="inlineStr">
        <is>
          <t>Factura</t>
        </is>
      </c>
      <c r="D5" t="inlineStr">
        <is>
          <t>SAN MIGUEL</t>
        </is>
      </c>
      <c r="E5" t="inlineStr">
        <is>
          <t>Iris Portillo</t>
        </is>
      </c>
      <c r="F5" t="inlineStr">
        <is>
          <t>Paola Cruz</t>
        </is>
      </c>
      <c r="G5" t="inlineStr">
        <is>
          <t>María López Lemus</t>
        </is>
      </c>
      <c r="H5" t="inlineStr">
        <is>
          <t>HAR-001</t>
        </is>
      </c>
      <c r="I5" t="inlineStr">
        <is>
          <t>Harina de maíz 2lb</t>
        </is>
      </c>
      <c r="J5" t="inlineStr">
        <is>
          <t>Abarrotes</t>
        </is>
      </c>
      <c r="K5" t="n">
        <v>1.35</v>
      </c>
      <c r="L5" t="n">
        <v>3</v>
      </c>
      <c r="M5" t="n">
        <v>4.58</v>
      </c>
    </row>
    <row r="6">
      <c r="A6" t="inlineStr">
        <is>
          <t>F-10590</t>
        </is>
      </c>
      <c r="B6" t="inlineStr">
        <is>
          <t>03/10/2026</t>
        </is>
      </c>
      <c r="C6" t="inlineStr">
        <is>
          <t>Factura</t>
        </is>
      </c>
      <c r="D6" t="inlineStr">
        <is>
          <t>Usulután</t>
        </is>
      </c>
      <c r="E6" t="inlineStr">
        <is>
          <t>Nelson Fuentes</t>
        </is>
      </c>
      <c r="F6" t="inlineStr">
        <is>
          <t>Miguel Bonilla</t>
        </is>
      </c>
      <c r="G6" t="inlineStr">
        <is>
          <t>Silvia Martínez Hernández</t>
        </is>
      </c>
      <c r="H6" t="inlineStr">
        <is>
          <t>LAC-001</t>
        </is>
      </c>
      <c r="I6" t="inlineStr">
        <is>
          <t>Quesillo 1lb</t>
        </is>
      </c>
      <c r="J6" t="inlineStr">
        <is>
          <t>Lácteos</t>
        </is>
      </c>
      <c r="K6" t="n">
        <v>3.8</v>
      </c>
      <c r="L6" t="n">
        <v>6</v>
      </c>
      <c r="M6" t="n">
        <v>25.76</v>
      </c>
    </row>
    <row r="7">
      <c r="A7" t="inlineStr">
        <is>
          <t>F-10591</t>
        </is>
      </c>
      <c r="B7" t="inlineStr">
        <is>
          <t>08/10/2026</t>
        </is>
      </c>
      <c r="C7" t="inlineStr">
        <is>
          <t>Factura</t>
        </is>
      </c>
      <c r="D7" t="inlineStr">
        <is>
          <t>S. Miguel</t>
        </is>
      </c>
      <c r="E7" t="inlineStr">
        <is>
          <t>Iris Portillo</t>
        </is>
      </c>
      <c r="F7" t="inlineStr">
        <is>
          <t>Paola Cruz</t>
        </is>
      </c>
      <c r="G7" t="inlineStr">
        <is>
          <t>Ana Pérez Rivera</t>
        </is>
      </c>
      <c r="H7" t="inlineStr">
        <is>
          <t>ARR-001</t>
        </is>
      </c>
      <c r="I7" t="inlineStr">
        <is>
          <t>Arroz blanco 5lb</t>
        </is>
      </c>
      <c r="J7" t="inlineStr">
        <is>
          <t>Abarrotes</t>
        </is>
      </c>
      <c r="K7" t="n">
        <v>3.95</v>
      </c>
      <c r="L7" t="n">
        <v>1</v>
      </c>
      <c r="M7" t="n">
        <v>4.46</v>
      </c>
    </row>
    <row r="8">
      <c r="A8" t="inlineStr">
        <is>
          <t>F-10592</t>
        </is>
      </c>
      <c r="B8" t="inlineStr">
        <is>
          <t>07/10/2026</t>
        </is>
      </c>
      <c r="C8" t="inlineStr">
        <is>
          <t>Factura</t>
        </is>
      </c>
      <c r="D8" t="inlineStr">
        <is>
          <t>S. Miguel</t>
        </is>
      </c>
      <c r="E8" t="inlineStr">
        <is>
          <t>Iris Portillo</t>
        </is>
      </c>
      <c r="F8" t="inlineStr">
        <is>
          <t>Paola Cruz</t>
        </is>
      </c>
      <c r="G8" t="inlineStr">
        <is>
          <t>Edwin Cornejo Mejía</t>
        </is>
      </c>
      <c r="H8" t="inlineStr">
        <is>
          <t>AZU-001</t>
        </is>
      </c>
      <c r="I8" t="inlineStr">
        <is>
          <t>Azúcar blanca 2.5kg</t>
        </is>
      </c>
      <c r="J8" t="inlineStr">
        <is>
          <t>Abarrotes</t>
        </is>
      </c>
      <c r="K8" t="n">
        <v>3.1</v>
      </c>
      <c r="L8" t="n">
        <v>2</v>
      </c>
      <c r="M8" t="n">
        <v>7.01</v>
      </c>
    </row>
    <row r="9">
      <c r="A9" t="inlineStr">
        <is>
          <t>F-10593</t>
        </is>
      </c>
      <c r="B9" t="inlineStr">
        <is>
          <t>05/10/2026</t>
        </is>
      </c>
      <c r="C9" t="inlineStr">
        <is>
          <t>CCF</t>
        </is>
      </c>
      <c r="D9" t="inlineStr">
        <is>
          <t>SONSONATE</t>
        </is>
      </c>
      <c r="E9" t="inlineStr">
        <is>
          <t>Ernesto Chávez</t>
        </is>
      </c>
      <c r="F9" t="inlineStr">
        <is>
          <t>Ricardo Funes</t>
        </is>
      </c>
      <c r="G9" t="inlineStr">
        <is>
          <t>Silvia Mejía Sorto</t>
        </is>
      </c>
      <c r="H9" t="inlineStr">
        <is>
          <t>ARR-001</t>
        </is>
      </c>
      <c r="I9" t="inlineStr">
        <is>
          <t>Arroz blanco 5lb</t>
        </is>
      </c>
      <c r="J9" t="inlineStr">
        <is>
          <t>Abarrotes</t>
        </is>
      </c>
      <c r="K9" t="n">
        <v>3.95</v>
      </c>
      <c r="L9" t="n">
        <v>2</v>
      </c>
      <c r="M9" t="n">
        <v>8.93</v>
      </c>
    </row>
    <row r="10">
      <c r="A10" t="inlineStr">
        <is>
          <t>F-10594</t>
        </is>
      </c>
      <c r="B10" t="inlineStr">
        <is>
          <t>01/10/2026</t>
        </is>
      </c>
      <c r="C10" t="inlineStr">
        <is>
          <t>CCF</t>
        </is>
      </c>
      <c r="D10" t="inlineStr">
        <is>
          <t>STA ANA</t>
        </is>
      </c>
      <c r="E10" t="inlineStr">
        <is>
          <t>Verónica Sandoval</t>
        </is>
      </c>
      <c r="F10" t="inlineStr">
        <is>
          <t>Sofía Cáceres</t>
        </is>
      </c>
      <c r="G10" t="inlineStr">
        <is>
          <t>Rosa López Castillo</t>
        </is>
      </c>
      <c r="H10" t="inlineStr">
        <is>
          <t>HIG-002</t>
        </is>
      </c>
      <c r="I10" t="inlineStr">
        <is>
          <t>Papel higiénico 4 rollos</t>
        </is>
      </c>
      <c r="J10" t="inlineStr">
        <is>
          <t>Higiene</t>
        </is>
      </c>
      <c r="K10" t="n">
        <v>2.15</v>
      </c>
      <c r="L10" t="n">
        <v>3</v>
      </c>
      <c r="M10" t="n">
        <v>7.29</v>
      </c>
    </row>
    <row r="11">
      <c r="A11" t="inlineStr">
        <is>
          <t>F-10595</t>
        </is>
      </c>
      <c r="B11" t="inlineStr">
        <is>
          <t>03/10/2026</t>
        </is>
      </c>
      <c r="C11" t="inlineStr">
        <is>
          <t>Factura</t>
        </is>
      </c>
      <c r="D11" t="inlineStr">
        <is>
          <t>Usulutan</t>
        </is>
      </c>
      <c r="E11" t="inlineStr">
        <is>
          <t>Nelson Fuentes</t>
        </is>
      </c>
      <c r="F11" t="inlineStr">
        <is>
          <t>Miguel Bonilla</t>
        </is>
      </c>
      <c r="G11" t="inlineStr">
        <is>
          <t>René Cornejo Cornejo</t>
        </is>
      </c>
      <c r="H11" t="inlineStr">
        <is>
          <t>HIG-002</t>
        </is>
      </c>
      <c r="I11" t="inlineStr">
        <is>
          <t>Papel higiénico 4 rollos</t>
        </is>
      </c>
      <c r="J11" t="inlineStr">
        <is>
          <t>Higiene</t>
        </is>
      </c>
      <c r="K11" t="n">
        <v>2.15</v>
      </c>
      <c r="L11" t="n">
        <v>2</v>
      </c>
      <c r="M11" t="n">
        <v>4.86</v>
      </c>
    </row>
    <row r="12">
      <c r="A12" t="inlineStr">
        <is>
          <t>F-10596</t>
        </is>
      </c>
      <c r="B12" t="inlineStr">
        <is>
          <t>09/10/2026</t>
        </is>
      </c>
      <c r="C12" t="inlineStr">
        <is>
          <t>CCF</t>
        </is>
      </c>
      <c r="D12" t="inlineStr">
        <is>
          <t>SONSONATE</t>
        </is>
      </c>
      <c r="E12" t="inlineStr">
        <is>
          <t>Ernesto Chávez</t>
        </is>
      </c>
      <c r="F12" t="inlineStr">
        <is>
          <t>Ricardo Funes</t>
        </is>
      </c>
      <c r="G12" t="inlineStr">
        <is>
          <t>Walter García Alvarado</t>
        </is>
      </c>
      <c r="H12" t="inlineStr">
        <is>
          <t>HAR-001</t>
        </is>
      </c>
      <c r="I12" t="inlineStr">
        <is>
          <t>Harina de maíz 2lb</t>
        </is>
      </c>
      <c r="J12" t="inlineStr">
        <is>
          <t>Abarrotes</t>
        </is>
      </c>
      <c r="K12" t="n">
        <v>1.35</v>
      </c>
      <c r="L12" t="n">
        <v>6</v>
      </c>
      <c r="M12" t="n">
        <v>9.15</v>
      </c>
    </row>
    <row r="13">
      <c r="A13" t="inlineStr">
        <is>
          <t>F-10597</t>
        </is>
      </c>
      <c r="B13" t="inlineStr">
        <is>
          <t>04/10/2026</t>
        </is>
      </c>
      <c r="C13" t="inlineStr">
        <is>
          <t>Factura</t>
        </is>
      </c>
      <c r="D13" t="inlineStr">
        <is>
          <t>S.S. Centro</t>
        </is>
      </c>
      <c r="E13" t="inlineStr">
        <is>
          <t>Roberto Alfaro</t>
        </is>
      </c>
      <c r="F13" t="inlineStr">
        <is>
          <t>José Martínez</t>
        </is>
      </c>
      <c r="G13" t="inlineStr">
        <is>
          <t>Edwin Rivera Guevara</t>
        </is>
      </c>
      <c r="H13" t="inlineStr">
        <is>
          <t>HIG-003</t>
        </is>
      </c>
      <c r="I13" t="inlineStr">
        <is>
          <t>Jabón de lavar barra</t>
        </is>
      </c>
      <c r="J13" t="inlineStr">
        <is>
          <t>Limpieza</t>
        </is>
      </c>
      <c r="K13" t="n">
        <v>0.75</v>
      </c>
      <c r="L13" t="n">
        <v>3</v>
      </c>
      <c r="M13" t="n">
        <v>2.54</v>
      </c>
    </row>
    <row r="14">
      <c r="A14" t="inlineStr">
        <is>
          <t>F-10598</t>
        </is>
      </c>
      <c r="B14" t="inlineStr">
        <is>
          <t>04/10/2026</t>
        </is>
      </c>
      <c r="C14" t="inlineStr">
        <is>
          <t>CCF</t>
        </is>
      </c>
      <c r="D14" t="inlineStr">
        <is>
          <t>Sonsonate</t>
        </is>
      </c>
      <c r="E14" t="inlineStr">
        <is>
          <t>Ernesto Chávez</t>
        </is>
      </c>
      <c r="F14" t="inlineStr">
        <is>
          <t>Ricardo Funes</t>
        </is>
      </c>
      <c r="G14" t="inlineStr">
        <is>
          <t>Douglas Hernández Argueta</t>
        </is>
      </c>
      <c r="H14" t="inlineStr">
        <is>
          <t>PAN-003</t>
        </is>
      </c>
      <c r="I14" t="inlineStr">
        <is>
          <t>Quesadilla salvadoreña</t>
        </is>
      </c>
      <c r="J14" t="inlineStr">
        <is>
          <t>Panadería</t>
        </is>
      </c>
      <c r="K14" t="n">
        <v>2.5</v>
      </c>
      <c r="L14" t="n">
        <v>6</v>
      </c>
      <c r="M14" t="n">
        <v>16.95</v>
      </c>
    </row>
    <row r="15">
      <c r="A15" t="inlineStr">
        <is>
          <t>F-10599</t>
        </is>
      </c>
      <c r="B15" t="inlineStr">
        <is>
          <t>08/10/2026</t>
        </is>
      </c>
      <c r="C15" t="inlineStr">
        <is>
          <t>CCF</t>
        </is>
      </c>
      <c r="D15" t="inlineStr">
        <is>
          <t>SONSONATE</t>
        </is>
      </c>
      <c r="E15" t="inlineStr">
        <is>
          <t>Ernesto Chávez</t>
        </is>
      </c>
      <c r="F15" t="inlineStr">
        <is>
          <t>Ricardo Funes</t>
        </is>
      </c>
      <c r="G15" t="inlineStr">
        <is>
          <t>Sandra Lemus Flores</t>
        </is>
      </c>
      <c r="H15" t="inlineStr">
        <is>
          <t>BEB-001</t>
        </is>
      </c>
      <c r="I15" t="inlineStr">
        <is>
          <t>Gaseosa 2.5L</t>
        </is>
      </c>
      <c r="J15" t="inlineStr">
        <is>
          <t>Bebidas</t>
        </is>
      </c>
      <c r="K15" t="n">
        <v>1.95</v>
      </c>
      <c r="L15" t="n">
        <v>2</v>
      </c>
      <c r="M15" t="n">
        <v>4.41</v>
      </c>
    </row>
    <row r="16">
      <c r="A16" t="inlineStr">
        <is>
          <t>F-10600</t>
        </is>
      </c>
      <c r="B16" t="inlineStr">
        <is>
          <t>07/10/2026</t>
        </is>
      </c>
      <c r="C16" t="inlineStr">
        <is>
          <t>Factura</t>
        </is>
      </c>
      <c r="D16" t="inlineStr">
        <is>
          <t>Usulután</t>
        </is>
      </c>
      <c r="E16" t="inlineStr">
        <is>
          <t>Nelson Fuentes</t>
        </is>
      </c>
      <c r="F16" t="inlineStr">
        <is>
          <t>Miguel Bonilla</t>
        </is>
      </c>
      <c r="G16" t="inlineStr">
        <is>
          <t>Jorge García Hernández</t>
        </is>
      </c>
      <c r="H16" t="inlineStr">
        <is>
          <t>BEB-003</t>
        </is>
      </c>
      <c r="I16" t="inlineStr">
        <is>
          <t>Horchata en polvo 400g</t>
        </is>
      </c>
      <c r="J16" t="inlineStr">
        <is>
          <t>Bebidas</t>
        </is>
      </c>
      <c r="K16" t="n">
        <v>2.6</v>
      </c>
      <c r="L16" t="n">
        <v>1</v>
      </c>
      <c r="M16" t="n">
        <v>2.94</v>
      </c>
    </row>
    <row r="17">
      <c r="A17" t="inlineStr">
        <is>
          <t>F-10601</t>
        </is>
      </c>
      <c r="B17" t="inlineStr">
        <is>
          <t>08/10/2026</t>
        </is>
      </c>
      <c r="C17" t="inlineStr">
        <is>
          <t>Factura</t>
        </is>
      </c>
      <c r="D17" t="inlineStr">
        <is>
          <t>Sonsonate</t>
        </is>
      </c>
      <c r="E17" t="inlineStr">
        <is>
          <t>Ernesto Chávez</t>
        </is>
      </c>
      <c r="F17" t="inlineStr">
        <is>
          <t>Ricardo Funes</t>
        </is>
      </c>
      <c r="G17" t="inlineStr">
        <is>
          <t>Edwin Rivera Guevara</t>
        </is>
      </c>
      <c r="H17" t="inlineStr">
        <is>
          <t>LAC-003</t>
        </is>
      </c>
      <c r="I17" t="inlineStr">
        <is>
          <t>Leche entera 1L</t>
        </is>
      </c>
      <c r="J17" t="inlineStr">
        <is>
          <t>Lácteos</t>
        </is>
      </c>
      <c r="K17" t="n">
        <v>1.2</v>
      </c>
      <c r="L17" t="n">
        <v>1</v>
      </c>
      <c r="M17" t="n">
        <v>1.36</v>
      </c>
    </row>
    <row r="18">
      <c r="A18" t="inlineStr">
        <is>
          <t>F-10602</t>
        </is>
      </c>
      <c r="B18" t="inlineStr">
        <is>
          <t>01/10/2026</t>
        </is>
      </c>
      <c r="C18" t="inlineStr">
        <is>
          <t>CCF</t>
        </is>
      </c>
      <c r="D18" t="inlineStr">
        <is>
          <t>S. Miguel</t>
        </is>
      </c>
      <c r="E18" t="inlineStr">
        <is>
          <t>Iris Portillo</t>
        </is>
      </c>
      <c r="F18" t="inlineStr">
        <is>
          <t>Jorge Villalta</t>
        </is>
      </c>
      <c r="G18" t="inlineStr">
        <is>
          <t>René Cornejo Cornejo</t>
        </is>
      </c>
      <c r="H18" t="inlineStr">
        <is>
          <t>AZU-001</t>
        </is>
      </c>
      <c r="I18" t="inlineStr">
        <is>
          <t>Azúcar blanca 2.5kg</t>
        </is>
      </c>
      <c r="J18" t="inlineStr">
        <is>
          <t>Abarrotes</t>
        </is>
      </c>
      <c r="K18" t="n">
        <v>3.1</v>
      </c>
      <c r="L18" t="n">
        <v>1</v>
      </c>
      <c r="M18" t="n">
        <v>3.5</v>
      </c>
    </row>
    <row r="19">
      <c r="A19" t="inlineStr">
        <is>
          <t>F-10603</t>
        </is>
      </c>
      <c r="B19" t="inlineStr">
        <is>
          <t>01/10/2026</t>
        </is>
      </c>
      <c r="C19" t="inlineStr">
        <is>
          <t>CCF</t>
        </is>
      </c>
      <c r="D19" t="inlineStr">
        <is>
          <t>Santa Ana</t>
        </is>
      </c>
      <c r="E19" t="inlineStr">
        <is>
          <t>Verónica Sandoval</t>
        </is>
      </c>
      <c r="F19" t="inlineStr">
        <is>
          <t>Diego Zelaya</t>
        </is>
      </c>
      <c r="G19" t="inlineStr">
        <is>
          <t>Mario Lemus Flores</t>
        </is>
      </c>
      <c r="H19" t="inlineStr">
        <is>
          <t>AZU-001</t>
        </is>
      </c>
      <c r="I19" t="inlineStr">
        <is>
          <t>Azúcar blanca 2.5kg</t>
        </is>
      </c>
      <c r="J19" t="inlineStr">
        <is>
          <t>Abarrotes</t>
        </is>
      </c>
      <c r="K19" t="n">
        <v>3.1</v>
      </c>
      <c r="L19" t="n">
        <v>2</v>
      </c>
      <c r="M19" t="n">
        <v>7.01</v>
      </c>
    </row>
    <row r="20">
      <c r="A20" t="inlineStr">
        <is>
          <t>F-10604</t>
        </is>
      </c>
      <c r="B20" t="inlineStr">
        <is>
          <t>01/10/2026</t>
        </is>
      </c>
      <c r="C20" t="inlineStr">
        <is>
          <t>CCF</t>
        </is>
      </c>
      <c r="D20" t="inlineStr">
        <is>
          <t>Usulutan</t>
        </is>
      </c>
      <c r="E20" t="inlineStr">
        <is>
          <t>Nelson Fuentes</t>
        </is>
      </c>
      <c r="F20" t="inlineStr">
        <is>
          <t>Miguel Bonilla</t>
        </is>
      </c>
      <c r="G20" t="inlineStr">
        <is>
          <t>Sandra Sorto López</t>
        </is>
      </c>
      <c r="H20" t="inlineStr">
        <is>
          <t>CAF-001</t>
        </is>
      </c>
      <c r="I20" t="inlineStr">
        <is>
          <t>Café molido 400g</t>
        </is>
      </c>
      <c r="J20" t="inlineStr">
        <is>
          <t>Abarrotes</t>
        </is>
      </c>
      <c r="K20" t="n">
        <v>4.5</v>
      </c>
      <c r="L20" t="n">
        <v>3</v>
      </c>
      <c r="M20" t="n">
        <v>15.25</v>
      </c>
    </row>
    <row r="21">
      <c r="A21" t="inlineStr">
        <is>
          <t>F-10605</t>
        </is>
      </c>
      <c r="B21" t="inlineStr">
        <is>
          <t>01/10/2026</t>
        </is>
      </c>
      <c r="C21" t="inlineStr">
        <is>
          <t>Factura</t>
        </is>
      </c>
      <c r="D21" t="inlineStr">
        <is>
          <t>Santa  Ana</t>
        </is>
      </c>
      <c r="E21" t="inlineStr">
        <is>
          <t>Verónica Sandoval</t>
        </is>
      </c>
      <c r="F21" t="inlineStr">
        <is>
          <t>Sofía Cáceres</t>
        </is>
      </c>
      <c r="G21" t="inlineStr">
        <is>
          <t>Sandra Rivera Pérez</t>
        </is>
      </c>
      <c r="H21" t="inlineStr">
        <is>
          <t>PAN-002</t>
        </is>
      </c>
      <c r="I21" t="inlineStr">
        <is>
          <t>Semita alta</t>
        </is>
      </c>
      <c r="J21" t="inlineStr">
        <is>
          <t>Panadería</t>
        </is>
      </c>
      <c r="K21" t="n">
        <v>1.75</v>
      </c>
      <c r="L21" t="n">
        <v>6</v>
      </c>
      <c r="M21" t="n">
        <v>11.86</v>
      </c>
    </row>
    <row r="22">
      <c r="A22" t="inlineStr">
        <is>
          <t>F-10606</t>
        </is>
      </c>
      <c r="B22" t="inlineStr">
        <is>
          <t>09/10/2026</t>
        </is>
      </c>
      <c r="C22" t="inlineStr">
        <is>
          <t>Factura</t>
        </is>
      </c>
      <c r="D22" t="inlineStr">
        <is>
          <t>Santa  Ana</t>
        </is>
      </c>
      <c r="E22" t="inlineStr">
        <is>
          <t>Verónica Sandoval</t>
        </is>
      </c>
      <c r="F22" t="inlineStr">
        <is>
          <t>Sofía Cáceres</t>
        </is>
      </c>
      <c r="G22" t="inlineStr">
        <is>
          <t>Xiomara Hernández Quintanilla</t>
        </is>
      </c>
      <c r="H22" t="inlineStr">
        <is>
          <t>HIG-001</t>
        </is>
      </c>
      <c r="I22" t="inlineStr">
        <is>
          <t>Detergente 1kg</t>
        </is>
      </c>
      <c r="J22" t="inlineStr">
        <is>
          <t>Limpieza</t>
        </is>
      </c>
      <c r="K22" t="n">
        <v>3.45</v>
      </c>
      <c r="L22" t="n">
        <v>2</v>
      </c>
      <c r="M22" t="n">
        <v>7.8</v>
      </c>
    </row>
    <row r="23">
      <c r="A23" t="inlineStr">
        <is>
          <t>F-10607</t>
        </is>
      </c>
      <c r="B23" t="inlineStr">
        <is>
          <t>05/10/2026</t>
        </is>
      </c>
      <c r="C23" t="inlineStr">
        <is>
          <t>Factura</t>
        </is>
      </c>
      <c r="D23" t="inlineStr">
        <is>
          <t>San Miguel</t>
        </is>
      </c>
      <c r="E23" t="inlineStr">
        <is>
          <t>Iris Portillo</t>
        </is>
      </c>
      <c r="F23" t="inlineStr">
        <is>
          <t>Jorge Villalta</t>
        </is>
      </c>
      <c r="G23" t="inlineStr">
        <is>
          <t>Ana Hernández Rivera</t>
        </is>
      </c>
      <c r="H23" t="inlineStr">
        <is>
          <t>LAC-002</t>
        </is>
      </c>
      <c r="I23" t="inlineStr">
        <is>
          <t>Crema 500ml</t>
        </is>
      </c>
      <c r="J23" t="inlineStr">
        <is>
          <t>Lácteos</t>
        </is>
      </c>
      <c r="K23" t="n">
        <v>2.25</v>
      </c>
      <c r="L23" t="n">
        <v>3</v>
      </c>
      <c r="M23" t="n">
        <v>7.63</v>
      </c>
    </row>
    <row r="24">
      <c r="A24" t="inlineStr">
        <is>
          <t>F-10608</t>
        </is>
      </c>
      <c r="B24" t="inlineStr">
        <is>
          <t>02/10/2026</t>
        </is>
      </c>
      <c r="C24" t="inlineStr">
        <is>
          <t>Factura</t>
        </is>
      </c>
      <c r="D24" t="inlineStr">
        <is>
          <t>San Miguel</t>
        </is>
      </c>
      <c r="E24" t="inlineStr">
        <is>
          <t>Iris Portillo</t>
        </is>
      </c>
      <c r="F24" t="inlineStr">
        <is>
          <t>Paola Cruz</t>
        </is>
      </c>
      <c r="G24" t="inlineStr">
        <is>
          <t>Mario Castillo Flores</t>
        </is>
      </c>
      <c r="H24" t="inlineStr">
        <is>
          <t>BEB-001</t>
        </is>
      </c>
      <c r="I24" t="inlineStr">
        <is>
          <t>Gaseosa 2.5L</t>
        </is>
      </c>
      <c r="J24" t="inlineStr">
        <is>
          <t>Bebidas</t>
        </is>
      </c>
      <c r="K24" t="n">
        <v>1.95</v>
      </c>
      <c r="L24" t="n">
        <v>2</v>
      </c>
      <c r="M24" t="n">
        <v>4.41</v>
      </c>
    </row>
    <row r="25">
      <c r="A25" t="inlineStr">
        <is>
          <t>F-10609</t>
        </is>
      </c>
      <c r="B25" t="inlineStr">
        <is>
          <t>06/10/2026</t>
        </is>
      </c>
      <c r="C25" t="inlineStr">
        <is>
          <t>CCF</t>
        </is>
      </c>
      <c r="D25" t="inlineStr">
        <is>
          <t>Santa  Ana</t>
        </is>
      </c>
      <c r="E25" t="inlineStr">
        <is>
          <t>Verónica Sandoval</t>
        </is>
      </c>
      <c r="F25" t="inlineStr">
        <is>
          <t>Diego Zelaya</t>
        </is>
      </c>
      <c r="G25" t="inlineStr">
        <is>
          <t>René Sorto Quintanilla</t>
        </is>
      </c>
      <c r="H25" t="inlineStr">
        <is>
          <t>CAF-001</t>
        </is>
      </c>
      <c r="I25" t="inlineStr">
        <is>
          <t>Café molido 400g</t>
        </is>
      </c>
      <c r="J25" t="inlineStr">
        <is>
          <t>Abarrotes</t>
        </is>
      </c>
      <c r="K25" t="n">
        <v>4.5</v>
      </c>
      <c r="L25" t="n">
        <v>3</v>
      </c>
      <c r="M25" t="n">
        <v>15.25</v>
      </c>
    </row>
    <row r="26">
      <c r="A26" t="inlineStr">
        <is>
          <t>F-10610</t>
        </is>
      </c>
      <c r="B26" t="inlineStr">
        <is>
          <t>01/10/2026</t>
        </is>
      </c>
      <c r="C26" t="inlineStr">
        <is>
          <t>CCF</t>
        </is>
      </c>
      <c r="D26" t="inlineStr">
        <is>
          <t xml:space="preserve">san salvador centro </t>
        </is>
      </c>
      <c r="E26" t="inlineStr">
        <is>
          <t>Roberto Alfaro</t>
        </is>
      </c>
      <c r="F26" t="inlineStr">
        <is>
          <t>José Martínez</t>
        </is>
      </c>
      <c r="G26" t="inlineStr">
        <is>
          <t>Mario Martínez Sorto</t>
        </is>
      </c>
      <c r="H26" t="inlineStr">
        <is>
          <t>BEB-001</t>
        </is>
      </c>
      <c r="I26" t="inlineStr">
        <is>
          <t>Gaseosa 2.5L</t>
        </is>
      </c>
      <c r="J26" t="inlineStr">
        <is>
          <t>Bebidas</t>
        </is>
      </c>
      <c r="K26" t="n">
        <v>1.95</v>
      </c>
      <c r="L26" t="n">
        <v>3</v>
      </c>
      <c r="M26" t="n">
        <v>6.61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Ventas con IVA por sucursal y mes (US$)</t>
        </is>
      </c>
    </row>
    <row r="3">
      <c r="A3" s="2" t="inlineStr">
        <is>
          <t>Sucursal</t>
        </is>
      </c>
      <c r="B3" s="2" t="inlineStr">
        <is>
          <t>Julio</t>
        </is>
      </c>
      <c r="C3" s="2" t="inlineStr">
        <is>
          <t>Agosto</t>
        </is>
      </c>
      <c r="D3" s="2" t="inlineStr">
        <is>
          <t>Septiembre</t>
        </is>
      </c>
      <c r="E3" s="2" t="inlineStr">
        <is>
          <t>Meta Jul</t>
        </is>
      </c>
      <c r="F3" s="2" t="inlineStr">
        <is>
          <t>Meta Ago</t>
        </is>
      </c>
      <c r="G3" s="2" t="inlineStr">
        <is>
          <t>Meta Sep</t>
        </is>
      </c>
      <c r="H3" s="2" t="inlineStr">
        <is>
          <t>Cumplimiento Q3</t>
        </is>
      </c>
    </row>
    <row r="4">
      <c r="A4" t="inlineStr">
        <is>
          <t>San Salvador Centro</t>
        </is>
      </c>
      <c r="B4" t="n">
        <v>2342.01</v>
      </c>
      <c r="C4" t="n">
        <v>2756.45</v>
      </c>
      <c r="D4" t="n">
        <v>6747.7</v>
      </c>
      <c r="E4" t="n">
        <v>3000</v>
      </c>
      <c r="F4" t="n">
        <v>3000</v>
      </c>
      <c r="G4" t="n">
        <v>5000</v>
      </c>
      <c r="H4" s="6">
        <f>SUM(B4:D4)/SUM(E4:G4)</f>
        <v/>
      </c>
    </row>
    <row r="5">
      <c r="A5" t="inlineStr">
        <is>
          <t>Escalón</t>
        </is>
      </c>
      <c r="B5" t="n">
        <v>5239.97</v>
      </c>
      <c r="C5" t="n">
        <v>6277.76</v>
      </c>
      <c r="D5" t="n">
        <v>6673.13</v>
      </c>
      <c r="E5" t="n">
        <v>7500</v>
      </c>
      <c r="F5" t="n">
        <v>7500</v>
      </c>
      <c r="G5" t="n">
        <v>7500</v>
      </c>
      <c r="H5" s="6">
        <f>SUM(B5:D5)/SUM(E5:G5)</f>
        <v/>
      </c>
    </row>
    <row r="6">
      <c r="A6" t="inlineStr">
        <is>
          <t>Santa Tecla</t>
        </is>
      </c>
      <c r="B6" t="n">
        <v>4505.64</v>
      </c>
      <c r="C6" t="n">
        <v>2161.22</v>
      </c>
      <c r="D6" t="n">
        <v>5215.43</v>
      </c>
      <c r="E6" t="n">
        <v>5000</v>
      </c>
      <c r="F6" t="n">
        <v>6000</v>
      </c>
      <c r="G6" t="n">
        <v>7500</v>
      </c>
      <c r="H6" s="6">
        <f>SUM(B6:D6)/SUM(E6:G6)</f>
        <v/>
      </c>
    </row>
    <row r="7">
      <c r="A7" t="inlineStr">
        <is>
          <t>Soyapango</t>
        </is>
      </c>
      <c r="B7" t="n">
        <v>7200.32</v>
      </c>
      <c r="C7" t="n">
        <v>8929.76</v>
      </c>
      <c r="D7" t="n">
        <v>8840.360000000001</v>
      </c>
      <c r="E7" t="n">
        <v>6000</v>
      </c>
      <c r="F7" t="n">
        <v>5000</v>
      </c>
      <c r="G7" t="n">
        <v>6000</v>
      </c>
      <c r="H7" s="6">
        <f>SUM(B7:D7)/SUM(E7:G7)</f>
        <v/>
      </c>
    </row>
    <row r="8">
      <c r="A8" t="inlineStr">
        <is>
          <t>Santa Ana</t>
        </is>
      </c>
      <c r="B8" t="n">
        <v>8154.52</v>
      </c>
      <c r="C8" t="n">
        <v>6164.54</v>
      </c>
      <c r="D8" t="n">
        <v>7132.52</v>
      </c>
      <c r="E8" t="n">
        <v>5000</v>
      </c>
      <c r="F8" t="n">
        <v>7500</v>
      </c>
      <c r="G8" t="n">
        <v>3000</v>
      </c>
      <c r="H8" s="6">
        <f>SUM(B8:D8)/SUM(E8:G8)</f>
        <v/>
      </c>
    </row>
    <row r="9">
      <c r="A9" t="inlineStr">
        <is>
          <t>San Miguel</t>
        </is>
      </c>
      <c r="B9" t="n">
        <v>3439.75</v>
      </c>
      <c r="C9" t="n">
        <v>3823.65</v>
      </c>
      <c r="D9" t="n">
        <v>6238.03</v>
      </c>
      <c r="E9" t="n">
        <v>6000</v>
      </c>
      <c r="F9" t="n">
        <v>7500</v>
      </c>
      <c r="G9" t="n">
        <v>7500</v>
      </c>
      <c r="H9" s="6">
        <f>SUM(B9:D9)/SUM(E9:G9)</f>
        <v/>
      </c>
    </row>
    <row r="10">
      <c r="A10" t="inlineStr">
        <is>
          <t>Sonsonate</t>
        </is>
      </c>
      <c r="B10" t="n">
        <v>5320.06</v>
      </c>
      <c r="C10" t="n">
        <v>2463.14</v>
      </c>
      <c r="D10" t="n">
        <v>7050.14</v>
      </c>
      <c r="E10" t="n">
        <v>5000</v>
      </c>
      <c r="F10" t="n">
        <v>3000</v>
      </c>
      <c r="G10" t="n">
        <v>5000</v>
      </c>
      <c r="H10" s="6">
        <f>SUM(B10:D10)/SUM(E10:G10)</f>
        <v/>
      </c>
    </row>
    <row r="11">
      <c r="A11" t="inlineStr">
        <is>
          <t>Puerto de La Libertad</t>
        </is>
      </c>
      <c r="B11" t="n">
        <v>4764.08</v>
      </c>
      <c r="C11" t="n">
        <v>8176.73</v>
      </c>
      <c r="D11" t="n">
        <v>8459.639999999999</v>
      </c>
      <c r="E11" t="n">
        <v>7500</v>
      </c>
      <c r="F11" t="n">
        <v>6000</v>
      </c>
      <c r="G11" t="n">
        <v>7500</v>
      </c>
      <c r="H11" s="6">
        <f>SUM(B11:D11)/SUM(E11:G11)</f>
        <v/>
      </c>
    </row>
    <row r="12">
      <c r="A12" t="inlineStr">
        <is>
          <t>Usulután</t>
        </is>
      </c>
      <c r="B12" t="n">
        <v>4006.52</v>
      </c>
      <c r="C12" t="n">
        <v>2391.67</v>
      </c>
      <c r="D12" t="n">
        <v>5398.48</v>
      </c>
      <c r="E12" t="n">
        <v>6000</v>
      </c>
      <c r="F12" t="n">
        <v>5000</v>
      </c>
      <c r="G12" t="n">
        <v>5000</v>
      </c>
      <c r="H12" s="6">
        <f>SUM(B12:D12)/SUM(E12:G12)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2026-10-11T19:18:47Z</dcterms:created>
  <dcterms:modified xmlns:dcterms="http://purl.org/dc/terms/" xmlns:xsi="http://www.w3.org/2001/XMLSchema-instance" xsi:type="dcterms:W3CDTF">2026-10-11T19:18:47Z</dcterms:modified>
</cp:coreProperties>
</file>