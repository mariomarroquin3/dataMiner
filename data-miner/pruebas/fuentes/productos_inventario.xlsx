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e inventario" sheetId="1" state="visible" r:id="rId1"/>
    <sheet xmlns:r="http://schemas.openxmlformats.org/officeDocument/2006/relationships" name="Prove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8" customWidth="1" min="5" max="5"/>
    <col width="16" customWidth="1" min="6" max="6"/>
    <col width="12" customWidth="1" min="7" max="7"/>
    <col width="13" customWidth="1" min="8" max="8"/>
    <col width="17" customWidth="1" min="9" max="9"/>
    <col width="18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5" customWidth="1" min="21" max="21"/>
  </cols>
  <sheetData>
    <row r="1">
      <c r="A1" s="1" t="inlineStr">
        <is>
          <t>Catálogo de productos con existencias por sucursal (al 09/10/2026)</t>
        </is>
      </c>
    </row>
    <row r="3">
      <c r="A3" s="2" t="inlineStr">
        <is>
          <t>SKU</t>
        </is>
      </c>
      <c r="B3" s="2" t="inlineStr">
        <is>
          <t>Producto</t>
        </is>
      </c>
      <c r="C3" s="2" t="inlineStr">
        <is>
          <t>Categoría</t>
        </is>
      </c>
      <c r="D3" s="2" t="inlineStr">
        <is>
          <t>Subcategoría</t>
        </is>
      </c>
      <c r="E3" s="2" t="inlineStr">
        <is>
          <t>Presentaciones</t>
        </is>
      </c>
      <c r="F3" s="2" t="inlineStr">
        <is>
          <t>Precio venta</t>
        </is>
      </c>
      <c r="G3" s="2" t="inlineStr">
        <is>
          <t>Costo</t>
        </is>
      </c>
      <c r="H3" s="2" t="inlineStr">
        <is>
          <t>Proveedor</t>
        </is>
      </c>
      <c r="I3" s="2" t="inlineStr">
        <is>
          <t>NIT proveedor</t>
        </is>
      </c>
      <c r="J3" s="2" t="inlineStr">
        <is>
          <t>Tel. proveedor</t>
        </is>
      </c>
      <c r="K3" s="2" t="inlineStr">
        <is>
          <t>Contacto proveedor</t>
        </is>
      </c>
      <c r="L3" s="2" t="inlineStr">
        <is>
          <t>Stock SS01</t>
        </is>
      </c>
      <c r="M3" s="2" t="inlineStr">
        <is>
          <t>Stock SS02</t>
        </is>
      </c>
      <c r="N3" s="2" t="inlineStr">
        <is>
          <t>Stock LL01</t>
        </is>
      </c>
      <c r="O3" s="2" t="inlineStr">
        <is>
          <t>Stock SS03</t>
        </is>
      </c>
      <c r="P3" s="2" t="inlineStr">
        <is>
          <t>Stock SA01</t>
        </is>
      </c>
      <c r="Q3" s="2" t="inlineStr">
        <is>
          <t>Stock SM01</t>
        </is>
      </c>
      <c r="R3" s="2" t="inlineStr">
        <is>
          <t>Stock SO01</t>
        </is>
      </c>
      <c r="S3" s="2" t="inlineStr">
        <is>
          <t>Stock LL02</t>
        </is>
      </c>
      <c r="T3" s="2" t="inlineStr">
        <is>
          <t>Stock US01</t>
        </is>
      </c>
      <c r="U3" s="2" t="inlineStr">
        <is>
          <t>Stock total</t>
        </is>
      </c>
    </row>
    <row r="4">
      <c r="A4" t="inlineStr">
        <is>
          <t>CAF-001</t>
        </is>
      </c>
      <c r="B4" t="inlineStr">
        <is>
          <t>Café molido 400g</t>
        </is>
      </c>
      <c r="C4" t="inlineStr">
        <is>
          <t>Abarrotes</t>
        </is>
      </c>
      <c r="D4" t="inlineStr">
        <is>
          <t>Café</t>
        </is>
      </c>
      <c r="E4" t="inlineStr">
        <is>
          <t>fardo x 6, fardo x 12, caja</t>
        </is>
      </c>
      <c r="F4" t="inlineStr">
        <is>
          <t>$4.25</t>
        </is>
      </c>
      <c r="G4" t="n">
        <v>2.9</v>
      </c>
      <c r="H4" t="inlineStr">
        <is>
          <t>Café Volcán S.A.</t>
        </is>
      </c>
      <c r="I4" t="inlineStr">
        <is>
          <t>0614-120389-102-4</t>
        </is>
      </c>
      <c r="J4" t="inlineStr">
        <is>
          <t>2510-3344</t>
        </is>
      </c>
      <c r="K4" t="inlineStr">
        <is>
          <t>Lucía Hernández</t>
        </is>
      </c>
      <c r="L4" t="n">
        <v>8</v>
      </c>
      <c r="M4" t="n">
        <v>3</v>
      </c>
      <c r="N4" t="inlineStr">
        <is>
          <t>N/D</t>
        </is>
      </c>
      <c r="O4" t="n">
        <v>0</v>
      </c>
      <c r="P4" t="n">
        <v>120</v>
      </c>
      <c r="Q4" t="n">
        <v>15</v>
      </c>
      <c r="R4" t="n">
        <v>120</v>
      </c>
      <c r="S4" t="n">
        <v>15</v>
      </c>
      <c r="T4" t="n">
        <v>8</v>
      </c>
      <c r="U4">
        <f>SUM(L4:T4)</f>
        <v/>
      </c>
    </row>
    <row r="5">
      <c r="A5" t="inlineStr">
        <is>
          <t>CAF-002</t>
        </is>
      </c>
      <c r="B5" t="inlineStr">
        <is>
          <t>Café en grano 1lb</t>
        </is>
      </c>
      <c r="C5" t="inlineStr">
        <is>
          <t>Abarrotes</t>
        </is>
      </c>
      <c r="D5" t="inlineStr">
        <is>
          <t>Café</t>
        </is>
      </c>
      <c r="E5" t="inlineStr">
        <is>
          <t>fardo x 6, fardo x 12, caja</t>
        </is>
      </c>
      <c r="F5" t="n">
        <v>6.75</v>
      </c>
      <c r="G5" t="n">
        <v>4.6</v>
      </c>
      <c r="H5" t="inlineStr">
        <is>
          <t>Café Volcán S.A.</t>
        </is>
      </c>
      <c r="I5" t="inlineStr">
        <is>
          <t>0614-120389-102-4</t>
        </is>
      </c>
      <c r="J5" t="inlineStr">
        <is>
          <t>2510-3344</t>
        </is>
      </c>
      <c r="K5" t="inlineStr">
        <is>
          <t>Lucía Hernández</t>
        </is>
      </c>
      <c r="L5" t="inlineStr"/>
      <c r="M5" t="n">
        <v>0</v>
      </c>
      <c r="N5" t="n">
        <v>8</v>
      </c>
      <c r="O5" t="n">
        <v>-2</v>
      </c>
      <c r="P5" t="inlineStr"/>
      <c r="Q5" t="n">
        <v>0</v>
      </c>
      <c r="R5" t="n">
        <v>3</v>
      </c>
      <c r="S5" t="n">
        <v>120</v>
      </c>
      <c r="T5" t="n">
        <v>120</v>
      </c>
      <c r="U5">
        <f>SUM(L5:T5)</f>
        <v/>
      </c>
    </row>
    <row r="6">
      <c r="A6" t="inlineStr">
        <is>
          <t>FRI-001</t>
        </is>
      </c>
      <c r="B6" t="inlineStr">
        <is>
          <t>Frijol rojo de seda 2lb</t>
        </is>
      </c>
      <c r="C6" t="inlineStr">
        <is>
          <t>Abarrotes</t>
        </is>
      </c>
      <c r="D6" t="inlineStr">
        <is>
          <t>Granos</t>
        </is>
      </c>
      <c r="E6" t="inlineStr">
        <is>
          <t>400g / 1kg</t>
        </is>
      </c>
      <c r="F6" t="inlineStr">
        <is>
          <t>2,40</t>
        </is>
      </c>
      <c r="G6" t="n">
        <v>1.55</v>
      </c>
      <c r="H6" t="inlineStr">
        <is>
          <t>Granos del Pacífico</t>
        </is>
      </c>
      <c r="I6" t="inlineStr">
        <is>
          <t>0614-030497-101-9</t>
        </is>
      </c>
      <c r="J6" t="inlineStr">
        <is>
          <t>2234-8890</t>
        </is>
      </c>
      <c r="K6" t="inlineStr">
        <is>
          <t>Mario Ayala</t>
        </is>
      </c>
      <c r="L6" t="n">
        <v>40</v>
      </c>
      <c r="M6" t="n">
        <v>0</v>
      </c>
      <c r="N6" t="n">
        <v>120</v>
      </c>
      <c r="O6" t="n">
        <v>65</v>
      </c>
      <c r="P6" t="n">
        <v>40</v>
      </c>
      <c r="Q6" t="n">
        <v>40</v>
      </c>
      <c r="R6" t="inlineStr">
        <is>
          <t>N/D</t>
        </is>
      </c>
      <c r="S6" t="n">
        <v>15</v>
      </c>
      <c r="T6" t="n">
        <v>3</v>
      </c>
      <c r="U6">
        <f>SUM(L6:T6)</f>
        <v/>
      </c>
    </row>
    <row r="7">
      <c r="A7" t="inlineStr">
        <is>
          <t>ARR-001</t>
        </is>
      </c>
      <c r="B7" t="inlineStr">
        <is>
          <t>Arroz blanco 5lb</t>
        </is>
      </c>
      <c r="C7" t="inlineStr">
        <is>
          <t>Abarrotes</t>
        </is>
      </c>
      <c r="D7" t="inlineStr">
        <is>
          <t>Granos</t>
        </is>
      </c>
      <c r="E7" t="inlineStr">
        <is>
          <t>400g / 1kg</t>
        </is>
      </c>
      <c r="F7" t="n">
        <v>3.95</v>
      </c>
      <c r="G7" t="n">
        <v>2.7</v>
      </c>
      <c r="H7" t="inlineStr">
        <is>
          <t>Granos del Pacífico</t>
        </is>
      </c>
      <c r="I7" t="inlineStr">
        <is>
          <t>0614-030497-101-9</t>
        </is>
      </c>
      <c r="J7" t="inlineStr">
        <is>
          <t>2234-8890</t>
        </is>
      </c>
      <c r="K7" t="inlineStr">
        <is>
          <t>Mario Ayala</t>
        </is>
      </c>
      <c r="L7" t="inlineStr"/>
      <c r="M7" t="n">
        <v>3</v>
      </c>
      <c r="N7" t="inlineStr"/>
      <c r="O7" t="n">
        <v>40</v>
      </c>
      <c r="P7" t="n">
        <v>120</v>
      </c>
      <c r="Q7" t="n">
        <v>120</v>
      </c>
      <c r="R7" t="n">
        <v>8</v>
      </c>
      <c r="S7" t="n">
        <v>0</v>
      </c>
      <c r="T7" t="n">
        <v>65</v>
      </c>
      <c r="U7">
        <f>SUM(L7:T7)</f>
        <v/>
      </c>
    </row>
    <row r="8">
      <c r="A8" t="inlineStr">
        <is>
          <t>AZU-001</t>
        </is>
      </c>
      <c r="B8" t="inlineStr">
        <is>
          <t>Azúcar blanca 2.5kg</t>
        </is>
      </c>
      <c r="C8" t="inlineStr">
        <is>
          <t>Abarrotes</t>
        </is>
      </c>
      <c r="D8" t="inlineStr">
        <is>
          <t>Endulzantes</t>
        </is>
      </c>
      <c r="E8" t="inlineStr">
        <is>
          <t>400g / 1kg</t>
        </is>
      </c>
      <c r="F8" t="inlineStr">
        <is>
          <t>3,10</t>
        </is>
      </c>
      <c r="G8" t="n">
        <v>2.35</v>
      </c>
      <c r="H8" t="inlineStr">
        <is>
          <t>Granos del Pacífico</t>
        </is>
      </c>
      <c r="I8" t="inlineStr">
        <is>
          <t>0614-030497-101-9</t>
        </is>
      </c>
      <c r="J8" t="inlineStr">
        <is>
          <t>2234-8890</t>
        </is>
      </c>
      <c r="K8" t="inlineStr">
        <is>
          <t>Mario Ayala</t>
        </is>
      </c>
      <c r="L8" t="n">
        <v>0</v>
      </c>
      <c r="M8" t="n">
        <v>22</v>
      </c>
      <c r="N8" t="n">
        <v>120</v>
      </c>
      <c r="O8" t="n">
        <v>40</v>
      </c>
      <c r="P8" t="n">
        <v>0</v>
      </c>
      <c r="Q8" t="n">
        <v>40</v>
      </c>
      <c r="R8" t="n">
        <v>15</v>
      </c>
      <c r="S8" t="n">
        <v>22</v>
      </c>
      <c r="T8" t="n">
        <v>40</v>
      </c>
      <c r="U8">
        <f>SUM(L8:T8)</f>
        <v/>
      </c>
    </row>
    <row r="9">
      <c r="A9" t="inlineStr">
        <is>
          <t>HAR-001</t>
        </is>
      </c>
      <c r="B9" t="inlineStr">
        <is>
          <t>Harina de maíz 2lb</t>
        </is>
      </c>
      <c r="C9" t="inlineStr">
        <is>
          <t>Abarrotes</t>
        </is>
      </c>
      <c r="D9" t="inlineStr">
        <is>
          <t>Harinas</t>
        </is>
      </c>
      <c r="E9" t="inlineStr">
        <is>
          <t>unidad; caja 24</t>
        </is>
      </c>
      <c r="F9" t="inlineStr">
        <is>
          <t>1,35</t>
        </is>
      </c>
      <c r="G9" t="n">
        <v>0.85</v>
      </c>
      <c r="H9" t="inlineStr">
        <is>
          <t>Granos del Pacífico</t>
        </is>
      </c>
      <c r="I9" t="inlineStr">
        <is>
          <t>0614-030497-101-9</t>
        </is>
      </c>
      <c r="J9" t="inlineStr">
        <is>
          <t>2234-8890</t>
        </is>
      </c>
      <c r="K9" t="inlineStr">
        <is>
          <t>Mario Ayala</t>
        </is>
      </c>
      <c r="L9" t="n">
        <v>22</v>
      </c>
      <c r="M9" t="n">
        <v>8</v>
      </c>
      <c r="N9" t="n">
        <v>8</v>
      </c>
      <c r="O9" t="inlineStr">
        <is>
          <t>N/D</t>
        </is>
      </c>
      <c r="P9" t="n">
        <v>3</v>
      </c>
      <c r="Q9" t="n">
        <v>8</v>
      </c>
      <c r="R9" t="n">
        <v>40</v>
      </c>
      <c r="S9" t="n">
        <v>65</v>
      </c>
      <c r="T9" t="n">
        <v>8</v>
      </c>
      <c r="U9">
        <f>SUM(L9:T9)</f>
        <v/>
      </c>
    </row>
    <row r="10">
      <c r="A10" t="inlineStr">
        <is>
          <t>LAC-001</t>
        </is>
      </c>
      <c r="B10" t="inlineStr">
        <is>
          <t>Quesillo 1lb</t>
        </is>
      </c>
      <c r="C10" t="inlineStr">
        <is>
          <t>Lácteos</t>
        </is>
      </c>
      <c r="D10" t="inlineStr">
        <is>
          <t>Quesos</t>
        </is>
      </c>
      <c r="E10" t="inlineStr">
        <is>
          <t>1 unidad</t>
        </is>
      </c>
      <c r="F10" t="n">
        <v>3.8</v>
      </c>
      <c r="G10" t="n">
        <v>2.4</v>
      </c>
      <c r="H10" t="inlineStr">
        <is>
          <t>Lácteos Chalate</t>
        </is>
      </c>
      <c r="I10" t="inlineStr">
        <is>
          <t>0407-221110-101-2</t>
        </is>
      </c>
      <c r="J10" t="inlineStr">
        <is>
          <t>2335-1020</t>
        </is>
      </c>
      <c r="K10" t="inlineStr">
        <is>
          <t>Rosa Guardado</t>
        </is>
      </c>
      <c r="L10" t="n">
        <v>15</v>
      </c>
      <c r="M10" t="inlineStr">
        <is>
          <t>N/D</t>
        </is>
      </c>
      <c r="N10" t="n">
        <v>3</v>
      </c>
      <c r="O10" t="inlineStr"/>
      <c r="P10" t="n">
        <v>22</v>
      </c>
      <c r="Q10" t="inlineStr"/>
      <c r="R10" t="n">
        <v>65</v>
      </c>
      <c r="S10" t="inlineStr"/>
      <c r="T10" t="n">
        <v>8</v>
      </c>
      <c r="U10">
        <f>SUM(L10:T10)</f>
        <v/>
      </c>
    </row>
    <row r="11">
      <c r="A11" t="inlineStr">
        <is>
          <t>LAC-002</t>
        </is>
      </c>
      <c r="B11" t="inlineStr">
        <is>
          <t>Crema 500ml</t>
        </is>
      </c>
      <c r="C11" t="inlineStr">
        <is>
          <t>Lácteos</t>
        </is>
      </c>
      <c r="D11" t="inlineStr">
        <is>
          <t>Cremas</t>
        </is>
      </c>
      <c r="E11" t="inlineStr">
        <is>
          <t>1 unidad</t>
        </is>
      </c>
      <c r="F11" t="inlineStr">
        <is>
          <t>$2.25</t>
        </is>
      </c>
      <c r="G11" t="n">
        <v>1.4</v>
      </c>
      <c r="H11" t="inlineStr">
        <is>
          <t>Lácteos Chalate</t>
        </is>
      </c>
      <c r="I11" t="inlineStr">
        <is>
          <t>0407-221110-101-2</t>
        </is>
      </c>
      <c r="J11" t="inlineStr">
        <is>
          <t>2335-1020</t>
        </is>
      </c>
      <c r="K11" t="inlineStr">
        <is>
          <t>Rosa Guardado</t>
        </is>
      </c>
      <c r="L11" t="n">
        <v>8</v>
      </c>
      <c r="M11" t="n">
        <v>8</v>
      </c>
      <c r="N11" t="n">
        <v>22</v>
      </c>
      <c r="O11" t="n">
        <v>3</v>
      </c>
      <c r="P11" t="n">
        <v>8</v>
      </c>
      <c r="Q11" t="n">
        <v>65</v>
      </c>
      <c r="R11" t="n">
        <v>8</v>
      </c>
      <c r="S11" t="n">
        <v>40</v>
      </c>
      <c r="T11" t="inlineStr">
        <is>
          <t>N/D</t>
        </is>
      </c>
      <c r="U11">
        <f>SUM(L11:T11)</f>
        <v/>
      </c>
    </row>
    <row r="12">
      <c r="A12" t="inlineStr">
        <is>
          <t>LAC-003</t>
        </is>
      </c>
      <c r="B12" t="inlineStr">
        <is>
          <t>Leche entera 1L</t>
        </is>
      </c>
      <c r="C12" t="inlineStr">
        <is>
          <t>Lácteos</t>
        </is>
      </c>
      <c r="D12" t="inlineStr">
        <is>
          <t>Leches</t>
        </is>
      </c>
      <c r="E12" t="inlineStr">
        <is>
          <t>400g / 1kg</t>
        </is>
      </c>
      <c r="F12" t="n">
        <v>1.2</v>
      </c>
      <c r="G12" t="n">
        <v>0.82</v>
      </c>
      <c r="H12" t="inlineStr">
        <is>
          <t>Lácteos Chalate</t>
        </is>
      </c>
      <c r="I12" t="inlineStr">
        <is>
          <t>0407-221110-101-2</t>
        </is>
      </c>
      <c r="J12" t="inlineStr">
        <is>
          <t>2335-1020</t>
        </is>
      </c>
      <c r="K12" t="inlineStr">
        <is>
          <t>Rosa Guardado</t>
        </is>
      </c>
      <c r="L12" t="n">
        <v>3</v>
      </c>
      <c r="M12" t="n">
        <v>15</v>
      </c>
      <c r="N12" t="inlineStr"/>
      <c r="O12" t="n">
        <v>120</v>
      </c>
      <c r="P12" t="n">
        <v>-2</v>
      </c>
      <c r="Q12" t="n">
        <v>65</v>
      </c>
      <c r="R12" t="n">
        <v>120</v>
      </c>
      <c r="S12" t="n">
        <v>-2</v>
      </c>
      <c r="T12" t="n">
        <v>15</v>
      </c>
      <c r="U12">
        <f>SUM(L12:T12)</f>
        <v/>
      </c>
    </row>
    <row r="13">
      <c r="A13" t="inlineStr">
        <is>
          <t>BEB-001</t>
        </is>
      </c>
      <c r="B13" t="inlineStr">
        <is>
          <t>Gaseosa 2.5L</t>
        </is>
      </c>
      <c r="C13" t="inlineStr">
        <is>
          <t>Bebidas</t>
        </is>
      </c>
      <c r="D13" t="inlineStr">
        <is>
          <t>Gaseosas</t>
        </is>
      </c>
      <c r="E13" t="inlineStr">
        <is>
          <t>1 unidad</t>
        </is>
      </c>
      <c r="F13" t="n">
        <v>1.95</v>
      </c>
      <c r="G13" t="n">
        <v>1.2</v>
      </c>
      <c r="H13" t="inlineStr">
        <is>
          <t>Bebidas Izalco</t>
        </is>
      </c>
      <c r="I13" t="inlineStr">
        <is>
          <t>0315-150702-103-6</t>
        </is>
      </c>
      <c r="J13" t="inlineStr">
        <is>
          <t>2450-7700</t>
        </is>
      </c>
      <c r="K13" t="inlineStr">
        <is>
          <t>Javier Mejía</t>
        </is>
      </c>
      <c r="L13" t="inlineStr"/>
      <c r="M13" t="n">
        <v>65</v>
      </c>
      <c r="N13" t="n">
        <v>22</v>
      </c>
      <c r="O13" t="n">
        <v>0</v>
      </c>
      <c r="P13" t="inlineStr">
        <is>
          <t>N/D</t>
        </is>
      </c>
      <c r="Q13" t="n">
        <v>8</v>
      </c>
      <c r="R13" t="n">
        <v>15</v>
      </c>
      <c r="S13" t="n">
        <v>3</v>
      </c>
      <c r="T13" t="n">
        <v>120</v>
      </c>
      <c r="U13">
        <f>SUM(L13:T13)</f>
        <v/>
      </c>
    </row>
    <row r="14">
      <c r="A14" t="inlineStr">
        <is>
          <t>BEB-002</t>
        </is>
      </c>
      <c r="B14" t="inlineStr">
        <is>
          <t>Agua purificada 1 galón</t>
        </is>
      </c>
      <c r="C14" t="inlineStr">
        <is>
          <t>Bebidas</t>
        </is>
      </c>
      <c r="D14" t="inlineStr">
        <is>
          <t>Agua</t>
        </is>
      </c>
      <c r="E14" t="inlineStr">
        <is>
          <t>unidad; caja 24</t>
        </is>
      </c>
      <c r="F14" t="n">
        <v>1.1</v>
      </c>
      <c r="G14" t="n">
        <v>0.55</v>
      </c>
      <c r="H14" t="inlineStr">
        <is>
          <t>Bebidas Izalco</t>
        </is>
      </c>
      <c r="I14" t="inlineStr">
        <is>
          <t>0315-150702-103-6</t>
        </is>
      </c>
      <c r="J14" t="inlineStr">
        <is>
          <t>2450-7700</t>
        </is>
      </c>
      <c r="K14" t="inlineStr">
        <is>
          <t>Javier Mejía</t>
        </is>
      </c>
      <c r="L14" t="n">
        <v>8</v>
      </c>
      <c r="M14" t="n">
        <v>0</v>
      </c>
      <c r="N14" t="n">
        <v>3</v>
      </c>
      <c r="O14" t="n">
        <v>0</v>
      </c>
      <c r="P14" t="n">
        <v>8</v>
      </c>
      <c r="Q14" t="n">
        <v>3</v>
      </c>
      <c r="R14" t="inlineStr"/>
      <c r="S14" t="n">
        <v>-2</v>
      </c>
      <c r="T14" t="inlineStr">
        <is>
          <t>N/D</t>
        </is>
      </c>
      <c r="U14">
        <f>SUM(L14:T14)</f>
        <v/>
      </c>
    </row>
    <row r="15">
      <c r="A15" t="inlineStr">
        <is>
          <t>BEB-003</t>
        </is>
      </c>
      <c r="B15" t="inlineStr">
        <is>
          <t>Horchata en polvo 400g</t>
        </is>
      </c>
      <c r="C15" t="inlineStr">
        <is>
          <t>Bebidas</t>
        </is>
      </c>
      <c r="D15" t="inlineStr">
        <is>
          <t>Refrescos</t>
        </is>
      </c>
      <c r="E15" t="inlineStr">
        <is>
          <t>1 unidad</t>
        </is>
      </c>
      <c r="F15" t="n">
        <v>2.6</v>
      </c>
      <c r="G15" t="n">
        <v>1.65</v>
      </c>
      <c r="H15" t="inlineStr">
        <is>
          <t>Bebidas Izalco</t>
        </is>
      </c>
      <c r="I15" t="inlineStr">
        <is>
          <t>0315-150702-103-6</t>
        </is>
      </c>
      <c r="J15" t="inlineStr">
        <is>
          <t>2450-7700</t>
        </is>
      </c>
      <c r="K15" t="inlineStr">
        <is>
          <t>Javier Mejía</t>
        </is>
      </c>
      <c r="L15" t="n">
        <v>15</v>
      </c>
      <c r="M15" t="n">
        <v>8</v>
      </c>
      <c r="N15" t="n">
        <v>15</v>
      </c>
      <c r="O15" t="n">
        <v>-2</v>
      </c>
      <c r="P15" t="n">
        <v>0</v>
      </c>
      <c r="Q15" t="n">
        <v>-2</v>
      </c>
      <c r="R15" t="n">
        <v>65</v>
      </c>
      <c r="S15" t="n">
        <v>3</v>
      </c>
      <c r="T15" t="inlineStr">
        <is>
          <t>N/D</t>
        </is>
      </c>
      <c r="U15">
        <f>SUM(L15:T15)</f>
        <v/>
      </c>
    </row>
    <row r="16">
      <c r="A16" t="inlineStr">
        <is>
          <t>HIG-001</t>
        </is>
      </c>
      <c r="B16" t="inlineStr">
        <is>
          <t>Detergente 1kg</t>
        </is>
      </c>
      <c r="C16" t="inlineStr">
        <is>
          <t>Limpieza</t>
        </is>
      </c>
      <c r="D16" t="inlineStr">
        <is>
          <t>Detergentes</t>
        </is>
      </c>
      <c r="E16" t="inlineStr">
        <is>
          <t>unidad; caja 24</t>
        </is>
      </c>
      <c r="F16" t="inlineStr">
        <is>
          <t>3,45</t>
        </is>
      </c>
      <c r="G16" t="n">
        <v>2.2</v>
      </c>
      <c r="H16" t="inlineStr">
        <is>
          <t>Higiene Total C.A.</t>
        </is>
      </c>
      <c r="I16" t="inlineStr">
        <is>
          <t>0614-080815-105-1</t>
        </is>
      </c>
      <c r="J16" t="inlineStr">
        <is>
          <t>2207-5566</t>
        </is>
      </c>
      <c r="K16" t="inlineStr">
        <is>
          <t>Ana Cruz</t>
        </is>
      </c>
      <c r="L16" t="n">
        <v>120</v>
      </c>
      <c r="M16" t="n">
        <v>3</v>
      </c>
      <c r="N16" t="n">
        <v>15</v>
      </c>
      <c r="O16" t="n">
        <v>65</v>
      </c>
      <c r="P16" t="n">
        <v>3</v>
      </c>
      <c r="Q16" t="inlineStr">
        <is>
          <t>N/D</t>
        </is>
      </c>
      <c r="R16" t="n">
        <v>3</v>
      </c>
      <c r="S16" t="n">
        <v>65</v>
      </c>
      <c r="T16" t="inlineStr">
        <is>
          <t>N/D</t>
        </is>
      </c>
      <c r="U16">
        <f>SUM(L16:T16)</f>
        <v/>
      </c>
    </row>
    <row r="17">
      <c r="A17" t="inlineStr">
        <is>
          <t>HIG-002</t>
        </is>
      </c>
      <c r="B17" t="inlineStr">
        <is>
          <t>Papel higiénico 4 rollos</t>
        </is>
      </c>
      <c r="C17" t="inlineStr">
        <is>
          <t>Higiene</t>
        </is>
      </c>
      <c r="D17" t="inlineStr">
        <is>
          <t>Papel</t>
        </is>
      </c>
      <c r="E17" t="inlineStr">
        <is>
          <t>unidad; caja 24</t>
        </is>
      </c>
      <c r="F17" t="n">
        <v>2.15</v>
      </c>
      <c r="G17" t="n">
        <v>1.3</v>
      </c>
      <c r="H17" t="inlineStr">
        <is>
          <t>Higiene Total C.A.</t>
        </is>
      </c>
      <c r="I17" t="inlineStr">
        <is>
          <t>0614-080815-105-1</t>
        </is>
      </c>
      <c r="J17" t="inlineStr">
        <is>
          <t>2207-5566</t>
        </is>
      </c>
      <c r="K17" t="inlineStr">
        <is>
          <t>Ana Cruz</t>
        </is>
      </c>
      <c r="L17" t="n">
        <v>22</v>
      </c>
      <c r="M17" t="inlineStr"/>
      <c r="N17" t="inlineStr">
        <is>
          <t>N/D</t>
        </is>
      </c>
      <c r="O17" t="n">
        <v>8</v>
      </c>
      <c r="P17" t="n">
        <v>40</v>
      </c>
      <c r="Q17" t="n">
        <v>3</v>
      </c>
      <c r="R17" t="n">
        <v>8</v>
      </c>
      <c r="S17" t="n">
        <v>3</v>
      </c>
      <c r="T17" t="n">
        <v>-2</v>
      </c>
      <c r="U17">
        <f>SUM(L17:T17)</f>
        <v/>
      </c>
    </row>
    <row r="18">
      <c r="A18" t="inlineStr">
        <is>
          <t>HIG-003</t>
        </is>
      </c>
      <c r="B18" t="inlineStr">
        <is>
          <t>Jabón de lavar barra</t>
        </is>
      </c>
      <c r="C18" t="inlineStr">
        <is>
          <t>Limpieza</t>
        </is>
      </c>
      <c r="D18" t="inlineStr">
        <is>
          <t>Jabones</t>
        </is>
      </c>
      <c r="E18" t="inlineStr">
        <is>
          <t>400g / 1kg</t>
        </is>
      </c>
      <c r="F18" t="n">
        <v>0.75</v>
      </c>
      <c r="G18" t="n">
        <v>0.4</v>
      </c>
      <c r="H18" t="inlineStr">
        <is>
          <t>Higiene Total C.A.</t>
        </is>
      </c>
      <c r="I18" t="inlineStr">
        <is>
          <t>0614-080815-105-1</t>
        </is>
      </c>
      <c r="J18" t="inlineStr">
        <is>
          <t>2207-5566</t>
        </is>
      </c>
      <c r="K18" t="inlineStr">
        <is>
          <t>Ana Cruz</t>
        </is>
      </c>
      <c r="L18" t="n">
        <v>22</v>
      </c>
      <c r="M18" t="n">
        <v>22</v>
      </c>
      <c r="N18" t="n">
        <v>0</v>
      </c>
      <c r="O18" t="n">
        <v>65</v>
      </c>
      <c r="P18" t="n">
        <v>-2</v>
      </c>
      <c r="Q18" t="n">
        <v>15</v>
      </c>
      <c r="R18" t="n">
        <v>-2</v>
      </c>
      <c r="S18" t="n">
        <v>-2</v>
      </c>
      <c r="T18" t="inlineStr">
        <is>
          <t>N/D</t>
        </is>
      </c>
      <c r="U18">
        <f>SUM(L18:T18)</f>
        <v/>
      </c>
    </row>
    <row r="19">
      <c r="A19" t="inlineStr">
        <is>
          <t>PAN-001</t>
        </is>
      </c>
      <c r="B19" t="inlineStr">
        <is>
          <t>Pan francés bolsa 10u</t>
        </is>
      </c>
      <c r="C19" t="inlineStr">
        <is>
          <t>Panadería</t>
        </is>
      </c>
      <c r="D19" t="inlineStr">
        <is>
          <t>Pan salado</t>
        </is>
      </c>
      <c r="E19" t="inlineStr">
        <is>
          <t>fardo x 6, fardo x 12, caja</t>
        </is>
      </c>
      <c r="F19" t="n">
        <v>1</v>
      </c>
      <c r="G19" t="n">
        <v>0.55</v>
      </c>
      <c r="H19" t="inlineStr">
        <is>
          <t>Panificadora Ilopango</t>
        </is>
      </c>
      <c r="I19" t="inlineStr">
        <is>
          <t>0614-191199-104-8</t>
        </is>
      </c>
      <c r="J19" t="inlineStr">
        <is>
          <t>2295-0081</t>
        </is>
      </c>
      <c r="K19" t="inlineStr">
        <is>
          <t>Pedro Ramos</t>
        </is>
      </c>
      <c r="L19" t="n">
        <v>120</v>
      </c>
      <c r="M19" t="n">
        <v>3</v>
      </c>
      <c r="N19" t="n">
        <v>15</v>
      </c>
      <c r="O19" t="n">
        <v>65</v>
      </c>
      <c r="P19" t="n">
        <v>40</v>
      </c>
      <c r="Q19" t="n">
        <v>15</v>
      </c>
      <c r="R19" t="inlineStr"/>
      <c r="S19" t="inlineStr">
        <is>
          <t>N/D</t>
        </is>
      </c>
      <c r="T19" t="n">
        <v>15</v>
      </c>
      <c r="U19">
        <f>SUM(L19:T19)</f>
        <v/>
      </c>
    </row>
    <row r="20">
      <c r="A20" t="inlineStr">
        <is>
          <t>PAN-002</t>
        </is>
      </c>
      <c r="B20" t="inlineStr">
        <is>
          <t>Semita alta</t>
        </is>
      </c>
      <c r="C20" t="inlineStr">
        <is>
          <t>Panadería</t>
        </is>
      </c>
      <c r="D20" t="inlineStr">
        <is>
          <t>Pan dulce</t>
        </is>
      </c>
      <c r="E20" t="inlineStr">
        <is>
          <t>1 unidad</t>
        </is>
      </c>
      <c r="F20" t="n">
        <v>1.75</v>
      </c>
      <c r="G20" t="n">
        <v>0.95</v>
      </c>
      <c r="H20" t="inlineStr">
        <is>
          <t>Panificadora Ilopango</t>
        </is>
      </c>
      <c r="I20" t="inlineStr">
        <is>
          <t>0614-191199-104-8</t>
        </is>
      </c>
      <c r="J20" t="inlineStr">
        <is>
          <t>2295-0081</t>
        </is>
      </c>
      <c r="K20" t="inlineStr">
        <is>
          <t>Pedro Ramos</t>
        </is>
      </c>
      <c r="L20" t="n">
        <v>65</v>
      </c>
      <c r="M20" t="n">
        <v>3</v>
      </c>
      <c r="N20" t="inlineStr"/>
      <c r="O20" t="n">
        <v>-2</v>
      </c>
      <c r="P20" t="n">
        <v>120</v>
      </c>
      <c r="Q20" t="n">
        <v>15</v>
      </c>
      <c r="R20" t="n">
        <v>22</v>
      </c>
      <c r="S20" t="n">
        <v>120</v>
      </c>
      <c r="T20" t="n">
        <v>22</v>
      </c>
      <c r="U20">
        <f>SUM(L20:T20)</f>
        <v/>
      </c>
    </row>
    <row r="21">
      <c r="A21" t="inlineStr">
        <is>
          <t>PAN-003</t>
        </is>
      </c>
      <c r="B21" t="inlineStr">
        <is>
          <t>Quesadilla salvadoreña</t>
        </is>
      </c>
      <c r="C21" t="inlineStr">
        <is>
          <t>Panadería</t>
        </is>
      </c>
      <c r="D21" t="inlineStr">
        <is>
          <t>Pan dulce</t>
        </is>
      </c>
      <c r="E21" t="inlineStr">
        <is>
          <t>1 unidad</t>
        </is>
      </c>
      <c r="F21" t="n">
        <v>2.5</v>
      </c>
      <c r="G21" t="n">
        <v>1.3</v>
      </c>
      <c r="H21" t="inlineStr">
        <is>
          <t>Panificadora Ilopango</t>
        </is>
      </c>
      <c r="I21" t="inlineStr">
        <is>
          <t>0614-191199-104-8</t>
        </is>
      </c>
      <c r="J21" t="inlineStr">
        <is>
          <t>2295-0081</t>
        </is>
      </c>
      <c r="K21" t="inlineStr">
        <is>
          <t>Pedro Ramos</t>
        </is>
      </c>
      <c r="L21" t="n">
        <v>8</v>
      </c>
      <c r="M21" t="n">
        <v>15</v>
      </c>
      <c r="N21" t="n">
        <v>3</v>
      </c>
      <c r="O21" t="n">
        <v>0</v>
      </c>
      <c r="P21" t="inlineStr"/>
      <c r="Q21" t="n">
        <v>120</v>
      </c>
      <c r="R21" t="n">
        <v>40</v>
      </c>
      <c r="S21" t="inlineStr">
        <is>
          <t>N/D</t>
        </is>
      </c>
      <c r="T21" t="n">
        <v>40</v>
      </c>
      <c r="U21">
        <f>SUM(L21:T21)</f>
        <v/>
      </c>
    </row>
    <row r="22">
      <c r="A22" t="inlineStr">
        <is>
          <t>CAF-001</t>
        </is>
      </c>
      <c r="B22" t="inlineStr">
        <is>
          <t>Café molido 400g</t>
        </is>
      </c>
      <c r="C22" t="inlineStr">
        <is>
          <t>Abarrotes</t>
        </is>
      </c>
      <c r="D22" t="inlineStr">
        <is>
          <t>Café</t>
        </is>
      </c>
      <c r="E22" t="inlineStr">
        <is>
          <t>400g / 1kg</t>
        </is>
      </c>
      <c r="F22" t="inlineStr">
        <is>
          <t>$4.50</t>
        </is>
      </c>
      <c r="G22" t="n">
        <v>2.9</v>
      </c>
      <c r="H22" t="inlineStr">
        <is>
          <t>Café Volcán S.A.</t>
        </is>
      </c>
      <c r="I22" t="inlineStr">
        <is>
          <t>0614-120389-102-4</t>
        </is>
      </c>
      <c r="J22" t="inlineStr">
        <is>
          <t>2510-3344</t>
        </is>
      </c>
      <c r="K22" t="inlineStr">
        <is>
          <t>Lucía</t>
        </is>
      </c>
      <c r="L22" t="n">
        <v>40</v>
      </c>
      <c r="M22" t="n">
        <v>40</v>
      </c>
      <c r="N22" t="n">
        <v>15</v>
      </c>
      <c r="O22" t="n">
        <v>15</v>
      </c>
      <c r="P22" t="n">
        <v>15</v>
      </c>
      <c r="Q22" t="n">
        <v>120</v>
      </c>
      <c r="R22" t="n">
        <v>120</v>
      </c>
      <c r="S22" t="n">
        <v>-2</v>
      </c>
      <c r="T22" t="n">
        <v>22</v>
      </c>
      <c r="U22">
        <f>SUM(L22:T22)</f>
        <v/>
      </c>
    </row>
    <row r="23">
      <c r="A23" t="inlineStr">
        <is>
          <t>LAC-001</t>
        </is>
      </c>
      <c r="B23" t="inlineStr">
        <is>
          <t>Quesillo 1lb</t>
        </is>
      </c>
      <c r="C23" t="inlineStr">
        <is>
          <t>Lácteos</t>
        </is>
      </c>
      <c r="D23" t="inlineStr">
        <is>
          <t>Quesos</t>
        </is>
      </c>
      <c r="E23" t="inlineStr">
        <is>
          <t>unidad, fardo 12</t>
        </is>
      </c>
      <c r="F23" t="n">
        <v>4.05</v>
      </c>
      <c r="G23" t="n">
        <v>2.4</v>
      </c>
      <c r="H23" t="inlineStr">
        <is>
          <t>Lácteos Chalate</t>
        </is>
      </c>
      <c r="I23" t="inlineStr">
        <is>
          <t>0407-221110-101-2</t>
        </is>
      </c>
      <c r="J23" t="inlineStr">
        <is>
          <t>2335-1020</t>
        </is>
      </c>
      <c r="K23" t="inlineStr">
        <is>
          <t>Rosa</t>
        </is>
      </c>
      <c r="L23" t="n">
        <v>120</v>
      </c>
      <c r="M23" t="n">
        <v>120</v>
      </c>
      <c r="N23" t="n">
        <v>-2</v>
      </c>
      <c r="O23" t="n">
        <v>65</v>
      </c>
      <c r="P23" t="n">
        <v>22</v>
      </c>
      <c r="Q23" t="n">
        <v>15</v>
      </c>
      <c r="R23" t="n">
        <v>22</v>
      </c>
      <c r="S23" t="inlineStr">
        <is>
          <t>N/D</t>
        </is>
      </c>
      <c r="T23" t="n">
        <v>-2</v>
      </c>
      <c r="U23">
        <f>SUM(L23:T23)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19" customWidth="1" min="7" max="7"/>
    <col width="19" customWidth="1" min="8" max="8"/>
  </cols>
  <sheetData>
    <row r="1">
      <c r="A1" s="2" t="inlineStr">
        <is>
          <t>Proveedor</t>
        </is>
      </c>
      <c r="B1" s="2" t="inlineStr">
        <is>
          <t>NIT</t>
        </is>
      </c>
      <c r="C1" s="2" t="inlineStr">
        <is>
          <t>Teléfono</t>
        </is>
      </c>
      <c r="D1" s="2" t="inlineStr">
        <is>
          <t>Contacto</t>
        </is>
      </c>
      <c r="E1" s="2" t="inlineStr">
        <is>
          <t>Correo</t>
        </is>
      </c>
      <c r="F1" s="2" t="inlineStr">
        <is>
          <t>Productos que surte</t>
        </is>
      </c>
      <c r="G1" s="2" t="inlineStr">
        <is>
          <t>Días de crédito</t>
        </is>
      </c>
      <c r="H1" s="2" t="inlineStr">
        <is>
          <t>Días de entrega</t>
        </is>
      </c>
    </row>
    <row r="2">
      <c r="A2" t="inlineStr">
        <is>
          <t>Café Volcán S.A.</t>
        </is>
      </c>
      <c r="B2" t="inlineStr">
        <is>
          <t>0614-120389-102-4</t>
        </is>
      </c>
      <c r="C2" t="inlineStr">
        <is>
          <t>2510-3344</t>
        </is>
      </c>
      <c r="D2" t="inlineStr">
        <is>
          <t>Lucía Hernández</t>
        </is>
      </c>
      <c r="E2" t="inlineStr">
        <is>
          <t>lucía@cafe.com.sv</t>
        </is>
      </c>
      <c r="F2" t="inlineStr">
        <is>
          <t>CAF-001, CAF-002</t>
        </is>
      </c>
      <c r="G2" t="n">
        <v>15</v>
      </c>
      <c r="H2" t="n">
        <v>5</v>
      </c>
    </row>
    <row r="3">
      <c r="A3" t="inlineStr">
        <is>
          <t>GRANOS DEL PACÍFICO</t>
        </is>
      </c>
      <c r="B3" t="inlineStr">
        <is>
          <t>0614-030497-101-9</t>
        </is>
      </c>
      <c r="C3" t="inlineStr">
        <is>
          <t>2234-8890</t>
        </is>
      </c>
      <c r="D3" t="inlineStr">
        <is>
          <t>Mario Ayala</t>
        </is>
      </c>
      <c r="E3" t="inlineStr">
        <is>
          <t>mario@granos.com.sv</t>
        </is>
      </c>
      <c r="F3" t="inlineStr">
        <is>
          <t>FRI-001, ARR-001, AZU-001, HAR-001</t>
        </is>
      </c>
      <c r="G3" t="n">
        <v>15</v>
      </c>
      <c r="H3" t="n">
        <v>2</v>
      </c>
    </row>
    <row r="4">
      <c r="A4" t="inlineStr">
        <is>
          <t>Lácteos Chalate</t>
        </is>
      </c>
      <c r="B4" t="inlineStr">
        <is>
          <t>0407-221110-101-2</t>
        </is>
      </c>
      <c r="C4" t="inlineStr">
        <is>
          <t>7120-4455</t>
        </is>
      </c>
      <c r="D4" t="inlineStr">
        <is>
          <t>Rosa Guardado</t>
        </is>
      </c>
      <c r="E4" t="inlineStr">
        <is>
          <t>rosa@lacteos.com.sv</t>
        </is>
      </c>
      <c r="F4" t="inlineStr">
        <is>
          <t>LAC-001, LAC-002, LAC-003</t>
        </is>
      </c>
      <c r="G4" t="inlineStr">
        <is>
          <t>contado</t>
        </is>
      </c>
      <c r="H4" t="inlineStr">
        <is>
          <t>1 semana</t>
        </is>
      </c>
    </row>
    <row r="5">
      <c r="A5" t="inlineStr">
        <is>
          <t>Bebidas Izalco</t>
        </is>
      </c>
      <c r="B5" t="inlineStr">
        <is>
          <t>0315-150702-103-6</t>
        </is>
      </c>
      <c r="C5" t="inlineStr">
        <is>
          <t>2450-7700</t>
        </is>
      </c>
      <c r="D5" t="inlineStr">
        <is>
          <t>Javier Mejía</t>
        </is>
      </c>
      <c r="E5" t="inlineStr">
        <is>
          <t>javier@bebidas.com.sv</t>
        </is>
      </c>
      <c r="F5" t="inlineStr">
        <is>
          <t>BEB-001, BEB-002, BEB-003</t>
        </is>
      </c>
      <c r="G5" t="inlineStr">
        <is>
          <t>contado</t>
        </is>
      </c>
      <c r="H5" t="n">
        <v>7</v>
      </c>
    </row>
    <row r="6">
      <c r="A6" t="inlineStr">
        <is>
          <t>Higiene Total C.A.</t>
        </is>
      </c>
      <c r="B6" t="inlineStr">
        <is>
          <t>0614-080815-105-1</t>
        </is>
      </c>
      <c r="C6" t="inlineStr">
        <is>
          <t>2207-5566</t>
        </is>
      </c>
      <c r="D6" t="inlineStr">
        <is>
          <t>Ana Cruz</t>
        </is>
      </c>
      <c r="E6" t="inlineStr">
        <is>
          <t>ana@higiene.com.sv</t>
        </is>
      </c>
      <c r="F6" t="inlineStr">
        <is>
          <t>HIG-001, HIG-002, HIG-003</t>
        </is>
      </c>
      <c r="G6" t="n">
        <v>30</v>
      </c>
      <c r="H6" t="n">
        <v>7</v>
      </c>
    </row>
    <row r="7">
      <c r="A7" t="inlineStr">
        <is>
          <t>Panificadora Ilopango</t>
        </is>
      </c>
      <c r="B7" t="inlineStr">
        <is>
          <t>0614-191199-104-8</t>
        </is>
      </c>
      <c r="C7" t="inlineStr">
        <is>
          <t>2295-0081</t>
        </is>
      </c>
      <c r="D7" t="inlineStr">
        <is>
          <t>Pedro Ramos</t>
        </is>
      </c>
      <c r="E7" t="inlineStr">
        <is>
          <t>pedro@panificadora.com.sv</t>
        </is>
      </c>
      <c r="F7" t="inlineStr">
        <is>
          <t>PAN-001, PAN-002, PAN-003</t>
        </is>
      </c>
      <c r="G7" t="inlineStr">
        <is>
          <t>30 días</t>
        </is>
      </c>
      <c r="H7" t="inlineStr">
        <is>
          <t>1 semana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2026-10-11T07:35:22Z</dcterms:created>
  <dcterms:modified xmlns:dcterms="http://purl.org/dc/terms/" xmlns:xsi="http://www.w3.org/2001/XMLSchema-instance" xsi:type="dcterms:W3CDTF">2026-10-11T07:35:22Z</dcterms:modified>
</cp:coreProperties>
</file>