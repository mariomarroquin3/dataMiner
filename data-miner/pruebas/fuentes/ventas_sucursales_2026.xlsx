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Jul-Sep" sheetId="1" state="visible" r:id="rId1"/>
    <sheet xmlns:r="http://schemas.openxmlformats.org/officeDocument/2006/relationships" name="Octubre (parcial)" sheetId="2" state="visible" r:id="rId2"/>
    <sheet xmlns:r="http://schemas.openxmlformats.org/officeDocument/2006/relationships" name="Resumen por sucur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5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12" customWidth="1" min="5" max="5"/>
    <col width="22" customWidth="1" min="6" max="6"/>
    <col width="13" customWidth="1" min="7" max="7"/>
    <col width="16" customWidth="1" min="8" max="8"/>
    <col width="20" customWidth="1" min="9" max="9"/>
    <col width="17" customWidth="1" min="10" max="10"/>
    <col width="12" customWidth="1" min="11" max="11"/>
    <col width="12" customWidth="1" min="12" max="12"/>
    <col width="21" customWidth="1" min="13" max="13"/>
    <col width="16" customWidth="1" min="14" max="14"/>
    <col width="16" customWidth="1" min="15" max="15"/>
    <col width="12" customWidth="1" min="16" max="16"/>
    <col width="12" customWidth="1" min="17" max="17"/>
    <col width="13" customWidth="1" min="18" max="18"/>
    <col width="13" customWidth="1" min="19" max="19"/>
    <col width="18" customWidth="1" min="20" max="20"/>
    <col width="19" customWidth="1" min="21" max="21"/>
    <col width="12" customWidth="1" min="22" max="22"/>
    <col width="15" customWidth="1" min="23" max="23"/>
    <col width="12" customWidth="1" min="24" max="24"/>
    <col width="12" customWidth="1" min="25" max="25"/>
    <col width="12" customWidth="1" min="26" max="26"/>
    <col width="17" customWidth="1" min="27" max="27"/>
    <col width="14" customWidth="1" min="28" max="28"/>
  </cols>
  <sheetData>
    <row r="1">
      <c r="A1" s="1" t="inlineStr">
        <is>
          <t>DISTRIBUIDORA CUSCATLÁN, S.A. DE C.V.</t>
        </is>
      </c>
    </row>
    <row r="2">
      <c r="A2" t="inlineStr">
        <is>
          <t>Reporte de ventas por línea de factura · 3er trimestre 2026 · exportado del POS el 10/10/2026</t>
        </is>
      </c>
    </row>
    <row r="4">
      <c r="A4" s="2" t="inlineStr">
        <is>
          <t>No. Factura</t>
        </is>
      </c>
      <c r="B4" s="2" t="inlineStr">
        <is>
          <t>Fecha</t>
        </is>
      </c>
      <c r="C4" s="2" t="inlineStr">
        <is>
          <t>Tipo DTE</t>
        </is>
      </c>
      <c r="D4" s="2" t="inlineStr">
        <is>
          <t>Cód. Sucursal</t>
        </is>
      </c>
      <c r="E4" s="2" t="inlineStr">
        <is>
          <t>Sucursal</t>
        </is>
      </c>
      <c r="F4" s="2" t="inlineStr">
        <is>
          <t>Dirección sucursal</t>
        </is>
      </c>
      <c r="G4" s="2" t="inlineStr">
        <is>
          <t>Municipio</t>
        </is>
      </c>
      <c r="H4" s="2" t="inlineStr">
        <is>
          <t>Departamento</t>
        </is>
      </c>
      <c r="I4" s="2" t="inlineStr">
        <is>
          <t>Gerente sucursal</t>
        </is>
      </c>
      <c r="J4" s="2" t="inlineStr">
        <is>
          <t>Tel. sucursal</t>
        </is>
      </c>
      <c r="K4" s="2" t="inlineStr">
        <is>
          <t>Vendedor</t>
        </is>
      </c>
      <c r="L4" s="2" t="inlineStr">
        <is>
          <t>Cliente</t>
        </is>
      </c>
      <c r="M4" s="2" t="inlineStr">
        <is>
          <t>DUI / NRC cliente</t>
        </is>
      </c>
      <c r="N4" s="2" t="inlineStr">
        <is>
          <t>Tel. cliente</t>
        </is>
      </c>
      <c r="O4" s="2" t="inlineStr">
        <is>
          <t>Tipo cliente</t>
        </is>
      </c>
      <c r="P4" s="2" t="inlineStr">
        <is>
          <t>SKU</t>
        </is>
      </c>
      <c r="Q4" s="2" t="inlineStr">
        <is>
          <t>Producto</t>
        </is>
      </c>
      <c r="R4" s="2" t="inlineStr">
        <is>
          <t>Categoría</t>
        </is>
      </c>
      <c r="S4" s="2" t="inlineStr">
        <is>
          <t>Proveedor</t>
        </is>
      </c>
      <c r="T4" s="2" t="inlineStr">
        <is>
          <t>Tel. proveedor</t>
        </is>
      </c>
      <c r="U4" s="2" t="inlineStr">
        <is>
          <t>Precio unitario</t>
        </is>
      </c>
      <c r="V4" s="2" t="inlineStr">
        <is>
          <t>Cantidad</t>
        </is>
      </c>
      <c r="W4" s="2" t="inlineStr">
        <is>
          <t>Descuento %</t>
        </is>
      </c>
      <c r="X4" s="2" t="inlineStr">
        <is>
          <t>Subtotal</t>
        </is>
      </c>
      <c r="Y4" s="2" t="inlineStr">
        <is>
          <t>IVA 13%</t>
        </is>
      </c>
      <c r="Z4" s="2" t="inlineStr">
        <is>
          <t>Total</t>
        </is>
      </c>
      <c r="AA4" s="2" t="inlineStr">
        <is>
          <t>Forma de pago</t>
        </is>
      </c>
      <c r="AB4" s="2" t="inlineStr">
        <is>
          <t>Comentario</t>
        </is>
      </c>
    </row>
    <row r="5">
      <c r="A5" t="inlineStr">
        <is>
          <t>F-10453</t>
        </is>
      </c>
      <c r="B5" t="inlineStr">
        <is>
          <t>20/07/2026</t>
        </is>
      </c>
      <c r="C5" t="inlineStr">
        <is>
          <t>Factura</t>
        </is>
      </c>
      <c r="D5" t="inlineStr">
        <is>
          <t>SS03</t>
        </is>
      </c>
      <c r="E5" t="inlineStr">
        <is>
          <t xml:space="preserve">SOYAPANGO </t>
        </is>
      </c>
      <c r="F5" t="inlineStr">
        <is>
          <t>Blvd. del Ejército km 4</t>
        </is>
      </c>
      <c r="G5" t="inlineStr">
        <is>
          <t>Soyapango</t>
        </is>
      </c>
      <c r="H5" t="inlineStr">
        <is>
          <t>San Salvador</t>
        </is>
      </c>
      <c r="I5" t="inlineStr">
        <is>
          <t>Karla Henríquez</t>
        </is>
      </c>
      <c r="J5" t="inlineStr">
        <is>
          <t>2277-3402</t>
        </is>
      </c>
      <c r="K5" t="inlineStr">
        <is>
          <t>Carlos Molina</t>
        </is>
      </c>
      <c r="L5" t="inlineStr">
        <is>
          <t>Mario Lemus Flores</t>
        </is>
      </c>
      <c r="M5" t="inlineStr">
        <is>
          <t>05465836-8</t>
        </is>
      </c>
      <c r="N5" t="inlineStr">
        <is>
          <t>6555-2967</t>
        </is>
      </c>
      <c r="O5" t="inlineStr">
        <is>
          <t>Consumidor final</t>
        </is>
      </c>
      <c r="P5" t="inlineStr">
        <is>
          <t>ARR-001</t>
        </is>
      </c>
      <c r="Q5" t="inlineStr">
        <is>
          <t>Arroz blanco 5lb</t>
        </is>
      </c>
      <c r="R5" t="inlineStr">
        <is>
          <t>Abarrotes</t>
        </is>
      </c>
      <c r="S5" t="inlineStr">
        <is>
          <t>Granos del Pacífico</t>
        </is>
      </c>
      <c r="T5" t="inlineStr">
        <is>
          <t>2234-8890</t>
        </is>
      </c>
      <c r="U5" t="n">
        <v>3.95</v>
      </c>
      <c r="V5" t="n">
        <v>4</v>
      </c>
      <c r="W5" t="n">
        <v>0</v>
      </c>
      <c r="X5">
        <f>IFERROR(U5*V5*(1-W5/100),"")</f>
        <v/>
      </c>
      <c r="Y5">
        <f>IFERROR(ROUND(X5*0.13,2),"")</f>
        <v/>
      </c>
      <c r="Z5">
        <f>IFERROR(X5+Y5,"")</f>
        <v/>
      </c>
      <c r="AA5" t="inlineStr">
        <is>
          <t>Chivo</t>
        </is>
      </c>
      <c r="AB5" t="inlineStr"/>
    </row>
    <row r="6">
      <c r="A6" t="inlineStr">
        <is>
          <t>F-10453</t>
        </is>
      </c>
      <c r="B6" s="3" t="n">
        <v>46223</v>
      </c>
      <c r="C6" t="inlineStr">
        <is>
          <t>Factura</t>
        </is>
      </c>
      <c r="D6" t="inlineStr">
        <is>
          <t>SS03</t>
        </is>
      </c>
      <c r="E6" t="inlineStr">
        <is>
          <t xml:space="preserve">SOYAPANGO </t>
        </is>
      </c>
      <c r="F6" t="inlineStr">
        <is>
          <t>Blvd. del Ejército km 4</t>
        </is>
      </c>
      <c r="G6" t="inlineStr">
        <is>
          <t>Soyapango</t>
        </is>
      </c>
      <c r="H6" t="inlineStr">
        <is>
          <t>San Salvador</t>
        </is>
      </c>
      <c r="I6" t="inlineStr">
        <is>
          <t>Karla Henríquez</t>
        </is>
      </c>
      <c r="J6" t="inlineStr">
        <is>
          <t>2277-3402</t>
        </is>
      </c>
      <c r="K6" t="inlineStr">
        <is>
          <t>Carlos Molina</t>
        </is>
      </c>
      <c r="L6" t="inlineStr">
        <is>
          <t>Mario Lemus Flores</t>
        </is>
      </c>
      <c r="M6" t="inlineStr">
        <is>
          <t>05465836-8</t>
        </is>
      </c>
      <c r="N6" t="inlineStr">
        <is>
          <t>6555-2967</t>
        </is>
      </c>
      <c r="O6" t="inlineStr">
        <is>
          <t>Consumidor final</t>
        </is>
      </c>
      <c r="P6" t="inlineStr">
        <is>
          <t>FRI-001</t>
        </is>
      </c>
      <c r="Q6" t="inlineStr">
        <is>
          <t>Frijol rojo de seda 2lb</t>
        </is>
      </c>
      <c r="R6" t="inlineStr">
        <is>
          <t>Abarrotes</t>
        </is>
      </c>
      <c r="S6" t="inlineStr">
        <is>
          <t>Granos del Pacífico</t>
        </is>
      </c>
      <c r="T6" t="inlineStr">
        <is>
          <t>2234-8890</t>
        </is>
      </c>
      <c r="U6" t="inlineStr">
        <is>
          <t>$2.40</t>
        </is>
      </c>
      <c r="V6" t="n">
        <v>1</v>
      </c>
      <c r="W6" t="n">
        <v>0</v>
      </c>
      <c r="X6">
        <f>IFERROR(U6*V6*(1-W6/100),"")</f>
        <v/>
      </c>
      <c r="Y6">
        <f>IFERROR(ROUND(X6*0.13,2),"")</f>
        <v/>
      </c>
      <c r="Z6">
        <f>IFERROR(X6+Y6,"")</f>
        <v/>
      </c>
      <c r="AA6" t="inlineStr">
        <is>
          <t>Chivo</t>
        </is>
      </c>
      <c r="AB6" t="inlineStr"/>
    </row>
    <row r="7">
      <c r="A7" t="inlineStr">
        <is>
          <t>F-10453</t>
        </is>
      </c>
      <c r="B7" t="inlineStr">
        <is>
          <t>20/07/2026</t>
        </is>
      </c>
      <c r="C7" t="inlineStr">
        <is>
          <t>Factura</t>
        </is>
      </c>
      <c r="D7" t="inlineStr">
        <is>
          <t>SS03</t>
        </is>
      </c>
      <c r="E7" t="inlineStr">
        <is>
          <t>soyapango</t>
        </is>
      </c>
      <c r="F7" t="inlineStr">
        <is>
          <t>Blvd. del Ejército km 4</t>
        </is>
      </c>
      <c r="G7" t="inlineStr">
        <is>
          <t>Soyapango</t>
        </is>
      </c>
      <c r="H7" t="inlineStr">
        <is>
          <t>San Salvador</t>
        </is>
      </c>
      <c r="I7" t="inlineStr">
        <is>
          <t>Karla Henríquez</t>
        </is>
      </c>
      <c r="J7" t="inlineStr">
        <is>
          <t>2277-3402</t>
        </is>
      </c>
      <c r="K7" t="inlineStr">
        <is>
          <t>Carlos Molina</t>
        </is>
      </c>
      <c r="L7" t="inlineStr">
        <is>
          <t>Mario Lemus Flores</t>
        </is>
      </c>
      <c r="M7" t="inlineStr">
        <is>
          <t>05465836-8</t>
        </is>
      </c>
      <c r="N7" t="inlineStr">
        <is>
          <t>6555-2967</t>
        </is>
      </c>
      <c r="O7" t="inlineStr">
        <is>
          <t>Consumidor final</t>
        </is>
      </c>
      <c r="P7" t="inlineStr">
        <is>
          <t>HIG-001</t>
        </is>
      </c>
      <c r="Q7" t="inlineStr">
        <is>
          <t>Detergente 1kg</t>
        </is>
      </c>
      <c r="R7" t="inlineStr">
        <is>
          <t>Limpieza</t>
        </is>
      </c>
      <c r="S7" t="inlineStr">
        <is>
          <t>Higiene Total C.A.</t>
        </is>
      </c>
      <c r="T7" t="inlineStr">
        <is>
          <t>2207-5566</t>
        </is>
      </c>
      <c r="U7" t="inlineStr">
        <is>
          <t>3,45</t>
        </is>
      </c>
      <c r="V7" t="n">
        <v>6</v>
      </c>
      <c r="W7" t="n">
        <v>0</v>
      </c>
      <c r="X7">
        <f>IFERROR(U7*V7*(1-W7/100),"")</f>
        <v/>
      </c>
      <c r="Y7">
        <f>IFERROR(ROUND(X7*0.13,2),"")</f>
        <v/>
      </c>
      <c r="Z7">
        <f>IFERROR(X7+Y7,"")</f>
        <v/>
      </c>
      <c r="AA7" t="inlineStr">
        <is>
          <t>Chivo</t>
        </is>
      </c>
      <c r="AB7" t="inlineStr">
        <is>
          <t>precio especial autorizado por gerente</t>
        </is>
      </c>
    </row>
    <row r="8">
      <c r="A8" t="inlineStr">
        <is>
          <t>F-10453</t>
        </is>
      </c>
      <c r="B8" s="3" t="n">
        <v>46223</v>
      </c>
      <c r="C8" t="inlineStr">
        <is>
          <t>Factura</t>
        </is>
      </c>
      <c r="D8" t="inlineStr">
        <is>
          <t>SS03</t>
        </is>
      </c>
      <c r="E8" t="inlineStr">
        <is>
          <t>soyapango</t>
        </is>
      </c>
      <c r="F8" t="inlineStr">
        <is>
          <t>Blvd. del Ejército km 4</t>
        </is>
      </c>
      <c r="G8" t="inlineStr">
        <is>
          <t>Soyapango</t>
        </is>
      </c>
      <c r="H8" t="inlineStr">
        <is>
          <t>San Salvador</t>
        </is>
      </c>
      <c r="I8" t="inlineStr">
        <is>
          <t>Karla Henríquez</t>
        </is>
      </c>
      <c r="J8" t="inlineStr">
        <is>
          <t>2277-3402</t>
        </is>
      </c>
      <c r="K8" t="inlineStr">
        <is>
          <t>Carlos Molina</t>
        </is>
      </c>
      <c r="L8" t="inlineStr">
        <is>
          <t>Mario Lemus Flores</t>
        </is>
      </c>
      <c r="M8" t="inlineStr">
        <is>
          <t>05465836-8</t>
        </is>
      </c>
      <c r="N8" t="inlineStr">
        <is>
          <t>6555-2967</t>
        </is>
      </c>
      <c r="O8" t="inlineStr">
        <is>
          <t>Consumidor final</t>
        </is>
      </c>
      <c r="P8" t="inlineStr">
        <is>
          <t>AZU-001</t>
        </is>
      </c>
      <c r="Q8" t="inlineStr">
        <is>
          <t>Azúcar blanca 2.5kg</t>
        </is>
      </c>
      <c r="R8" t="inlineStr">
        <is>
          <t>Abarrotes</t>
        </is>
      </c>
      <c r="S8" t="inlineStr">
        <is>
          <t>Granos del Pacífico</t>
        </is>
      </c>
      <c r="T8" t="inlineStr">
        <is>
          <t>2234-8890</t>
        </is>
      </c>
      <c r="U8" t="n">
        <v>3.1</v>
      </c>
      <c r="V8" t="n">
        <v>12</v>
      </c>
      <c r="W8" t="n">
        <v>0</v>
      </c>
      <c r="X8">
        <f>IFERROR(U8*V8*(1-W8/100),"")</f>
        <v/>
      </c>
      <c r="Y8">
        <f>IFERROR(ROUND(X8*0.13,2),"")</f>
        <v/>
      </c>
      <c r="Z8">
        <f>IFERROR(X8+Y8,"")</f>
        <v/>
      </c>
      <c r="AA8" t="inlineStr">
        <is>
          <t>Chivo</t>
        </is>
      </c>
      <c r="AB8" t="inlineStr">
        <is>
          <t>Cliente frecuente</t>
        </is>
      </c>
    </row>
    <row r="9">
      <c r="A9" t="inlineStr">
        <is>
          <t>F-10456</t>
        </is>
      </c>
      <c r="B9" s="3" t="n">
        <v>46242</v>
      </c>
      <c r="C9" t="inlineStr">
        <is>
          <t>factura</t>
        </is>
      </c>
      <c r="D9" t="inlineStr">
        <is>
          <t>SA01</t>
        </is>
      </c>
      <c r="E9" t="inlineStr">
        <is>
          <t>Santa Ana</t>
        </is>
      </c>
      <c r="F9" t="inlineStr">
        <is>
          <t>Av. Independencia Sur #12</t>
        </is>
      </c>
      <c r="G9" t="inlineStr">
        <is>
          <t>Santa Ana</t>
        </is>
      </c>
      <c r="H9" t="inlineStr">
        <is>
          <t>Santa Ana</t>
        </is>
      </c>
      <c r="I9" t="inlineStr">
        <is>
          <t>Mauricio Linares</t>
        </is>
      </c>
      <c r="J9" t="inlineStr">
        <is>
          <t>2440-9921</t>
        </is>
      </c>
      <c r="K9" t="inlineStr">
        <is>
          <t>Sofía Cáceres</t>
        </is>
      </c>
      <c r="L9" t="inlineStr">
        <is>
          <t>Mario Sorto Castillo</t>
        </is>
      </c>
      <c r="M9" t="inlineStr">
        <is>
          <t>09824839-0</t>
        </is>
      </c>
      <c r="N9" t="inlineStr">
        <is>
          <t>7450-4234</t>
        </is>
      </c>
      <c r="O9" t="inlineStr">
        <is>
          <t>Consumidor final</t>
        </is>
      </c>
      <c r="P9" t="inlineStr">
        <is>
          <t>BEB-003</t>
        </is>
      </c>
      <c r="Q9" t="inlineStr">
        <is>
          <t>Horchata en polvo 400g</t>
        </is>
      </c>
      <c r="R9" t="inlineStr">
        <is>
          <t>Bebidas</t>
        </is>
      </c>
      <c r="S9" t="inlineStr">
        <is>
          <t>Bebidas Izalco</t>
        </is>
      </c>
      <c r="T9" t="inlineStr">
        <is>
          <t>2450-7700</t>
        </is>
      </c>
      <c r="U9" t="n">
        <v>2.6</v>
      </c>
      <c r="V9" t="n">
        <v>3</v>
      </c>
      <c r="W9" t="n">
        <v>0</v>
      </c>
      <c r="X9">
        <f>IFERROR(U9*V9*(1-W9/100),"")</f>
        <v/>
      </c>
      <c r="Y9">
        <f>IFERROR(ROUND(X9*0.13,2),"")</f>
        <v/>
      </c>
      <c r="Z9">
        <f>IFERROR(X9+Y9,"")</f>
        <v/>
      </c>
      <c r="AA9" t="inlineStr">
        <is>
          <t>Efectivo</t>
        </is>
      </c>
      <c r="AB9" t="inlineStr">
        <is>
          <t>Cliente frecuente</t>
        </is>
      </c>
    </row>
    <row r="10">
      <c r="A10" t="inlineStr">
        <is>
          <t>F-10456</t>
        </is>
      </c>
      <c r="B10" s="3" t="n">
        <v>46242</v>
      </c>
      <c r="C10" t="inlineStr">
        <is>
          <t>factura</t>
        </is>
      </c>
      <c r="D10" t="inlineStr">
        <is>
          <t>SA01</t>
        </is>
      </c>
      <c r="E10" t="inlineStr">
        <is>
          <t>STA ANA</t>
        </is>
      </c>
      <c r="F10" t="inlineStr">
        <is>
          <t>Av. Independencia Sur #12</t>
        </is>
      </c>
      <c r="G10" t="inlineStr">
        <is>
          <t>Santa Ana</t>
        </is>
      </c>
      <c r="H10" t="inlineStr">
        <is>
          <t>Santa Ana</t>
        </is>
      </c>
      <c r="I10" t="inlineStr">
        <is>
          <t>Mauricio Linares</t>
        </is>
      </c>
      <c r="J10" t="inlineStr">
        <is>
          <t>2440-9921</t>
        </is>
      </c>
      <c r="K10" t="inlineStr">
        <is>
          <t>Sofía Cáceres</t>
        </is>
      </c>
      <c r="L10" t="inlineStr">
        <is>
          <t>Mario Sorto Castillo</t>
        </is>
      </c>
      <c r="M10" t="inlineStr">
        <is>
          <t>09824839-0</t>
        </is>
      </c>
      <c r="N10" t="inlineStr">
        <is>
          <t>7450-4234</t>
        </is>
      </c>
      <c r="O10" t="inlineStr">
        <is>
          <t>Consumidor final</t>
        </is>
      </c>
      <c r="P10" t="inlineStr">
        <is>
          <t>HIG-003</t>
        </is>
      </c>
      <c r="Q10" t="inlineStr">
        <is>
          <t>Jabón de lavar barra</t>
        </is>
      </c>
      <c r="R10" t="inlineStr">
        <is>
          <t>Limpieza</t>
        </is>
      </c>
      <c r="S10" t="inlineStr">
        <is>
          <t>Higiene Total C.A.</t>
        </is>
      </c>
      <c r="T10" t="inlineStr">
        <is>
          <t>2207-5566</t>
        </is>
      </c>
      <c r="U10" t="n">
        <v>0.75</v>
      </c>
      <c r="V10" t="n">
        <v>1</v>
      </c>
      <c r="W10" t="n">
        <v>0</v>
      </c>
      <c r="X10">
        <f>IFERROR(U10*V10*(1-W10/100),"")</f>
        <v/>
      </c>
      <c r="Y10">
        <f>IFERROR(ROUND(X10*0.13,2),"")</f>
        <v/>
      </c>
      <c r="Z10">
        <f>IFERROR(X10+Y10,"")</f>
        <v/>
      </c>
      <c r="AA10" t="inlineStr">
        <is>
          <t>Efectivo</t>
        </is>
      </c>
      <c r="AB10" t="inlineStr"/>
    </row>
    <row r="11">
      <c r="A11" t="inlineStr">
        <is>
          <t>F-10459</t>
        </is>
      </c>
      <c r="B11" s="3" t="n">
        <v>46248</v>
      </c>
      <c r="C11" t="inlineStr">
        <is>
          <t>factura</t>
        </is>
      </c>
      <c r="D11" t="inlineStr">
        <is>
          <t>SS01</t>
        </is>
      </c>
      <c r="E11" t="inlineStr">
        <is>
          <t>S.S. Centro</t>
        </is>
      </c>
      <c r="F11" t="inlineStr">
        <is>
          <t>4a Calle Poniente #215</t>
        </is>
      </c>
      <c r="G11" t="inlineStr">
        <is>
          <t>San Salvador</t>
        </is>
      </c>
      <c r="H11" t="inlineStr">
        <is>
          <t>San Salvador</t>
        </is>
      </c>
      <c r="I11" t="inlineStr">
        <is>
          <t>Roberto Alfaro</t>
        </is>
      </c>
      <c r="J11" t="inlineStr">
        <is>
          <t>2221-4580</t>
        </is>
      </c>
      <c r="K11" t="inlineStr">
        <is>
          <t>Daniela Orellana</t>
        </is>
      </c>
      <c r="L11" t="inlineStr">
        <is>
          <t>Patricia Guevara Quintanilla</t>
        </is>
      </c>
      <c r="M11" t="inlineStr">
        <is>
          <t>07265655-3</t>
        </is>
      </c>
      <c r="N11" t="inlineStr">
        <is>
          <t>6951-5407</t>
        </is>
      </c>
      <c r="O11" t="inlineStr">
        <is>
          <t>Consumidor final</t>
        </is>
      </c>
      <c r="P11" t="inlineStr">
        <is>
          <t>HAR-001</t>
        </is>
      </c>
      <c r="Q11" t="inlineStr">
        <is>
          <t>Harina de maíz 2lb</t>
        </is>
      </c>
      <c r="R11" t="inlineStr">
        <is>
          <t>Abarrotes</t>
        </is>
      </c>
      <c r="S11" t="inlineStr">
        <is>
          <t>Granos del Pacífico</t>
        </is>
      </c>
      <c r="T11" t="inlineStr">
        <is>
          <t>2234-8890</t>
        </is>
      </c>
      <c r="U11" t="n">
        <v>1.35</v>
      </c>
      <c r="V11" t="n">
        <v>2</v>
      </c>
      <c r="W11" t="n">
        <v>0</v>
      </c>
      <c r="X11">
        <f>IFERROR(U11*V11*(1-W11/100),"")</f>
        <v/>
      </c>
      <c r="Y11">
        <f>IFERROR(ROUND(X11*0.13,2),"")</f>
        <v/>
      </c>
      <c r="Z11">
        <f>IFERROR(X11+Y11,"")</f>
        <v/>
      </c>
      <c r="AA11" t="inlineStr">
        <is>
          <t>Efectivo</t>
        </is>
      </c>
      <c r="AB11" t="inlineStr">
        <is>
          <t>precio especial autorizado por gerente</t>
        </is>
      </c>
    </row>
    <row r="12">
      <c r="A12" t="inlineStr">
        <is>
          <t>F-10459</t>
        </is>
      </c>
      <c r="B12" t="inlineStr">
        <is>
          <t>2026-08-14</t>
        </is>
      </c>
      <c r="C12" t="inlineStr">
        <is>
          <t>factura</t>
        </is>
      </c>
      <c r="D12" t="inlineStr">
        <is>
          <t>SS01</t>
        </is>
      </c>
      <c r="E12" t="inlineStr">
        <is>
          <t xml:space="preserve">san salvador centro </t>
        </is>
      </c>
      <c r="F12" t="inlineStr">
        <is>
          <t>4a Calle Poniente #215</t>
        </is>
      </c>
      <c r="G12" t="inlineStr">
        <is>
          <t>San Salvador</t>
        </is>
      </c>
      <c r="H12" t="inlineStr">
        <is>
          <t>San Salvador</t>
        </is>
      </c>
      <c r="I12" t="inlineStr">
        <is>
          <t>Roberto Alfaro</t>
        </is>
      </c>
      <c r="J12" t="inlineStr">
        <is>
          <t>2221-4580</t>
        </is>
      </c>
      <c r="K12" t="inlineStr">
        <is>
          <t>Daniela Orellana</t>
        </is>
      </c>
      <c r="L12" t="inlineStr">
        <is>
          <t>Patricia Guevara Quintanilla</t>
        </is>
      </c>
      <c r="M12" t="inlineStr">
        <is>
          <t>07265655-3</t>
        </is>
      </c>
      <c r="N12" t="inlineStr">
        <is>
          <t>6951-5407</t>
        </is>
      </c>
      <c r="O12" t="inlineStr">
        <is>
          <t>Consumidor final</t>
        </is>
      </c>
      <c r="P12" t="inlineStr">
        <is>
          <t>BEB-002</t>
        </is>
      </c>
      <c r="Q12" t="inlineStr">
        <is>
          <t>Agua purificada 1 galón</t>
        </is>
      </c>
      <c r="R12" t="inlineStr">
        <is>
          <t>Bebidas</t>
        </is>
      </c>
      <c r="S12" t="inlineStr">
        <is>
          <t>Bebidas Izalco</t>
        </is>
      </c>
      <c r="T12" t="inlineStr">
        <is>
          <t>2450-7700</t>
        </is>
      </c>
      <c r="U12" t="n">
        <v>1.1</v>
      </c>
      <c r="V12" t="n">
        <v>3</v>
      </c>
      <c r="W12" t="n">
        <v>0</v>
      </c>
      <c r="X12">
        <f>IFERROR(U12*V12*(1-W12/100),"")</f>
        <v/>
      </c>
      <c r="Y12">
        <f>IFERROR(ROUND(X12*0.13,2),"")</f>
        <v/>
      </c>
      <c r="Z12">
        <f>IFERROR(X12+Y12,"")</f>
        <v/>
      </c>
      <c r="AA12" t="inlineStr">
        <is>
          <t>Efectivo</t>
        </is>
      </c>
      <c r="AB12" t="inlineStr">
        <is>
          <t>precio especial autorizado por gerente</t>
        </is>
      </c>
    </row>
    <row r="13">
      <c r="A13" t="inlineStr">
        <is>
          <t>F-10461</t>
        </is>
      </c>
      <c r="B13" t="inlineStr">
        <is>
          <t>03-Sep-26</t>
        </is>
      </c>
      <c r="C13" t="inlineStr">
        <is>
          <t>factura</t>
        </is>
      </c>
      <c r="D13" t="inlineStr">
        <is>
          <t>SS03</t>
        </is>
      </c>
      <c r="E13" t="inlineStr">
        <is>
          <t>Soyapango</t>
        </is>
      </c>
      <c r="F13" t="inlineStr">
        <is>
          <t>Blvd. del Ejército km 4</t>
        </is>
      </c>
      <c r="G13" t="inlineStr">
        <is>
          <t>Soyapango</t>
        </is>
      </c>
      <c r="H13" t="inlineStr">
        <is>
          <t>San Salvador</t>
        </is>
      </c>
      <c r="I13" t="inlineStr">
        <is>
          <t>Karla Henríquez</t>
        </is>
      </c>
      <c r="J13" t="inlineStr">
        <is>
          <t>2277-3402</t>
        </is>
      </c>
      <c r="K13" t="inlineStr">
        <is>
          <t>Marta Gómez</t>
        </is>
      </c>
      <c r="L13" t="inlineStr">
        <is>
          <t>Héctor Hernández Quintanilla</t>
        </is>
      </c>
      <c r="M13" t="inlineStr">
        <is>
          <t>05302669-9</t>
        </is>
      </c>
      <c r="N13" t="inlineStr">
        <is>
          <t>2708-8580</t>
        </is>
      </c>
      <c r="O13" t="inlineStr">
        <is>
          <t>Consumidor final</t>
        </is>
      </c>
      <c r="P13" t="inlineStr">
        <is>
          <t>HIG-003</t>
        </is>
      </c>
      <c r="Q13" t="inlineStr">
        <is>
          <t>Jabón de lavar barra</t>
        </is>
      </c>
      <c r="R13" t="inlineStr">
        <is>
          <t>Limpieza</t>
        </is>
      </c>
      <c r="S13" t="inlineStr">
        <is>
          <t>Higiene Total C.A.</t>
        </is>
      </c>
      <c r="T13" t="inlineStr">
        <is>
          <t>2207-5566</t>
        </is>
      </c>
      <c r="U13" t="inlineStr">
        <is>
          <t>0,75</t>
        </is>
      </c>
      <c r="V13" t="n">
        <v>2</v>
      </c>
      <c r="W13" t="n">
        <v>0</v>
      </c>
      <c r="X13">
        <f>IFERROR(U13*V13*(1-W13/100),"")</f>
        <v/>
      </c>
      <c r="Y13">
        <f>IFERROR(ROUND(X13*0.13,2),"")</f>
        <v/>
      </c>
      <c r="Z13">
        <f>IFERROR(X13+Y13,"")</f>
        <v/>
      </c>
      <c r="AA13" t="inlineStr">
        <is>
          <t>Efectivo</t>
        </is>
      </c>
      <c r="AB13" t="inlineStr"/>
    </row>
    <row r="14">
      <c r="A14" t="inlineStr">
        <is>
          <t>F-10461</t>
        </is>
      </c>
      <c r="B14" s="3" t="n">
        <v>46268</v>
      </c>
      <c r="C14" t="inlineStr">
        <is>
          <t>factura</t>
        </is>
      </c>
      <c r="D14" t="inlineStr">
        <is>
          <t>SS03</t>
        </is>
      </c>
      <c r="E14" t="inlineStr">
        <is>
          <t>soyapango</t>
        </is>
      </c>
      <c r="F14" t="inlineStr">
        <is>
          <t>Blvd. del Ejército km 4</t>
        </is>
      </c>
      <c r="G14" t="inlineStr">
        <is>
          <t>Soyapango</t>
        </is>
      </c>
      <c r="H14" t="inlineStr">
        <is>
          <t>San Salvador</t>
        </is>
      </c>
      <c r="I14" t="inlineStr">
        <is>
          <t>Karla Henríquez</t>
        </is>
      </c>
      <c r="J14" t="inlineStr">
        <is>
          <t>2277-3402</t>
        </is>
      </c>
      <c r="K14" t="inlineStr">
        <is>
          <t>Marta Gómez</t>
        </is>
      </c>
      <c r="L14" t="inlineStr">
        <is>
          <t>Héctor Hernández Quintanilla</t>
        </is>
      </c>
      <c r="M14" t="inlineStr">
        <is>
          <t>05302669-9</t>
        </is>
      </c>
      <c r="N14" t="inlineStr">
        <is>
          <t>2708-8580</t>
        </is>
      </c>
      <c r="O14" t="inlineStr">
        <is>
          <t>Consumidor final</t>
        </is>
      </c>
      <c r="P14" t="inlineStr">
        <is>
          <t>LAC-002</t>
        </is>
      </c>
      <c r="Q14" t="inlineStr">
        <is>
          <t>Crema 500ml</t>
        </is>
      </c>
      <c r="R14" t="inlineStr">
        <is>
          <t>Lacteos</t>
        </is>
      </c>
      <c r="S14" t="inlineStr">
        <is>
          <t>Lácteos Chalate</t>
        </is>
      </c>
      <c r="T14" t="inlineStr">
        <is>
          <t>2335-1020</t>
        </is>
      </c>
      <c r="U14" t="n">
        <v>2.25</v>
      </c>
      <c r="V14" t="n">
        <v>6</v>
      </c>
      <c r="W14" t="n">
        <v>0</v>
      </c>
      <c r="X14">
        <f>IFERROR(U14*V14*(1-W14/100),"")</f>
        <v/>
      </c>
      <c r="Y14">
        <f>IFERROR(ROUND(X14*0.13,2),"")</f>
        <v/>
      </c>
      <c r="Z14">
        <f>IFERROR(X14+Y14,"")</f>
        <v/>
      </c>
      <c r="AA14" t="inlineStr">
        <is>
          <t>Efectivo</t>
        </is>
      </c>
      <c r="AB14" t="inlineStr">
        <is>
          <t>entregar en bodega</t>
        </is>
      </c>
    </row>
    <row r="15">
      <c r="A15" t="inlineStr">
        <is>
          <t>F-10461</t>
        </is>
      </c>
      <c r="B15" s="4" t="n">
        <v>46268</v>
      </c>
      <c r="C15" t="inlineStr">
        <is>
          <t>factura</t>
        </is>
      </c>
      <c r="D15" t="inlineStr">
        <is>
          <t>SS03</t>
        </is>
      </c>
      <c r="E15" t="inlineStr">
        <is>
          <t>soyapango</t>
        </is>
      </c>
      <c r="F15" t="inlineStr">
        <is>
          <t>Blvd. del Ejército km 4</t>
        </is>
      </c>
      <c r="G15" t="inlineStr">
        <is>
          <t>Soyapango</t>
        </is>
      </c>
      <c r="H15" t="inlineStr">
        <is>
          <t>San Salvador</t>
        </is>
      </c>
      <c r="I15" t="inlineStr">
        <is>
          <t>Karla Henríquez</t>
        </is>
      </c>
      <c r="J15" t="inlineStr">
        <is>
          <t>2277-3402</t>
        </is>
      </c>
      <c r="K15" t="inlineStr">
        <is>
          <t>Marta Gómez</t>
        </is>
      </c>
      <c r="L15" t="inlineStr">
        <is>
          <t>Héctor Hernández Quintanilla</t>
        </is>
      </c>
      <c r="M15" t="inlineStr">
        <is>
          <t>05302669-9</t>
        </is>
      </c>
      <c r="N15" t="inlineStr">
        <is>
          <t>2708-8580</t>
        </is>
      </c>
      <c r="O15" t="inlineStr">
        <is>
          <t>Consumidor final</t>
        </is>
      </c>
      <c r="P15" t="inlineStr">
        <is>
          <t>LAC-002</t>
        </is>
      </c>
      <c r="Q15" t="inlineStr">
        <is>
          <t>Crema 500ml</t>
        </is>
      </c>
      <c r="R15" t="inlineStr">
        <is>
          <t>Lacteos</t>
        </is>
      </c>
      <c r="S15" t="inlineStr">
        <is>
          <t>Lácteos Chalate</t>
        </is>
      </c>
      <c r="T15" t="inlineStr">
        <is>
          <t>2335-1020</t>
        </is>
      </c>
      <c r="U15" t="n">
        <v>2.25</v>
      </c>
      <c r="V15" t="n">
        <v>6</v>
      </c>
      <c r="W15" t="n">
        <v>0</v>
      </c>
      <c r="X15">
        <f>IFERROR(U15*V15*(1-W15/100),"")</f>
        <v/>
      </c>
      <c r="Y15">
        <f>IFERROR(ROUND(X15*0.13,2),"")</f>
        <v/>
      </c>
      <c r="Z15">
        <f>IFERROR(X15+Y15,"")</f>
        <v/>
      </c>
      <c r="AA15" t="inlineStr">
        <is>
          <t>Efectivo</t>
        </is>
      </c>
      <c r="AB15" t="inlineStr">
        <is>
          <t>entregar en bodega</t>
        </is>
      </c>
    </row>
    <row r="16">
      <c r="A16" t="inlineStr">
        <is>
          <t>F-10464</t>
        </is>
      </c>
      <c r="B16" s="3" t="n">
        <v>46248</v>
      </c>
      <c r="C16" t="inlineStr">
        <is>
          <t>factura</t>
        </is>
      </c>
      <c r="D16" t="inlineStr">
        <is>
          <t>SM01</t>
        </is>
      </c>
      <c r="E16" t="inlineStr">
        <is>
          <t>San Miguel</t>
        </is>
      </c>
      <c r="F16" t="inlineStr">
        <is>
          <t>Av. Roosevelt Sur #7</t>
        </is>
      </c>
      <c r="G16" t="inlineStr">
        <is>
          <t>San Miguel</t>
        </is>
      </c>
      <c r="H16" t="inlineStr">
        <is>
          <t>San Miguel</t>
        </is>
      </c>
      <c r="I16" t="inlineStr">
        <is>
          <t>Iris Portillo</t>
        </is>
      </c>
      <c r="J16" t="inlineStr">
        <is>
          <t>2661-5076</t>
        </is>
      </c>
      <c r="K16" t="inlineStr">
        <is>
          <t>Paola Cruz</t>
        </is>
      </c>
      <c r="L16" t="inlineStr">
        <is>
          <t>Mario Sorto Castillo</t>
        </is>
      </c>
      <c r="M16" t="inlineStr">
        <is>
          <t>09824839-0</t>
        </is>
      </c>
      <c r="N16" t="inlineStr">
        <is>
          <t>7450-4234</t>
        </is>
      </c>
      <c r="O16" t="inlineStr">
        <is>
          <t>Consumidor final</t>
        </is>
      </c>
      <c r="P16" t="inlineStr">
        <is>
          <t>AZU-001</t>
        </is>
      </c>
      <c r="Q16" t="inlineStr">
        <is>
          <t>Azúcar blanca 2.5kg</t>
        </is>
      </c>
      <c r="R16" t="inlineStr">
        <is>
          <t>Abarrotes</t>
        </is>
      </c>
      <c r="S16" t="inlineStr">
        <is>
          <t>Granos del Pacífico</t>
        </is>
      </c>
      <c r="T16" t="inlineStr">
        <is>
          <t>2234-8890</t>
        </is>
      </c>
      <c r="U16" t="n">
        <v>3.1</v>
      </c>
      <c r="V16" t="n">
        <v>3</v>
      </c>
      <c r="W16" t="n">
        <v>0</v>
      </c>
      <c r="X16">
        <f>IFERROR(U16*V16*(1-W16/100),"")</f>
        <v/>
      </c>
      <c r="Y16">
        <f>IFERROR(ROUND(X16*0.13,2),"")</f>
        <v/>
      </c>
      <c r="Z16">
        <f>IFERROR(X16+Y16,"")</f>
        <v/>
      </c>
      <c r="AA16" t="inlineStr">
        <is>
          <t>Efectivo</t>
        </is>
      </c>
      <c r="AB16" t="inlineStr">
        <is>
          <t>precio especial autorizado por gerente</t>
        </is>
      </c>
    </row>
    <row r="17">
      <c r="A17" t="inlineStr">
        <is>
          <t>F-10464</t>
        </is>
      </c>
      <c r="B17" s="3" t="n">
        <v>46248</v>
      </c>
      <c r="C17" t="inlineStr">
        <is>
          <t>factura</t>
        </is>
      </c>
      <c r="D17" t="inlineStr">
        <is>
          <t>SM01</t>
        </is>
      </c>
      <c r="E17" t="inlineStr">
        <is>
          <t>S. Miguel</t>
        </is>
      </c>
      <c r="F17" t="inlineStr">
        <is>
          <t>Av. Roosevelt Sur #7</t>
        </is>
      </c>
      <c r="G17" t="inlineStr">
        <is>
          <t>San Miguel</t>
        </is>
      </c>
      <c r="H17" t="inlineStr">
        <is>
          <t>San Miguel</t>
        </is>
      </c>
      <c r="I17" t="inlineStr">
        <is>
          <t>Iris Portillo</t>
        </is>
      </c>
      <c r="J17" t="inlineStr">
        <is>
          <t>2661-5076</t>
        </is>
      </c>
      <c r="K17" t="inlineStr">
        <is>
          <t>Paola Cruz</t>
        </is>
      </c>
      <c r="L17" t="inlineStr">
        <is>
          <t>Mario Sorto Castillo</t>
        </is>
      </c>
      <c r="M17" t="inlineStr">
        <is>
          <t>09824839-0</t>
        </is>
      </c>
      <c r="N17" t="inlineStr">
        <is>
          <t>7450-4234</t>
        </is>
      </c>
      <c r="O17" t="inlineStr">
        <is>
          <t>Consumidor final</t>
        </is>
      </c>
      <c r="P17" t="inlineStr">
        <is>
          <t>HIG-002</t>
        </is>
      </c>
      <c r="Q17" t="inlineStr">
        <is>
          <t>Papel higiénico 4 rollos</t>
        </is>
      </c>
      <c r="R17" t="inlineStr">
        <is>
          <t>Higiene</t>
        </is>
      </c>
      <c r="S17" t="inlineStr">
        <is>
          <t>Higiene Total C.A.</t>
        </is>
      </c>
      <c r="T17" t="inlineStr">
        <is>
          <t>2207-5566</t>
        </is>
      </c>
      <c r="U17" t="n">
        <v>2.15</v>
      </c>
      <c r="V17" t="n">
        <v>-24</v>
      </c>
      <c r="W17" t="n">
        <v>0</v>
      </c>
      <c r="X17">
        <f>IFERROR(U17*V17*(1-W17/100),"")</f>
        <v/>
      </c>
      <c r="Y17">
        <f>IFERROR(ROUND(X17*0.13,2),"")</f>
        <v/>
      </c>
      <c r="Z17">
        <f>IFERROR(X17+Y17,"")</f>
        <v/>
      </c>
      <c r="AA17" t="inlineStr">
        <is>
          <t>Efectivo</t>
        </is>
      </c>
      <c r="AB17" t="inlineStr"/>
    </row>
    <row r="18">
      <c r="A18" t="inlineStr">
        <is>
          <t>F-10464</t>
        </is>
      </c>
      <c r="B18" s="3" t="n">
        <v>46248</v>
      </c>
      <c r="C18" t="inlineStr">
        <is>
          <t>factura</t>
        </is>
      </c>
      <c r="D18" t="inlineStr">
        <is>
          <t>SM01</t>
        </is>
      </c>
      <c r="E18" t="inlineStr">
        <is>
          <t>S. Miguel</t>
        </is>
      </c>
      <c r="F18" t="inlineStr">
        <is>
          <t>Av. Roosevelt Sur #7</t>
        </is>
      </c>
      <c r="G18" t="inlineStr">
        <is>
          <t>San Miguel</t>
        </is>
      </c>
      <c r="H18" t="inlineStr">
        <is>
          <t>San Miguel</t>
        </is>
      </c>
      <c r="I18" t="inlineStr">
        <is>
          <t>Iris Portillo</t>
        </is>
      </c>
      <c r="J18" t="inlineStr">
        <is>
          <t>2661-5076</t>
        </is>
      </c>
      <c r="K18" t="inlineStr">
        <is>
          <t>Paola Cruz</t>
        </is>
      </c>
      <c r="L18" t="inlineStr">
        <is>
          <t>Mario Sorto Castillo</t>
        </is>
      </c>
      <c r="M18" t="inlineStr">
        <is>
          <t>09824839-0</t>
        </is>
      </c>
      <c r="N18" t="inlineStr">
        <is>
          <t>7450-4234</t>
        </is>
      </c>
      <c r="O18" t="inlineStr">
        <is>
          <t>Consumidor final</t>
        </is>
      </c>
      <c r="P18" t="inlineStr">
        <is>
          <t>LAC-003</t>
        </is>
      </c>
      <c r="Q18" t="inlineStr">
        <is>
          <t>Leche entera 1L</t>
        </is>
      </c>
      <c r="R18" t="inlineStr">
        <is>
          <t>Lácteos</t>
        </is>
      </c>
      <c r="S18" t="inlineStr">
        <is>
          <t>Lácteos Chalate</t>
        </is>
      </c>
      <c r="T18" t="inlineStr">
        <is>
          <t>2335-1020</t>
        </is>
      </c>
      <c r="U18" t="n">
        <v>1.2</v>
      </c>
      <c r="V18" t="n">
        <v>1</v>
      </c>
      <c r="W18" t="n">
        <v>0</v>
      </c>
      <c r="X18">
        <f>IFERROR(U18*V18*(1-W18/100),"")</f>
        <v/>
      </c>
      <c r="Y18">
        <f>IFERROR(ROUND(X18*0.13,2),"")</f>
        <v/>
      </c>
      <c r="Z18">
        <f>IFERROR(X18+Y18,"")</f>
        <v/>
      </c>
      <c r="AA18" t="inlineStr">
        <is>
          <t>Efectivo</t>
        </is>
      </c>
      <c r="AB18" t="inlineStr">
        <is>
          <t>Cliente frecuente</t>
        </is>
      </c>
    </row>
    <row r="19">
      <c r="A19" t="inlineStr">
        <is>
          <t>F-10464</t>
        </is>
      </c>
      <c r="B19" s="3" t="n">
        <v>46248</v>
      </c>
      <c r="C19" t="inlineStr">
        <is>
          <t>factura</t>
        </is>
      </c>
      <c r="D19" t="inlineStr">
        <is>
          <t>SM01</t>
        </is>
      </c>
      <c r="E19" t="inlineStr">
        <is>
          <t>SAN MIGUEL</t>
        </is>
      </c>
      <c r="F19" t="inlineStr">
        <is>
          <t>Av. Roosevelt Sur #7</t>
        </is>
      </c>
      <c r="G19" t="inlineStr">
        <is>
          <t>San Miguel</t>
        </is>
      </c>
      <c r="H19" t="inlineStr">
        <is>
          <t>San Miguel</t>
        </is>
      </c>
      <c r="I19" t="inlineStr">
        <is>
          <t>Iris Portillo</t>
        </is>
      </c>
      <c r="J19" t="inlineStr">
        <is>
          <t>2661-5076</t>
        </is>
      </c>
      <c r="K19" t="inlineStr">
        <is>
          <t>Paola Cruz</t>
        </is>
      </c>
      <c r="L19" t="inlineStr">
        <is>
          <t>Mario Sorto Castillo</t>
        </is>
      </c>
      <c r="M19" t="inlineStr">
        <is>
          <t>09824839-0</t>
        </is>
      </c>
      <c r="N19" t="inlineStr">
        <is>
          <t>7450-4234</t>
        </is>
      </c>
      <c r="O19" t="inlineStr">
        <is>
          <t>Consumidor final</t>
        </is>
      </c>
      <c r="P19" t="inlineStr">
        <is>
          <t>HAR-001</t>
        </is>
      </c>
      <c r="Q19" t="inlineStr">
        <is>
          <t>Harina de maíz 2lb</t>
        </is>
      </c>
      <c r="R19" t="inlineStr">
        <is>
          <t>Abarrotes</t>
        </is>
      </c>
      <c r="S19" t="inlineStr">
        <is>
          <t>Granos del Pacífico</t>
        </is>
      </c>
      <c r="T19" t="inlineStr">
        <is>
          <t>2234-8890</t>
        </is>
      </c>
      <c r="U19" t="n">
        <v>1.35</v>
      </c>
      <c r="V19" t="n">
        <v>1</v>
      </c>
      <c r="W19" t="n">
        <v>0</v>
      </c>
      <c r="X19">
        <f>IFERROR(U19*V19*(1-W19/100),"")</f>
        <v/>
      </c>
      <c r="Y19">
        <f>IFERROR(ROUND(X19*0.13,2),"")</f>
        <v/>
      </c>
      <c r="Z19">
        <f>IFERROR(X19+Y19,"")</f>
        <v/>
      </c>
      <c r="AA19" t="inlineStr">
        <is>
          <t>Efectivo</t>
        </is>
      </c>
      <c r="AB19" t="inlineStr"/>
    </row>
    <row r="20">
      <c r="A20" t="inlineStr">
        <is>
          <t>F-10465</t>
        </is>
      </c>
      <c r="B20" s="3" t="n">
        <v>46244</v>
      </c>
      <c r="C20" t="inlineStr">
        <is>
          <t>Factura</t>
        </is>
      </c>
      <c r="D20" t="inlineStr">
        <is>
          <t>SS02</t>
        </is>
      </c>
      <c r="E20" t="inlineStr">
        <is>
          <t>Escalon</t>
        </is>
      </c>
      <c r="F20" t="inlineStr">
        <is>
          <t>Paseo General Escalón #3910</t>
        </is>
      </c>
      <c r="G20" t="inlineStr">
        <is>
          <t>San Salvador</t>
        </is>
      </c>
      <c r="H20" t="inlineStr">
        <is>
          <t>San Salvador</t>
        </is>
      </c>
      <c r="I20" t="inlineStr">
        <is>
          <t>Claudia Menjívar</t>
        </is>
      </c>
      <c r="J20" t="inlineStr">
        <is>
          <t>2264-1190</t>
        </is>
      </c>
      <c r="K20" t="inlineStr">
        <is>
          <t>Fátima Rosales</t>
        </is>
      </c>
      <c r="L20" t="inlineStr">
        <is>
          <t>Walter Hernández Flores</t>
        </is>
      </c>
      <c r="M20" t="inlineStr">
        <is>
          <t>01412764-4</t>
        </is>
      </c>
      <c r="N20" t="inlineStr">
        <is>
          <t>6659-5342</t>
        </is>
      </c>
      <c r="O20" t="inlineStr">
        <is>
          <t>Consumidor final</t>
        </is>
      </c>
      <c r="P20" t="inlineStr">
        <is>
          <t>LAC-002</t>
        </is>
      </c>
      <c r="Q20" t="inlineStr">
        <is>
          <t>Crema 500ml</t>
        </is>
      </c>
      <c r="R20" t="inlineStr">
        <is>
          <t>Lacteos</t>
        </is>
      </c>
      <c r="S20" t="inlineStr">
        <is>
          <t>Lácteos Chalate</t>
        </is>
      </c>
      <c r="T20" t="inlineStr">
        <is>
          <t>7120-4455</t>
        </is>
      </c>
      <c r="U20" t="n">
        <v>2.25</v>
      </c>
      <c r="V20" t="n">
        <v>1</v>
      </c>
      <c r="W20" t="n">
        <v>0</v>
      </c>
      <c r="X20">
        <f>IFERROR(U20*V20*(1-W20/100),"")</f>
        <v/>
      </c>
      <c r="Y20">
        <f>IFERROR(ROUND(X20*0.13,2),"")</f>
        <v/>
      </c>
      <c r="Z20">
        <f>IFERROR(X20+Y20,"")</f>
        <v/>
      </c>
      <c r="AA20" t="inlineStr">
        <is>
          <t>Tarjeta</t>
        </is>
      </c>
      <c r="AB20" t="inlineStr">
        <is>
          <t>Cliente frecuente</t>
        </is>
      </c>
    </row>
    <row r="21">
      <c r="A21" t="inlineStr">
        <is>
          <t>F-10465</t>
        </is>
      </c>
      <c r="B21" s="3" t="n">
        <v>46244</v>
      </c>
      <c r="C21" t="inlineStr">
        <is>
          <t>Factura</t>
        </is>
      </c>
      <c r="D21" t="inlineStr">
        <is>
          <t>SS02</t>
        </is>
      </c>
      <c r="E21" t="inlineStr">
        <is>
          <t>Escalón</t>
        </is>
      </c>
      <c r="F21" t="inlineStr">
        <is>
          <t>Paseo General Escalón #3910</t>
        </is>
      </c>
      <c r="G21" t="inlineStr">
        <is>
          <t>San Salvador</t>
        </is>
      </c>
      <c r="H21" t="inlineStr">
        <is>
          <t>San Salvador</t>
        </is>
      </c>
      <c r="I21" t="inlineStr">
        <is>
          <t>Claudia Menjívar</t>
        </is>
      </c>
      <c r="J21" t="inlineStr">
        <is>
          <t>2264-1190</t>
        </is>
      </c>
      <c r="K21" t="inlineStr">
        <is>
          <t>Fátima Rosales</t>
        </is>
      </c>
      <c r="L21" t="inlineStr">
        <is>
          <t>Walter Hernández Flores</t>
        </is>
      </c>
      <c r="M21" t="inlineStr"/>
      <c r="N21" t="inlineStr">
        <is>
          <t>6659-5342</t>
        </is>
      </c>
      <c r="O21" t="inlineStr">
        <is>
          <t>Consumidor final</t>
        </is>
      </c>
      <c r="P21" t="inlineStr">
        <is>
          <t>BEB-002</t>
        </is>
      </c>
      <c r="Q21" t="inlineStr">
        <is>
          <t>Agua purificada 1 galón</t>
        </is>
      </c>
      <c r="R21" t="inlineStr">
        <is>
          <t>Bebidas</t>
        </is>
      </c>
      <c r="S21" t="inlineStr">
        <is>
          <t>Bebidas Izalco</t>
        </is>
      </c>
      <c r="T21" t="inlineStr">
        <is>
          <t>2450-7700</t>
        </is>
      </c>
      <c r="U21" t="n">
        <v>1.1</v>
      </c>
      <c r="V21" t="n">
        <v>2</v>
      </c>
      <c r="W21" t="n">
        <v>0</v>
      </c>
      <c r="X21">
        <f>IFERROR(U21*V21*(1-W21/100),"")</f>
        <v/>
      </c>
      <c r="Y21">
        <f>IFERROR(ROUND(X21*0.13,2),"")</f>
        <v/>
      </c>
      <c r="Z21">
        <f>IFERROR(X21+Y21,"")</f>
        <v/>
      </c>
      <c r="AA21" t="inlineStr">
        <is>
          <t>Tarjeta</t>
        </is>
      </c>
      <c r="AB21" t="inlineStr">
        <is>
          <t>Llamar al 7788-1234 antes de entregar</t>
        </is>
      </c>
    </row>
    <row r="22">
      <c r="A22" t="inlineStr">
        <is>
          <t>F-10465</t>
        </is>
      </c>
      <c r="B22" s="3" t="n">
        <v>46244</v>
      </c>
      <c r="C22" t="inlineStr">
        <is>
          <t>Factura</t>
        </is>
      </c>
      <c r="D22" t="inlineStr">
        <is>
          <t>SS02</t>
        </is>
      </c>
      <c r="E22" t="inlineStr">
        <is>
          <t>Escalon</t>
        </is>
      </c>
      <c r="F22" t="inlineStr">
        <is>
          <t>Paseo General Escalón #3910</t>
        </is>
      </c>
      <c r="G22" t="inlineStr">
        <is>
          <t>San Salvador</t>
        </is>
      </c>
      <c r="H22" t="inlineStr">
        <is>
          <t>San Salvador</t>
        </is>
      </c>
      <c r="I22" t="inlineStr">
        <is>
          <t>Claudia Menjívar</t>
        </is>
      </c>
      <c r="J22" t="inlineStr">
        <is>
          <t>2264-1190</t>
        </is>
      </c>
      <c r="K22" t="inlineStr">
        <is>
          <t>Fátima Rosales</t>
        </is>
      </c>
      <c r="L22" t="inlineStr">
        <is>
          <t>Walter Hernández Flores</t>
        </is>
      </c>
      <c r="M22" t="inlineStr">
        <is>
          <t>01412764-4</t>
        </is>
      </c>
      <c r="N22" t="inlineStr">
        <is>
          <t>6659-5342</t>
        </is>
      </c>
      <c r="O22" t="inlineStr">
        <is>
          <t>Consumidor final</t>
        </is>
      </c>
      <c r="P22" t="inlineStr">
        <is>
          <t>AZU-001</t>
        </is>
      </c>
      <c r="Q22" t="inlineStr">
        <is>
          <t>Azúcar blanca 2.5kg</t>
        </is>
      </c>
      <c r="R22" t="inlineStr">
        <is>
          <t>Abarrotes</t>
        </is>
      </c>
      <c r="S22" t="inlineStr">
        <is>
          <t>Granos del Pacífico</t>
        </is>
      </c>
      <c r="T22" t="inlineStr">
        <is>
          <t>2234-8890</t>
        </is>
      </c>
      <c r="U22" t="n">
        <v>3.1</v>
      </c>
      <c r="V22" t="n">
        <v>12</v>
      </c>
      <c r="W22" t="n">
        <v>0</v>
      </c>
      <c r="X22">
        <f>IFERROR(U22*V22*(1-W22/100),"")</f>
        <v/>
      </c>
      <c r="Y22">
        <f>IFERROR(ROUND(X22*0.13,2),"")</f>
        <v/>
      </c>
      <c r="Z22">
        <f>IFERROR(X22+Y22,"")</f>
        <v/>
      </c>
      <c r="AA22" t="inlineStr">
        <is>
          <t>Tarjeta</t>
        </is>
      </c>
      <c r="AB22" t="inlineStr"/>
    </row>
    <row r="23">
      <c r="A23" t="inlineStr">
        <is>
          <t>F-10468</t>
        </is>
      </c>
      <c r="B23" s="3" t="n">
        <v>46219</v>
      </c>
      <c r="C23" t="inlineStr">
        <is>
          <t>factura</t>
        </is>
      </c>
      <c r="D23" t="inlineStr">
        <is>
          <t>SS02</t>
        </is>
      </c>
      <c r="E23" t="inlineStr">
        <is>
          <t>Col. Escalón</t>
        </is>
      </c>
      <c r="F23" t="inlineStr">
        <is>
          <t>Paseo General Escalón #3910</t>
        </is>
      </c>
      <c r="G23" t="inlineStr">
        <is>
          <t>San Salvador</t>
        </is>
      </c>
      <c r="H23" t="inlineStr">
        <is>
          <t>San Salvador</t>
        </is>
      </c>
      <c r="I23" t="inlineStr">
        <is>
          <t>Claudia Menjívar</t>
        </is>
      </c>
      <c r="J23" t="inlineStr">
        <is>
          <t>2264-1190</t>
        </is>
      </c>
      <c r="K23" t="inlineStr">
        <is>
          <t>Kevin Benítez</t>
        </is>
      </c>
      <c r="L23" t="inlineStr">
        <is>
          <t>Xiomara Hernández Quintanilla</t>
        </is>
      </c>
      <c r="M23" t="inlineStr">
        <is>
          <t>06385104-8</t>
        </is>
      </c>
      <c r="N23" t="inlineStr">
        <is>
          <t>7931-3589</t>
        </is>
      </c>
      <c r="O23" t="inlineStr">
        <is>
          <t>Consumidor final</t>
        </is>
      </c>
      <c r="P23" t="inlineStr">
        <is>
          <t>HIG-002</t>
        </is>
      </c>
      <c r="Q23" t="inlineStr">
        <is>
          <t>Papel higiénico 4 rollos</t>
        </is>
      </c>
      <c r="R23" t="inlineStr">
        <is>
          <t>Limpieza</t>
        </is>
      </c>
      <c r="S23" t="inlineStr">
        <is>
          <t>Higiene Total C.A.</t>
        </is>
      </c>
      <c r="T23" t="inlineStr">
        <is>
          <t>2207-5566</t>
        </is>
      </c>
      <c r="U23" t="inlineStr">
        <is>
          <t>$2.15</t>
        </is>
      </c>
      <c r="V23" t="n">
        <v>3</v>
      </c>
      <c r="W23" t="n">
        <v>0</v>
      </c>
      <c r="X23">
        <f>IFERROR(U23*V23*(1-W23/100),"")</f>
        <v/>
      </c>
      <c r="Y23">
        <f>IFERROR(ROUND(X23*0.13,2),"")</f>
        <v/>
      </c>
      <c r="Z23">
        <f>IFERROR(X23+Y23,"")</f>
        <v/>
      </c>
      <c r="AA23" t="inlineStr">
        <is>
          <t>Efectivo</t>
        </is>
      </c>
      <c r="AB23" t="inlineStr"/>
    </row>
    <row r="24">
      <c r="A24" t="inlineStr">
        <is>
          <t>F-10468</t>
        </is>
      </c>
      <c r="B24" s="3" t="n">
        <v>46219</v>
      </c>
      <c r="C24" t="inlineStr">
        <is>
          <t>factura</t>
        </is>
      </c>
      <c r="D24" t="inlineStr">
        <is>
          <t>SS02</t>
        </is>
      </c>
      <c r="E24" t="inlineStr">
        <is>
          <t>Escalón</t>
        </is>
      </c>
      <c r="F24" t="inlineStr">
        <is>
          <t>Paseo General Escalón #3910</t>
        </is>
      </c>
      <c r="G24" t="inlineStr">
        <is>
          <t>San Salvador</t>
        </is>
      </c>
      <c r="H24" t="inlineStr">
        <is>
          <t>San Salvador</t>
        </is>
      </c>
      <c r="I24" t="inlineStr">
        <is>
          <t>Claudia Menjívar</t>
        </is>
      </c>
      <c r="J24" t="inlineStr">
        <is>
          <t>2264-1190</t>
        </is>
      </c>
      <c r="K24" t="inlineStr">
        <is>
          <t>Kevin Benítez</t>
        </is>
      </c>
      <c r="L24" t="inlineStr">
        <is>
          <t>Xiomara Hernández Quintanilla</t>
        </is>
      </c>
      <c r="M24" t="inlineStr">
        <is>
          <t>06385104-8</t>
        </is>
      </c>
      <c r="N24" t="inlineStr">
        <is>
          <t>7931-3589</t>
        </is>
      </c>
      <c r="O24" t="inlineStr">
        <is>
          <t>Consumidor final</t>
        </is>
      </c>
      <c r="P24" t="inlineStr">
        <is>
          <t>BEB-002</t>
        </is>
      </c>
      <c r="Q24" t="inlineStr">
        <is>
          <t>Agua purificada 1 galón</t>
        </is>
      </c>
      <c r="R24" t="inlineStr">
        <is>
          <t>Bebidas</t>
        </is>
      </c>
      <c r="S24" t="inlineStr">
        <is>
          <t>Bebidas Izalco</t>
        </is>
      </c>
      <c r="T24" t="inlineStr">
        <is>
          <t>2450-7700</t>
        </is>
      </c>
      <c r="U24" t="inlineStr">
        <is>
          <t>$1.10</t>
        </is>
      </c>
      <c r="V24" t="n">
        <v>2</v>
      </c>
      <c r="W24" t="n">
        <v>0</v>
      </c>
      <c r="X24">
        <f>IFERROR(U24*V24*(1-W24/100),"")</f>
        <v/>
      </c>
      <c r="Y24">
        <f>IFERROR(ROUND(X24*0.13,2),"")</f>
        <v/>
      </c>
      <c r="Z24">
        <f>IFERROR(X24+Y24,"")</f>
        <v/>
      </c>
      <c r="AA24" t="inlineStr">
        <is>
          <t>Efectivo</t>
        </is>
      </c>
      <c r="AB24" t="inlineStr"/>
    </row>
    <row r="25">
      <c r="A25" t="inlineStr">
        <is>
          <t>F-10468</t>
        </is>
      </c>
      <c r="B25" t="inlineStr">
        <is>
          <t>16-Jul-26</t>
        </is>
      </c>
      <c r="C25" t="inlineStr">
        <is>
          <t>factura</t>
        </is>
      </c>
      <c r="D25" t="inlineStr">
        <is>
          <t>SS02</t>
        </is>
      </c>
      <c r="E25" t="inlineStr">
        <is>
          <t>Col. Escalón</t>
        </is>
      </c>
      <c r="F25" t="inlineStr">
        <is>
          <t>Paseo General Escalón #3910</t>
        </is>
      </c>
      <c r="G25" t="inlineStr">
        <is>
          <t>San Salvador</t>
        </is>
      </c>
      <c r="H25" t="inlineStr">
        <is>
          <t>San Salvador</t>
        </is>
      </c>
      <c r="I25" t="inlineStr">
        <is>
          <t>Claudia Menjívar</t>
        </is>
      </c>
      <c r="J25" t="inlineStr">
        <is>
          <t>2264-1190</t>
        </is>
      </c>
      <c r="K25" t="inlineStr">
        <is>
          <t>Kevin Benítez</t>
        </is>
      </c>
      <c r="L25" t="inlineStr">
        <is>
          <t>Xiomara Hernández Quintanilla</t>
        </is>
      </c>
      <c r="M25" t="inlineStr">
        <is>
          <t>06385104-8</t>
        </is>
      </c>
      <c r="N25" t="inlineStr">
        <is>
          <t>7931-3589</t>
        </is>
      </c>
      <c r="O25" t="inlineStr">
        <is>
          <t>Consumidor final</t>
        </is>
      </c>
      <c r="P25" t="inlineStr">
        <is>
          <t>ARR-001</t>
        </is>
      </c>
      <c r="Q25" t="inlineStr">
        <is>
          <t>Arroz blanco 5lb</t>
        </is>
      </c>
      <c r="R25" t="inlineStr">
        <is>
          <t>Abarrotes</t>
        </is>
      </c>
      <c r="S25" t="inlineStr">
        <is>
          <t>Granos del Pacífico</t>
        </is>
      </c>
      <c r="T25" t="inlineStr">
        <is>
          <t>2234-8890</t>
        </is>
      </c>
      <c r="U25" t="n">
        <v>3.95</v>
      </c>
      <c r="V25" t="n">
        <v>3</v>
      </c>
      <c r="W25" t="n">
        <v>0</v>
      </c>
      <c r="X25">
        <f>IFERROR(U25*V25*(1-W25/100),"")</f>
        <v/>
      </c>
      <c r="Y25">
        <f>IFERROR(ROUND(X25*0.13,2),"")</f>
        <v/>
      </c>
      <c r="Z25">
        <f>IFERROR(X25+Y25,"")</f>
        <v/>
      </c>
      <c r="AA25" t="inlineStr">
        <is>
          <t>Efectivo</t>
        </is>
      </c>
      <c r="AB25" t="inlineStr">
        <is>
          <t>precio especial autorizado por gerente</t>
        </is>
      </c>
    </row>
    <row r="26">
      <c r="A26" t="inlineStr">
        <is>
          <t>F-10471</t>
        </is>
      </c>
      <c r="B26" t="inlineStr">
        <is>
          <t>02/09/2026</t>
        </is>
      </c>
      <c r="C26" t="inlineStr">
        <is>
          <t>CCF</t>
        </is>
      </c>
      <c r="D26" t="inlineStr">
        <is>
          <t>LL02</t>
        </is>
      </c>
      <c r="E26" t="inlineStr">
        <is>
          <t>Puerto de La Libertad</t>
        </is>
      </c>
      <c r="F26" t="inlineStr">
        <is>
          <t>Calle El Malecón, Local 4</t>
        </is>
      </c>
      <c r="G26" t="inlineStr">
        <is>
          <t>La Libertad</t>
        </is>
      </c>
      <c r="H26" t="inlineStr">
        <is>
          <t>La Libertad</t>
        </is>
      </c>
      <c r="I26" t="inlineStr">
        <is>
          <t>Wendy Aguilar</t>
        </is>
      </c>
      <c r="J26" t="inlineStr">
        <is>
          <t>2335-6140</t>
        </is>
      </c>
      <c r="K26" t="inlineStr">
        <is>
          <t>Gabriela Saravia</t>
        </is>
      </c>
      <c r="L26" t="inlineStr">
        <is>
          <t>Restaurante El Guanaco</t>
        </is>
      </c>
      <c r="M26" t="inlineStr">
        <is>
          <t>168675-3</t>
        </is>
      </c>
      <c r="N26" t="inlineStr">
        <is>
          <t>6165-7029</t>
        </is>
      </c>
      <c r="O26" t="inlineStr">
        <is>
          <t>Contribuyente</t>
        </is>
      </c>
      <c r="P26" t="inlineStr">
        <is>
          <t>CAF-002</t>
        </is>
      </c>
      <c r="Q26" t="inlineStr">
        <is>
          <t>Café en grano 1lb</t>
        </is>
      </c>
      <c r="R26" t="inlineStr">
        <is>
          <t>Abarrotes</t>
        </is>
      </c>
      <c r="S26" t="inlineStr">
        <is>
          <t>Café Volcán S.A.</t>
        </is>
      </c>
      <c r="T26" t="inlineStr">
        <is>
          <t>2510-3344</t>
        </is>
      </c>
      <c r="U26" t="n">
        <v>6.75</v>
      </c>
      <c r="V26" t="n">
        <v>3</v>
      </c>
      <c r="W26" t="n">
        <v>10</v>
      </c>
      <c r="X26">
        <f>IFERROR(U26*V26*(1-W26/100),"")</f>
        <v/>
      </c>
      <c r="Y26">
        <f>IFERROR(ROUND(X26*0.13,2),"")</f>
        <v/>
      </c>
      <c r="Z26">
        <f>IFERROR(X26+Y26,"")</f>
        <v/>
      </c>
      <c r="AA26" t="inlineStr">
        <is>
          <t>Tarjeta</t>
        </is>
      </c>
      <c r="AB26" t="inlineStr">
        <is>
          <t>entregar en bodega</t>
        </is>
      </c>
    </row>
    <row r="27">
      <c r="A27" t="inlineStr">
        <is>
          <t>F-10471</t>
        </is>
      </c>
      <c r="B27" t="inlineStr">
        <is>
          <t>02/09/2026</t>
        </is>
      </c>
      <c r="C27" t="inlineStr">
        <is>
          <t>CCF</t>
        </is>
      </c>
      <c r="D27" t="inlineStr">
        <is>
          <t>LL02</t>
        </is>
      </c>
      <c r="E27" t="inlineStr">
        <is>
          <t>La Libertad Puerto</t>
        </is>
      </c>
      <c r="F27" t="inlineStr">
        <is>
          <t>Calle El Malecón, Local 4</t>
        </is>
      </c>
      <c r="G27" t="inlineStr">
        <is>
          <t>La Libertad</t>
        </is>
      </c>
      <c r="H27" t="inlineStr">
        <is>
          <t>La Libertad</t>
        </is>
      </c>
      <c r="I27" t="inlineStr">
        <is>
          <t>Wendy Aguilar</t>
        </is>
      </c>
      <c r="J27" t="inlineStr">
        <is>
          <t>2335-6140</t>
        </is>
      </c>
      <c r="K27" t="inlineStr">
        <is>
          <t>Gabriela Saravia</t>
        </is>
      </c>
      <c r="L27" t="inlineStr">
        <is>
          <t>Restaurante El Guanaco</t>
        </is>
      </c>
      <c r="M27" t="inlineStr">
        <is>
          <t>168675-3</t>
        </is>
      </c>
      <c r="N27" t="inlineStr">
        <is>
          <t>6165-7029</t>
        </is>
      </c>
      <c r="O27" t="inlineStr">
        <is>
          <t>Contribuyente</t>
        </is>
      </c>
      <c r="P27" t="inlineStr">
        <is>
          <t>HIG-001</t>
        </is>
      </c>
      <c r="Q27" t="inlineStr">
        <is>
          <t>Detergente 1kg</t>
        </is>
      </c>
      <c r="R27" t="inlineStr">
        <is>
          <t>Higiene</t>
        </is>
      </c>
      <c r="S27" t="inlineStr">
        <is>
          <t>Higiene Total C.A.</t>
        </is>
      </c>
      <c r="T27" t="inlineStr">
        <is>
          <t>2207-5566</t>
        </is>
      </c>
      <c r="U27" t="inlineStr">
        <is>
          <t>3,45</t>
        </is>
      </c>
      <c r="V27" t="n">
        <v>2</v>
      </c>
      <c r="W27" t="n">
        <v>5</v>
      </c>
      <c r="X27">
        <f>IFERROR(U27*V27*(1-W27/100),"")</f>
        <v/>
      </c>
      <c r="Y27">
        <f>IFERROR(ROUND(X27*0.13,2),"")</f>
        <v/>
      </c>
      <c r="Z27">
        <f>IFERROR(X27+Y27,"")</f>
        <v/>
      </c>
      <c r="AA27" t="inlineStr">
        <is>
          <t>Tarjeta</t>
        </is>
      </c>
      <c r="AB27" t="inlineStr"/>
    </row>
    <row r="28">
      <c r="A28" t="inlineStr">
        <is>
          <t>F-10471</t>
        </is>
      </c>
      <c r="B28" s="3" t="n">
        <v>46267</v>
      </c>
      <c r="C28" t="inlineStr">
        <is>
          <t>CCF</t>
        </is>
      </c>
      <c r="D28" t="inlineStr">
        <is>
          <t>LL02</t>
        </is>
      </c>
      <c r="E28" t="inlineStr">
        <is>
          <t>Pto. La Libertad</t>
        </is>
      </c>
      <c r="F28" t="inlineStr">
        <is>
          <t>Calle El Malecón, Local 4</t>
        </is>
      </c>
      <c r="G28" t="inlineStr">
        <is>
          <t>La Libertad</t>
        </is>
      </c>
      <c r="H28" t="inlineStr">
        <is>
          <t>La Libertad</t>
        </is>
      </c>
      <c r="I28" t="inlineStr">
        <is>
          <t>Wendy Aguilar</t>
        </is>
      </c>
      <c r="J28" t="inlineStr">
        <is>
          <t>2335-6140</t>
        </is>
      </c>
      <c r="K28" t="inlineStr">
        <is>
          <t>Gabriela Saravia</t>
        </is>
      </c>
      <c r="L28" t="inlineStr">
        <is>
          <t>Restaurante El Guanaco</t>
        </is>
      </c>
      <c r="M28" t="inlineStr">
        <is>
          <t>168675-3</t>
        </is>
      </c>
      <c r="N28" t="inlineStr">
        <is>
          <t>6165-7029</t>
        </is>
      </c>
      <c r="O28" t="inlineStr">
        <is>
          <t>Contribuyente</t>
        </is>
      </c>
      <c r="P28" t="inlineStr">
        <is>
          <t>HAR-001</t>
        </is>
      </c>
      <c r="Q28" t="inlineStr">
        <is>
          <t>Harina de maíz 2lb</t>
        </is>
      </c>
      <c r="R28" t="inlineStr">
        <is>
          <t>Abarrotes</t>
        </is>
      </c>
      <c r="S28" t="inlineStr">
        <is>
          <t>Granos del Pacífico</t>
        </is>
      </c>
      <c r="T28" t="inlineStr">
        <is>
          <t>2234-8890</t>
        </is>
      </c>
      <c r="U28" t="n">
        <v>1.35</v>
      </c>
      <c r="V28" t="n">
        <v>12</v>
      </c>
      <c r="W28" t="n">
        <v>0</v>
      </c>
      <c r="X28">
        <f>IFERROR(U28*V28*(1-W28/100),"")</f>
        <v/>
      </c>
      <c r="Y28">
        <f>IFERROR(ROUND(X28*0.13,2),"")</f>
        <v/>
      </c>
      <c r="Z28">
        <f>IFERROR(X28+Y28,"")</f>
        <v/>
      </c>
      <c r="AA28" t="inlineStr">
        <is>
          <t>Tarjeta</t>
        </is>
      </c>
      <c r="AB28" t="inlineStr">
        <is>
          <t>Cliente frecuente</t>
        </is>
      </c>
    </row>
    <row r="29">
      <c r="A29" t="inlineStr">
        <is>
          <t>F-10472</t>
        </is>
      </c>
      <c r="B29" s="3" t="n">
        <v>46238</v>
      </c>
      <c r="C29" t="inlineStr">
        <is>
          <t>Factura</t>
        </is>
      </c>
      <c r="D29" t="inlineStr">
        <is>
          <t>SS03</t>
        </is>
      </c>
      <c r="E29" t="inlineStr">
        <is>
          <t>Soyapango</t>
        </is>
      </c>
      <c r="F29" t="inlineStr">
        <is>
          <t>Blvd. del Ejército km 4</t>
        </is>
      </c>
      <c r="G29" t="inlineStr">
        <is>
          <t>Soyapango</t>
        </is>
      </c>
      <c r="H29" t="inlineStr">
        <is>
          <t>San Salvador</t>
        </is>
      </c>
      <c r="I29" t="inlineStr">
        <is>
          <t>Karla Henríquez</t>
        </is>
      </c>
      <c r="J29" t="inlineStr">
        <is>
          <t>2277-3402</t>
        </is>
      </c>
      <c r="K29" t="inlineStr">
        <is>
          <t>Marta Gómez</t>
        </is>
      </c>
      <c r="L29" t="inlineStr">
        <is>
          <t>Patricia Argueta Mejía</t>
        </is>
      </c>
      <c r="M29" t="inlineStr">
        <is>
          <t>01586554-3</t>
        </is>
      </c>
      <c r="N29" t="inlineStr">
        <is>
          <t>2105-2525</t>
        </is>
      </c>
      <c r="O29" t="inlineStr">
        <is>
          <t>Consumidor final</t>
        </is>
      </c>
      <c r="P29" t="inlineStr">
        <is>
          <t>PAN-001</t>
        </is>
      </c>
      <c r="Q29" t="inlineStr">
        <is>
          <t>Pan francés bolsa 10u</t>
        </is>
      </c>
      <c r="R29" t="inlineStr">
        <is>
          <t>Panadería</t>
        </is>
      </c>
      <c r="S29" t="inlineStr">
        <is>
          <t>Panificadora Ilopango</t>
        </is>
      </c>
      <c r="T29" t="inlineStr">
        <is>
          <t>2295-0081</t>
        </is>
      </c>
      <c r="U29" t="n">
        <v>1</v>
      </c>
      <c r="V29" t="n">
        <v>4</v>
      </c>
      <c r="W29" t="n">
        <v>0</v>
      </c>
      <c r="X29">
        <f>IFERROR(U29*V29*(1-W29/100),"")</f>
        <v/>
      </c>
      <c r="Y29">
        <f>IFERROR(ROUND(X29*0.13,2),"")</f>
        <v/>
      </c>
      <c r="Z29">
        <f>IFERROR(X29+Y29,"")</f>
        <v/>
      </c>
      <c r="AA29" t="inlineStr">
        <is>
          <t>Tarjeta</t>
        </is>
      </c>
      <c r="AB29" t="inlineStr">
        <is>
          <t>Cliente frecuente</t>
        </is>
      </c>
    </row>
    <row r="30">
      <c r="A30" t="inlineStr">
        <is>
          <t>F-10472</t>
        </is>
      </c>
      <c r="B30" t="inlineStr">
        <is>
          <t>2026-08-04</t>
        </is>
      </c>
      <c r="C30" t="inlineStr">
        <is>
          <t>Factura</t>
        </is>
      </c>
      <c r="D30" t="inlineStr">
        <is>
          <t>SS03</t>
        </is>
      </c>
      <c r="E30" t="inlineStr">
        <is>
          <t xml:space="preserve">SOYAPANGO </t>
        </is>
      </c>
      <c r="F30" t="inlineStr">
        <is>
          <t>Blvd. del Ejército km 4</t>
        </is>
      </c>
      <c r="G30" t="inlineStr">
        <is>
          <t>Soyapango</t>
        </is>
      </c>
      <c r="H30" t="inlineStr">
        <is>
          <t>San Salvador</t>
        </is>
      </c>
      <c r="I30" t="inlineStr">
        <is>
          <t>Karla Henríquez</t>
        </is>
      </c>
      <c r="J30" t="inlineStr">
        <is>
          <t>2277-3402</t>
        </is>
      </c>
      <c r="K30" t="inlineStr">
        <is>
          <t>Marta Gómez</t>
        </is>
      </c>
      <c r="L30" t="inlineStr">
        <is>
          <t>Patricia Argueta Mejía</t>
        </is>
      </c>
      <c r="M30" t="inlineStr">
        <is>
          <t>01586554-3</t>
        </is>
      </c>
      <c r="N30" t="inlineStr">
        <is>
          <t>2105-2525</t>
        </is>
      </c>
      <c r="O30" t="inlineStr">
        <is>
          <t>Consumidor final</t>
        </is>
      </c>
      <c r="P30" t="inlineStr">
        <is>
          <t>PAN-003</t>
        </is>
      </c>
      <c r="Q30" t="inlineStr">
        <is>
          <t>Quesadilla salvadoreña</t>
        </is>
      </c>
      <c r="R30" t="inlineStr">
        <is>
          <t>Panadería</t>
        </is>
      </c>
      <c r="S30" t="inlineStr">
        <is>
          <t>Panificadora Ilopango</t>
        </is>
      </c>
      <c r="T30" t="inlineStr">
        <is>
          <t>2295-0081</t>
        </is>
      </c>
      <c r="U30" t="n">
        <v>2.5</v>
      </c>
      <c r="V30" t="n">
        <v>1</v>
      </c>
      <c r="W30" t="n">
        <v>0</v>
      </c>
      <c r="X30">
        <f>IFERROR(U30*V30*(1-W30/100),"")</f>
        <v/>
      </c>
      <c r="Y30">
        <f>IFERROR(ROUND(X30*0.13,2),"")</f>
        <v/>
      </c>
      <c r="Z30">
        <f>IFERROR(X30+Y30,"")</f>
        <v/>
      </c>
      <c r="AA30" t="inlineStr">
        <is>
          <t>Tarjeta</t>
        </is>
      </c>
      <c r="AB30" t="inlineStr">
        <is>
          <t>entregar en bodega</t>
        </is>
      </c>
    </row>
    <row r="31">
      <c r="A31" t="inlineStr">
        <is>
          <t>F-10472</t>
        </is>
      </c>
      <c r="B31" s="3" t="n">
        <v>46238</v>
      </c>
      <c r="C31" t="inlineStr">
        <is>
          <t>Factura</t>
        </is>
      </c>
      <c r="D31" t="inlineStr">
        <is>
          <t>SS03</t>
        </is>
      </c>
      <c r="E31" t="inlineStr">
        <is>
          <t>Soyapango</t>
        </is>
      </c>
      <c r="F31" t="inlineStr">
        <is>
          <t>Blvd. del Ejército km 4</t>
        </is>
      </c>
      <c r="G31" t="inlineStr">
        <is>
          <t>Soyapango</t>
        </is>
      </c>
      <c r="H31" t="inlineStr">
        <is>
          <t>San Salvador</t>
        </is>
      </c>
      <c r="I31" t="inlineStr">
        <is>
          <t>Karla Henríquez</t>
        </is>
      </c>
      <c r="J31" t="inlineStr">
        <is>
          <t>2277-3402</t>
        </is>
      </c>
      <c r="K31" t="inlineStr">
        <is>
          <t>Marta Gómez</t>
        </is>
      </c>
      <c r="L31" t="inlineStr">
        <is>
          <t>Patricia Argueta Mejía</t>
        </is>
      </c>
      <c r="M31" t="inlineStr">
        <is>
          <t>01586554-3</t>
        </is>
      </c>
      <c r="N31" t="inlineStr">
        <is>
          <t>2105-2525</t>
        </is>
      </c>
      <c r="O31" t="inlineStr">
        <is>
          <t>Consumidor final</t>
        </is>
      </c>
      <c r="P31" t="inlineStr">
        <is>
          <t>BEB-002</t>
        </is>
      </c>
      <c r="Q31" t="inlineStr">
        <is>
          <t>Agua purificada 1 galón</t>
        </is>
      </c>
      <c r="R31" t="inlineStr">
        <is>
          <t>Bebidas</t>
        </is>
      </c>
      <c r="S31" t="inlineStr">
        <is>
          <t>Bebidas Izalco</t>
        </is>
      </c>
      <c r="T31" t="inlineStr">
        <is>
          <t>2450-7700</t>
        </is>
      </c>
      <c r="U31" t="n">
        <v>1.1</v>
      </c>
      <c r="V31" t="n">
        <v>1</v>
      </c>
      <c r="W31" t="n">
        <v>0</v>
      </c>
      <c r="X31">
        <f>IFERROR(U31*V31*(1-W31/100),"")</f>
        <v/>
      </c>
      <c r="Y31">
        <f>IFERROR(ROUND(X31*0.13,2),"")</f>
        <v/>
      </c>
      <c r="Z31">
        <f>IFERROR(X31+Y31,"")</f>
        <v/>
      </c>
      <c r="AA31" t="inlineStr">
        <is>
          <t>Tarjeta</t>
        </is>
      </c>
      <c r="AB31" t="inlineStr"/>
    </row>
    <row r="32">
      <c r="A32" t="inlineStr">
        <is>
          <t>F-10472</t>
        </is>
      </c>
      <c r="B32" t="inlineStr">
        <is>
          <t>04/08/2026</t>
        </is>
      </c>
      <c r="C32" t="inlineStr">
        <is>
          <t>Factura</t>
        </is>
      </c>
      <c r="D32" t="inlineStr">
        <is>
          <t>SS03</t>
        </is>
      </c>
      <c r="E32" t="inlineStr">
        <is>
          <t>Soyapango</t>
        </is>
      </c>
      <c r="F32" t="inlineStr">
        <is>
          <t>Blvd. del Ejército km 4</t>
        </is>
      </c>
      <c r="G32" t="inlineStr">
        <is>
          <t>Soyapango</t>
        </is>
      </c>
      <c r="H32" t="inlineStr">
        <is>
          <t>San Salvador</t>
        </is>
      </c>
      <c r="I32" t="inlineStr">
        <is>
          <t>Karla Henríquez</t>
        </is>
      </c>
      <c r="J32" t="inlineStr">
        <is>
          <t>2277-3402</t>
        </is>
      </c>
      <c r="K32" t="inlineStr">
        <is>
          <t>Marta Gómez</t>
        </is>
      </c>
      <c r="L32" t="inlineStr">
        <is>
          <t>Patricia Argueta Mejía</t>
        </is>
      </c>
      <c r="M32" t="inlineStr">
        <is>
          <t>01586554-3</t>
        </is>
      </c>
      <c r="N32" t="inlineStr">
        <is>
          <t>2105-2525</t>
        </is>
      </c>
      <c r="O32" t="inlineStr">
        <is>
          <t>Consumidor final</t>
        </is>
      </c>
      <c r="P32" t="inlineStr">
        <is>
          <t>CAF-001</t>
        </is>
      </c>
      <c r="Q32" t="inlineStr">
        <is>
          <t>Café molido 400g</t>
        </is>
      </c>
      <c r="R32" t="inlineStr">
        <is>
          <t>abarrotes</t>
        </is>
      </c>
      <c r="S32" t="inlineStr">
        <is>
          <t>Café Volcán S.A.</t>
        </is>
      </c>
      <c r="T32" t="inlineStr">
        <is>
          <t>2510-3344</t>
        </is>
      </c>
      <c r="U32" t="inlineStr">
        <is>
          <t>4,25</t>
        </is>
      </c>
      <c r="V32" t="n">
        <v>6</v>
      </c>
      <c r="W32" t="n">
        <v>0</v>
      </c>
      <c r="X32">
        <f>IFERROR(U32*V32*(1-W32/100),"")</f>
        <v/>
      </c>
      <c r="Y32">
        <f>IFERROR(ROUND(X32*0.13,2),"")</f>
        <v/>
      </c>
      <c r="Z32">
        <f>IFERROR(X32+Y32,"")</f>
        <v/>
      </c>
      <c r="AA32" t="inlineStr">
        <is>
          <t>Tarjeta</t>
        </is>
      </c>
      <c r="AB32" t="inlineStr">
        <is>
          <t>Cliente frecuente</t>
        </is>
      </c>
    </row>
    <row r="33">
      <c r="A33" t="inlineStr">
        <is>
          <t>F-10473</t>
        </is>
      </c>
      <c r="B33" s="3" t="n">
        <v>46232</v>
      </c>
      <c r="C33" t="inlineStr">
        <is>
          <t>Factura</t>
        </is>
      </c>
      <c r="D33" t="inlineStr">
        <is>
          <t>SA01</t>
        </is>
      </c>
      <c r="E33" t="inlineStr">
        <is>
          <t>Santa  Ana</t>
        </is>
      </c>
      <c r="F33" t="inlineStr">
        <is>
          <t>Av. Independencia Sur #12</t>
        </is>
      </c>
      <c r="G33" t="inlineStr">
        <is>
          <t>Santa Ana</t>
        </is>
      </c>
      <c r="H33" t="inlineStr">
        <is>
          <t>Santa Ana</t>
        </is>
      </c>
      <c r="I33" t="inlineStr">
        <is>
          <t>Mauricio Linares</t>
        </is>
      </c>
      <c r="J33" t="inlineStr">
        <is>
          <t>2440-9921</t>
        </is>
      </c>
      <c r="K33" t="inlineStr">
        <is>
          <t>Diego Zelaya</t>
        </is>
      </c>
      <c r="L33" t="inlineStr">
        <is>
          <t>René Cornejo Cornejo</t>
        </is>
      </c>
      <c r="M33" t="inlineStr">
        <is>
          <t>03632979-1</t>
        </is>
      </c>
      <c r="N33" t="inlineStr">
        <is>
          <t>7833-5595</t>
        </is>
      </c>
      <c r="O33" t="inlineStr">
        <is>
          <t>Consumidor final</t>
        </is>
      </c>
      <c r="P33" t="inlineStr">
        <is>
          <t>PAN-002</t>
        </is>
      </c>
      <c r="Q33" t="inlineStr">
        <is>
          <t>Semita alta</t>
        </is>
      </c>
      <c r="R33" t="inlineStr">
        <is>
          <t>Panadería</t>
        </is>
      </c>
      <c r="S33" t="inlineStr">
        <is>
          <t>Panificadora Ilopango</t>
        </is>
      </c>
      <c r="T33" t="inlineStr">
        <is>
          <t>2295-0081</t>
        </is>
      </c>
      <c r="U33" t="n">
        <v>1.75</v>
      </c>
      <c r="V33" t="n">
        <v>3</v>
      </c>
      <c r="W33" t="n">
        <v>0</v>
      </c>
      <c r="X33">
        <f>IFERROR(U33*V33*(1-W33/100),"")</f>
        <v/>
      </c>
      <c r="Y33">
        <f>IFERROR(ROUND(X33*0.13,2),"")</f>
        <v/>
      </c>
      <c r="Z33">
        <f>IFERROR(X33+Y33,"")</f>
        <v/>
      </c>
      <c r="AA33" t="inlineStr">
        <is>
          <t>Transferencia</t>
        </is>
      </c>
      <c r="AB33" t="inlineStr">
        <is>
          <t>precio especial autorizado por gerente</t>
        </is>
      </c>
    </row>
    <row r="34">
      <c r="A34" t="inlineStr">
        <is>
          <t>F-10473</t>
        </is>
      </c>
      <c r="B34" s="3" t="n">
        <v>46232</v>
      </c>
      <c r="C34" t="inlineStr">
        <is>
          <t>Factura</t>
        </is>
      </c>
      <c r="D34" t="inlineStr">
        <is>
          <t>SA01</t>
        </is>
      </c>
      <c r="E34" t="inlineStr">
        <is>
          <t>Santa  Ana</t>
        </is>
      </c>
      <c r="F34" t="inlineStr">
        <is>
          <t>Av. Independencia Sur #12</t>
        </is>
      </c>
      <c r="G34" t="inlineStr">
        <is>
          <t>Santa Ana</t>
        </is>
      </c>
      <c r="H34" t="inlineStr">
        <is>
          <t>Santa Ana</t>
        </is>
      </c>
      <c r="I34" t="inlineStr">
        <is>
          <t>Mauricio Linares</t>
        </is>
      </c>
      <c r="J34" t="inlineStr">
        <is>
          <t>2440-9921</t>
        </is>
      </c>
      <c r="K34" t="inlineStr">
        <is>
          <t>Diego Zelaya</t>
        </is>
      </c>
      <c r="L34" t="inlineStr">
        <is>
          <t>René Cornejo Cornejo</t>
        </is>
      </c>
      <c r="M34" t="inlineStr">
        <is>
          <t>03632979-1</t>
        </is>
      </c>
      <c r="N34" t="inlineStr">
        <is>
          <t>7833-5595</t>
        </is>
      </c>
      <c r="O34" t="inlineStr">
        <is>
          <t>Consumidor final</t>
        </is>
      </c>
      <c r="P34" t="inlineStr">
        <is>
          <t>LAC-003</t>
        </is>
      </c>
      <c r="Q34" t="inlineStr">
        <is>
          <t>Leche entera 1L</t>
        </is>
      </c>
      <c r="R34" t="inlineStr">
        <is>
          <t>Lácteos</t>
        </is>
      </c>
      <c r="S34" t="inlineStr">
        <is>
          <t>Lácteos Chalate</t>
        </is>
      </c>
      <c r="T34" t="inlineStr">
        <is>
          <t>7120-4455</t>
        </is>
      </c>
      <c r="U34" t="n">
        <v>1.2</v>
      </c>
      <c r="V34" t="n">
        <v>4</v>
      </c>
      <c r="W34" t="n">
        <v>0</v>
      </c>
      <c r="X34">
        <f>IFERROR(U34*V34*(1-W34/100),"")</f>
        <v/>
      </c>
      <c r="Y34">
        <f>IFERROR(ROUND(X34*0.13,2),"")</f>
        <v/>
      </c>
      <c r="Z34">
        <f>IFERROR(X34+Y34,"")</f>
        <v/>
      </c>
      <c r="AA34" t="inlineStr">
        <is>
          <t>Transferencia</t>
        </is>
      </c>
      <c r="AB34" t="inlineStr">
        <is>
          <t>pagó con billete de $100</t>
        </is>
      </c>
    </row>
    <row r="35">
      <c r="A35" t="inlineStr">
        <is>
          <t>F-10473</t>
        </is>
      </c>
      <c r="B35" t="inlineStr">
        <is>
          <t>29-Jul-26</t>
        </is>
      </c>
      <c r="C35" t="inlineStr">
        <is>
          <t>Factura</t>
        </is>
      </c>
      <c r="D35" t="inlineStr">
        <is>
          <t>SA01</t>
        </is>
      </c>
      <c r="E35" t="inlineStr">
        <is>
          <t>Santa  Ana</t>
        </is>
      </c>
      <c r="F35" t="inlineStr">
        <is>
          <t>Av. Independencia Sur #12</t>
        </is>
      </c>
      <c r="G35" t="inlineStr">
        <is>
          <t>Santa Ana</t>
        </is>
      </c>
      <c r="H35" t="inlineStr">
        <is>
          <t>Santa Ana</t>
        </is>
      </c>
      <c r="I35" t="inlineStr">
        <is>
          <t>Mauricio Linares</t>
        </is>
      </c>
      <c r="J35" t="inlineStr">
        <is>
          <t>2440-9921</t>
        </is>
      </c>
      <c r="K35" t="inlineStr">
        <is>
          <t>Diego Zelaya</t>
        </is>
      </c>
      <c r="L35" t="inlineStr">
        <is>
          <t>René Cornejo Cornejo</t>
        </is>
      </c>
      <c r="M35" t="inlineStr">
        <is>
          <t>03632979-1</t>
        </is>
      </c>
      <c r="N35" t="inlineStr">
        <is>
          <t>7833-5595</t>
        </is>
      </c>
      <c r="O35" t="inlineStr">
        <is>
          <t>Consumidor final</t>
        </is>
      </c>
      <c r="P35" t="inlineStr">
        <is>
          <t>BEB-003</t>
        </is>
      </c>
      <c r="Q35" t="inlineStr">
        <is>
          <t>Horchata en polvo 400g</t>
        </is>
      </c>
      <c r="R35" t="inlineStr">
        <is>
          <t>Abarrotes</t>
        </is>
      </c>
      <c r="S35" t="inlineStr">
        <is>
          <t>Bebidas Izalco</t>
        </is>
      </c>
      <c r="T35" t="inlineStr">
        <is>
          <t>2450-7700</t>
        </is>
      </c>
      <c r="U35" t="n">
        <v>2.6</v>
      </c>
      <c r="V35" t="n">
        <v>4</v>
      </c>
      <c r="W35" t="n">
        <v>0</v>
      </c>
      <c r="X35">
        <f>IFERROR(U35*V35*(1-W35/100),"")</f>
        <v/>
      </c>
      <c r="Y35">
        <f>IFERROR(ROUND(X35*0.13,2),"")</f>
        <v/>
      </c>
      <c r="Z35">
        <f>IFERROR(X35+Y35,"")</f>
        <v/>
      </c>
      <c r="AA35" t="inlineStr">
        <is>
          <t>Transferencia</t>
        </is>
      </c>
      <c r="AB35" t="inlineStr">
        <is>
          <t>entregar en bodega</t>
        </is>
      </c>
    </row>
    <row r="36">
      <c r="A36" t="inlineStr">
        <is>
          <t>F-10473</t>
        </is>
      </c>
      <c r="B36" s="3" t="n">
        <v>46232</v>
      </c>
      <c r="C36" t="inlineStr">
        <is>
          <t>Factura</t>
        </is>
      </c>
      <c r="D36" t="inlineStr">
        <is>
          <t>SA01</t>
        </is>
      </c>
      <c r="E36" t="inlineStr">
        <is>
          <t>Santa  Ana</t>
        </is>
      </c>
      <c r="F36" t="inlineStr">
        <is>
          <t>Av. Independencia Sur #12</t>
        </is>
      </c>
      <c r="G36" t="inlineStr">
        <is>
          <t>Santa Ana</t>
        </is>
      </c>
      <c r="H36" t="inlineStr">
        <is>
          <t>Santa Ana</t>
        </is>
      </c>
      <c r="I36" t="inlineStr">
        <is>
          <t>Mauricio Linares</t>
        </is>
      </c>
      <c r="J36" t="inlineStr">
        <is>
          <t>2440-9921</t>
        </is>
      </c>
      <c r="K36" t="inlineStr">
        <is>
          <t>Diego Zelaya</t>
        </is>
      </c>
      <c r="L36" t="inlineStr">
        <is>
          <t>René Cornejo Cornejo</t>
        </is>
      </c>
      <c r="M36" t="inlineStr"/>
      <c r="N36" t="inlineStr">
        <is>
          <t>7833-5595</t>
        </is>
      </c>
      <c r="O36" t="inlineStr">
        <is>
          <t>Consumidor final</t>
        </is>
      </c>
      <c r="P36" t="inlineStr">
        <is>
          <t>CAF-002</t>
        </is>
      </c>
      <c r="Q36" t="inlineStr">
        <is>
          <t>Café en grano 1lb</t>
        </is>
      </c>
      <c r="R36" t="inlineStr">
        <is>
          <t>Abarrotes</t>
        </is>
      </c>
      <c r="S36" t="inlineStr">
        <is>
          <t>Café Volcán S.A.</t>
        </is>
      </c>
      <c r="T36" t="inlineStr">
        <is>
          <t>2510-3344</t>
        </is>
      </c>
      <c r="U36" t="n">
        <v>6.75</v>
      </c>
      <c r="V36" t="n">
        <v>1</v>
      </c>
      <c r="W36" t="n">
        <v>0</v>
      </c>
      <c r="X36">
        <f>IFERROR(U36*V36*(1-W36/100),"")</f>
        <v/>
      </c>
      <c r="Y36">
        <f>IFERROR(ROUND(X36*0.13,2),"")</f>
        <v/>
      </c>
      <c r="Z36">
        <f>IFERROR(X36+Y36,"")</f>
        <v/>
      </c>
      <c r="AA36" t="inlineStr">
        <is>
          <t>Transferencia</t>
        </is>
      </c>
      <c r="AB36" t="inlineStr"/>
    </row>
    <row r="37">
      <c r="A37" t="inlineStr">
        <is>
          <t>F-10476</t>
        </is>
      </c>
      <c r="B37" s="3" t="n">
        <v>46292</v>
      </c>
      <c r="C37" t="inlineStr">
        <is>
          <t>Factura</t>
        </is>
      </c>
      <c r="D37" t="inlineStr">
        <is>
          <t>SS02</t>
        </is>
      </c>
      <c r="E37" t="inlineStr">
        <is>
          <t>ESCALON</t>
        </is>
      </c>
      <c r="F37" t="inlineStr">
        <is>
          <t>Paseo General Escalón #3910</t>
        </is>
      </c>
      <c r="G37" t="inlineStr">
        <is>
          <t>San Salvador</t>
        </is>
      </c>
      <c r="H37" t="inlineStr">
        <is>
          <t>San Salvador</t>
        </is>
      </c>
      <c r="I37" t="inlineStr">
        <is>
          <t>Claudia Menjívar</t>
        </is>
      </c>
      <c r="J37" t="inlineStr">
        <is>
          <t>2264-1190</t>
        </is>
      </c>
      <c r="K37" t="inlineStr">
        <is>
          <t>Fátima Rosales</t>
        </is>
      </c>
      <c r="L37" t="inlineStr">
        <is>
          <t>Xiomara Cornejo Guevara</t>
        </is>
      </c>
      <c r="M37" t="inlineStr">
        <is>
          <t>09840186-7</t>
        </is>
      </c>
      <c r="N37" t="inlineStr">
        <is>
          <t>2102-2322</t>
        </is>
      </c>
      <c r="O37" t="inlineStr">
        <is>
          <t>Consumidor final</t>
        </is>
      </c>
      <c r="P37" t="inlineStr">
        <is>
          <t>HIG-003</t>
        </is>
      </c>
      <c r="Q37" t="inlineStr">
        <is>
          <t>Jabón de lavar barra</t>
        </is>
      </c>
      <c r="R37" t="inlineStr">
        <is>
          <t>Limpieza</t>
        </is>
      </c>
      <c r="S37" t="inlineStr">
        <is>
          <t>Higiene Total C.A.</t>
        </is>
      </c>
      <c r="T37" t="inlineStr">
        <is>
          <t>2207-5566</t>
        </is>
      </c>
      <c r="U37" t="inlineStr">
        <is>
          <t>$0.75</t>
        </is>
      </c>
      <c r="V37" t="n">
        <v>2</v>
      </c>
      <c r="W37" t="n">
        <v>0</v>
      </c>
      <c r="X37">
        <f>IFERROR(U37*V37*(1-W37/100),"")</f>
        <v/>
      </c>
      <c r="Y37">
        <f>IFERROR(ROUND(X37*0.13,2),"")</f>
        <v/>
      </c>
      <c r="Z37">
        <f>IFERROR(X37+Y37,"")</f>
        <v/>
      </c>
      <c r="AA37" t="inlineStr">
        <is>
          <t>Efectivo</t>
        </is>
      </c>
      <c r="AB37" t="inlineStr"/>
    </row>
    <row r="38">
      <c r="A38" t="inlineStr">
        <is>
          <t>F-10476</t>
        </is>
      </c>
      <c r="B38" s="3" t="n">
        <v>46292</v>
      </c>
      <c r="C38" t="inlineStr">
        <is>
          <t>Factura</t>
        </is>
      </c>
      <c r="D38" t="inlineStr">
        <is>
          <t>SS02</t>
        </is>
      </c>
      <c r="E38" t="inlineStr">
        <is>
          <t>ESCALON</t>
        </is>
      </c>
      <c r="F38" t="inlineStr">
        <is>
          <t>Paseo General Escalón #3910</t>
        </is>
      </c>
      <c r="G38" t="inlineStr">
        <is>
          <t>San Salvador</t>
        </is>
      </c>
      <c r="H38" t="inlineStr">
        <is>
          <t>San Salvador</t>
        </is>
      </c>
      <c r="I38" t="inlineStr">
        <is>
          <t>Claudia Menjívar</t>
        </is>
      </c>
      <c r="J38" t="inlineStr">
        <is>
          <t>2264-1190</t>
        </is>
      </c>
      <c r="K38" t="inlineStr">
        <is>
          <t>Fátima Rosales</t>
        </is>
      </c>
      <c r="L38" t="inlineStr">
        <is>
          <t>Xiomara Cornejo Guevara</t>
        </is>
      </c>
      <c r="M38" t="inlineStr">
        <is>
          <t>09840186-7</t>
        </is>
      </c>
      <c r="N38" t="inlineStr">
        <is>
          <t>2102-2322</t>
        </is>
      </c>
      <c r="O38" t="inlineStr">
        <is>
          <t>Consumidor final</t>
        </is>
      </c>
      <c r="P38" t="inlineStr">
        <is>
          <t>LAC-001</t>
        </is>
      </c>
      <c r="Q38" t="inlineStr">
        <is>
          <t>Quesillo 1lb</t>
        </is>
      </c>
      <c r="R38" t="inlineStr">
        <is>
          <t>Lacteos</t>
        </is>
      </c>
      <c r="S38" t="inlineStr">
        <is>
          <t>Lácteos Chalate</t>
        </is>
      </c>
      <c r="T38" t="inlineStr">
        <is>
          <t>2335-1020</t>
        </is>
      </c>
      <c r="U38" t="n">
        <v>3.8</v>
      </c>
      <c r="V38" t="n">
        <v>1</v>
      </c>
      <c r="W38" t="n">
        <v>0</v>
      </c>
      <c r="X38">
        <f>IFERROR(U38*V38*(1-W38/100),"")</f>
        <v/>
      </c>
      <c r="Y38">
        <f>IFERROR(ROUND(X38*0.13,2),"")</f>
        <v/>
      </c>
      <c r="Z38">
        <f>IFERROR(X38+Y38,"")</f>
        <v/>
      </c>
      <c r="AA38" t="inlineStr">
        <is>
          <t>Efectivo</t>
        </is>
      </c>
      <c r="AB38" t="inlineStr">
        <is>
          <t>Cliente frecuente</t>
        </is>
      </c>
    </row>
    <row r="39">
      <c r="A39" t="inlineStr">
        <is>
          <t>F-10479</t>
        </is>
      </c>
      <c r="B39" s="3" t="n">
        <v>46290</v>
      </c>
      <c r="C39" t="inlineStr">
        <is>
          <t>Factura</t>
        </is>
      </c>
      <c r="D39" t="inlineStr">
        <is>
          <t>SS01</t>
        </is>
      </c>
      <c r="E39" t="inlineStr">
        <is>
          <t xml:space="preserve">san salvador centro </t>
        </is>
      </c>
      <c r="F39" t="inlineStr">
        <is>
          <t>4a Calle Poniente #215</t>
        </is>
      </c>
      <c r="G39" t="inlineStr">
        <is>
          <t>San Salvador</t>
        </is>
      </c>
      <c r="H39" t="inlineStr">
        <is>
          <t>San Salvador</t>
        </is>
      </c>
      <c r="I39" t="inlineStr">
        <is>
          <t>Roberto Alfaro</t>
        </is>
      </c>
      <c r="J39" t="inlineStr">
        <is>
          <t>2221-4580</t>
        </is>
      </c>
      <c r="K39" t="inlineStr">
        <is>
          <t>Daniela Orellana</t>
        </is>
      </c>
      <c r="L39" t="inlineStr">
        <is>
          <t>Sandra Sorto López</t>
        </is>
      </c>
      <c r="M39" t="inlineStr">
        <is>
          <t>00961529-1</t>
        </is>
      </c>
      <c r="N39" t="inlineStr">
        <is>
          <t>2123-6077</t>
        </is>
      </c>
      <c r="O39" t="inlineStr">
        <is>
          <t>Consumidor final</t>
        </is>
      </c>
      <c r="P39" t="inlineStr">
        <is>
          <t>ARR-001</t>
        </is>
      </c>
      <c r="Q39" t="inlineStr">
        <is>
          <t>Arroz blanco 5lb</t>
        </is>
      </c>
      <c r="R39" t="inlineStr">
        <is>
          <t>Granos básicos</t>
        </is>
      </c>
      <c r="S39" t="inlineStr">
        <is>
          <t>Granos del Pacífico</t>
        </is>
      </c>
      <c r="T39" t="inlineStr">
        <is>
          <t>2234-8890</t>
        </is>
      </c>
      <c r="U39" t="inlineStr">
        <is>
          <t>3,95</t>
        </is>
      </c>
      <c r="V39" t="n">
        <v>2</v>
      </c>
      <c r="W39" t="n">
        <v>0</v>
      </c>
      <c r="X39">
        <f>IFERROR(U39*V39*(1-W39/100),"")</f>
        <v/>
      </c>
      <c r="Y39">
        <f>IFERROR(ROUND(X39*0.13,2),"")</f>
        <v/>
      </c>
      <c r="Z39">
        <f>IFERROR(X39+Y39,"")</f>
        <v/>
      </c>
      <c r="AA39" t="inlineStr">
        <is>
          <t>Transferencia</t>
        </is>
      </c>
      <c r="AB39" t="inlineStr">
        <is>
          <t>pagó con billete de $100</t>
        </is>
      </c>
    </row>
    <row r="40">
      <c r="A40" t="inlineStr">
        <is>
          <t>F-10479</t>
        </is>
      </c>
      <c r="B40" s="3" t="n">
        <v>46290</v>
      </c>
      <c r="C40" t="inlineStr">
        <is>
          <t>Factura</t>
        </is>
      </c>
      <c r="D40" t="inlineStr">
        <is>
          <t>SS01</t>
        </is>
      </c>
      <c r="E40" t="inlineStr">
        <is>
          <t>S.S. Centro</t>
        </is>
      </c>
      <c r="F40" t="inlineStr">
        <is>
          <t>4a Calle Poniente #215</t>
        </is>
      </c>
      <c r="G40" t="inlineStr">
        <is>
          <t>San Salvador</t>
        </is>
      </c>
      <c r="H40" t="inlineStr">
        <is>
          <t>San Salvador</t>
        </is>
      </c>
      <c r="I40" t="inlineStr">
        <is>
          <t>Roberto Alfaro</t>
        </is>
      </c>
      <c r="J40" t="inlineStr">
        <is>
          <t>2221-4580</t>
        </is>
      </c>
      <c r="K40" t="inlineStr">
        <is>
          <t>Daniela Orellana</t>
        </is>
      </c>
      <c r="L40" t="inlineStr">
        <is>
          <t>Sandra Sorto López</t>
        </is>
      </c>
      <c r="M40" t="inlineStr">
        <is>
          <t>00961529-1</t>
        </is>
      </c>
      <c r="N40" t="inlineStr">
        <is>
          <t>2123-6077</t>
        </is>
      </c>
      <c r="O40" t="inlineStr">
        <is>
          <t>Consumidor final</t>
        </is>
      </c>
      <c r="P40" t="inlineStr">
        <is>
          <t>CAF-001</t>
        </is>
      </c>
      <c r="Q40" t="inlineStr">
        <is>
          <t>Café molido 400g</t>
        </is>
      </c>
      <c r="R40" t="inlineStr">
        <is>
          <t>ABARROTES</t>
        </is>
      </c>
      <c r="S40" t="inlineStr">
        <is>
          <t>Café Volcán S.A.</t>
        </is>
      </c>
      <c r="T40" t="inlineStr">
        <is>
          <t>2510-3344</t>
        </is>
      </c>
      <c r="U40" t="n">
        <v>4.5</v>
      </c>
      <c r="V40" t="n">
        <v>6</v>
      </c>
      <c r="W40" t="n">
        <v>0</v>
      </c>
      <c r="X40">
        <f>IFERROR(U40*V40*(1-W40/100),"")</f>
        <v/>
      </c>
      <c r="Y40">
        <f>IFERROR(ROUND(X40*0.13,2),"")</f>
        <v/>
      </c>
      <c r="Z40">
        <f>IFERROR(X40+Y40,"")</f>
        <v/>
      </c>
      <c r="AA40" t="inlineStr">
        <is>
          <t>Transferencia</t>
        </is>
      </c>
      <c r="AB40" t="inlineStr">
        <is>
          <t>precio especial autorizado por gerente</t>
        </is>
      </c>
    </row>
    <row r="41">
      <c r="A41" t="inlineStr">
        <is>
          <t>F-10481</t>
        </is>
      </c>
      <c r="B41" s="3" t="n">
        <v>46257</v>
      </c>
      <c r="C41" t="inlineStr">
        <is>
          <t>CCF</t>
        </is>
      </c>
      <c r="D41" t="inlineStr">
        <is>
          <t>SS01</t>
        </is>
      </c>
      <c r="E41" t="inlineStr">
        <is>
          <t>SAN SALVADOR CENTRO</t>
        </is>
      </c>
      <c r="F41" t="inlineStr">
        <is>
          <t>4a Calle Poniente #215</t>
        </is>
      </c>
      <c r="G41" t="inlineStr">
        <is>
          <t>San Salvador</t>
        </is>
      </c>
      <c r="H41" t="inlineStr">
        <is>
          <t>San Salvador</t>
        </is>
      </c>
      <c r="I41" t="inlineStr">
        <is>
          <t>Roberto Alfaro</t>
        </is>
      </c>
      <c r="J41" t="inlineStr">
        <is>
          <t>2221-4580</t>
        </is>
      </c>
      <c r="K41" t="inlineStr">
        <is>
          <t>José Martínez</t>
        </is>
      </c>
      <c r="L41" t="inlineStr">
        <is>
          <t>Hotel Brisas del Mar</t>
        </is>
      </c>
      <c r="M41" t="inlineStr">
        <is>
          <t>280004-0</t>
        </is>
      </c>
      <c r="N41" t="inlineStr">
        <is>
          <t>2129-2911</t>
        </is>
      </c>
      <c r="O41" t="inlineStr">
        <is>
          <t>Contribuyente</t>
        </is>
      </c>
      <c r="P41" t="inlineStr">
        <is>
          <t>BEB-002</t>
        </is>
      </c>
      <c r="Q41" t="inlineStr">
        <is>
          <t>Agua purificada 1 galón</t>
        </is>
      </c>
      <c r="R41" t="inlineStr">
        <is>
          <t>Bebidas</t>
        </is>
      </c>
      <c r="S41" t="inlineStr">
        <is>
          <t>Bebidas Izalco</t>
        </is>
      </c>
      <c r="T41" t="inlineStr">
        <is>
          <t>2450-7700</t>
        </is>
      </c>
      <c r="U41" t="n">
        <v>1.1</v>
      </c>
      <c r="V41" t="n">
        <v>1</v>
      </c>
      <c r="W41" t="n">
        <v>0</v>
      </c>
      <c r="X41">
        <f>IFERROR(U41*V41*(1-W41/100),"")</f>
        <v/>
      </c>
      <c r="Y41">
        <f>IFERROR(ROUND(X41*0.13,2),"")</f>
        <v/>
      </c>
      <c r="Z41">
        <f>IFERROR(X41+Y41,"")</f>
        <v/>
      </c>
      <c r="AA41" t="inlineStr">
        <is>
          <t>Chivo</t>
        </is>
      </c>
      <c r="AB41" t="inlineStr"/>
    </row>
    <row r="42">
      <c r="A42" t="inlineStr">
        <is>
          <t>F-10481</t>
        </is>
      </c>
      <c r="B42" s="3" t="n">
        <v>46257</v>
      </c>
      <c r="C42" t="inlineStr">
        <is>
          <t>CCF</t>
        </is>
      </c>
      <c r="D42" t="inlineStr">
        <is>
          <t>SS01</t>
        </is>
      </c>
      <c r="E42" t="inlineStr">
        <is>
          <t xml:space="preserve">san salvador centro </t>
        </is>
      </c>
      <c r="F42" t="inlineStr">
        <is>
          <t>4a Calle Poniente #215</t>
        </is>
      </c>
      <c r="G42" t="inlineStr">
        <is>
          <t>San Salvador</t>
        </is>
      </c>
      <c r="H42" t="inlineStr">
        <is>
          <t>San Salvador</t>
        </is>
      </c>
      <c r="I42" t="inlineStr">
        <is>
          <t>Roberto Alfaro</t>
        </is>
      </c>
      <c r="J42" t="inlineStr">
        <is>
          <t>2221-4580</t>
        </is>
      </c>
      <c r="K42" t="inlineStr">
        <is>
          <t>José Martínez</t>
        </is>
      </c>
      <c r="L42" t="inlineStr">
        <is>
          <t>Hotel Brisas del Mar</t>
        </is>
      </c>
      <c r="M42" t="inlineStr">
        <is>
          <t>280004-0</t>
        </is>
      </c>
      <c r="N42" t="inlineStr">
        <is>
          <t>2129-2911</t>
        </is>
      </c>
      <c r="O42" t="inlineStr">
        <is>
          <t>Contribuyente</t>
        </is>
      </c>
      <c r="P42" t="inlineStr">
        <is>
          <t>PAN-003</t>
        </is>
      </c>
      <c r="Q42" t="inlineStr">
        <is>
          <t>Quesadilla salvadoreña</t>
        </is>
      </c>
      <c r="R42" t="inlineStr">
        <is>
          <t>PANADERIA</t>
        </is>
      </c>
      <c r="S42" t="inlineStr">
        <is>
          <t>Panificadora Ilopango</t>
        </is>
      </c>
      <c r="T42" t="inlineStr">
        <is>
          <t>2295-0081</t>
        </is>
      </c>
      <c r="U42" t="n">
        <v>2.5</v>
      </c>
      <c r="V42" t="n">
        <v>1</v>
      </c>
      <c r="W42" t="n">
        <v>10</v>
      </c>
      <c r="X42">
        <f>IFERROR(U42*V42*(1-W42/100),"")</f>
        <v/>
      </c>
      <c r="Y42">
        <f>IFERROR(ROUND(X42*0.13,2),"")</f>
        <v/>
      </c>
      <c r="Z42">
        <f>IFERROR(X42+Y42,"")</f>
        <v/>
      </c>
      <c r="AA42" t="inlineStr">
        <is>
          <t>Chivo</t>
        </is>
      </c>
      <c r="AB42" t="inlineStr">
        <is>
          <t>entregar en bodega</t>
        </is>
      </c>
    </row>
    <row r="43">
      <c r="A43" t="inlineStr">
        <is>
          <t>F-10481</t>
        </is>
      </c>
      <c r="B43" s="3" t="n">
        <v>46257</v>
      </c>
      <c r="C43" t="inlineStr">
        <is>
          <t>CCF</t>
        </is>
      </c>
      <c r="D43" t="inlineStr">
        <is>
          <t>SS01</t>
        </is>
      </c>
      <c r="E43" t="inlineStr">
        <is>
          <t>S.S. Centro</t>
        </is>
      </c>
      <c r="F43" t="inlineStr">
        <is>
          <t>4a Calle Poniente #215</t>
        </is>
      </c>
      <c r="G43" t="inlineStr">
        <is>
          <t>San Salvador</t>
        </is>
      </c>
      <c r="H43" t="inlineStr">
        <is>
          <t>San Salvador</t>
        </is>
      </c>
      <c r="I43" t="inlineStr">
        <is>
          <t>Roberto Alfaro</t>
        </is>
      </c>
      <c r="J43" t="inlineStr">
        <is>
          <t>2221-4580</t>
        </is>
      </c>
      <c r="K43" t="inlineStr">
        <is>
          <t>José Martínez</t>
        </is>
      </c>
      <c r="L43" t="inlineStr">
        <is>
          <t>Hotel Brisas del Mar</t>
        </is>
      </c>
      <c r="M43" t="inlineStr">
        <is>
          <t>280004-0</t>
        </is>
      </c>
      <c r="N43" t="inlineStr">
        <is>
          <t>2129-2911</t>
        </is>
      </c>
      <c r="O43" t="inlineStr">
        <is>
          <t>Contribuyente</t>
        </is>
      </c>
      <c r="P43" t="inlineStr">
        <is>
          <t>BEB-003</t>
        </is>
      </c>
      <c r="Q43" t="inlineStr">
        <is>
          <t>Horchata en polvo 400g</t>
        </is>
      </c>
      <c r="R43" t="inlineStr">
        <is>
          <t>Abarrotes</t>
        </is>
      </c>
      <c r="S43" t="inlineStr">
        <is>
          <t>Bebidas Izalco</t>
        </is>
      </c>
      <c r="T43" t="inlineStr">
        <is>
          <t>2450-7700</t>
        </is>
      </c>
      <c r="U43" t="n">
        <v>2.6</v>
      </c>
      <c r="V43" t="n">
        <v>1</v>
      </c>
      <c r="W43" t="n">
        <v>10</v>
      </c>
      <c r="X43">
        <f>IFERROR(U43*V43*(1-W43/100),"")</f>
        <v/>
      </c>
      <c r="Y43">
        <f>IFERROR(ROUND(X43*0.13,2),"")</f>
        <v/>
      </c>
      <c r="Z43">
        <f>IFERROR(X43+Y43,"")</f>
        <v/>
      </c>
      <c r="AA43" t="inlineStr">
        <is>
          <t>Chivo</t>
        </is>
      </c>
      <c r="AB43" t="inlineStr">
        <is>
          <t>pagó con billete de $100</t>
        </is>
      </c>
    </row>
    <row r="44">
      <c r="A44" t="inlineStr">
        <is>
          <t>F-10481</t>
        </is>
      </c>
      <c r="B44" s="3" t="n">
        <v>46257</v>
      </c>
      <c r="C44" t="inlineStr">
        <is>
          <t>CCF</t>
        </is>
      </c>
      <c r="D44" t="inlineStr">
        <is>
          <t>SS01</t>
        </is>
      </c>
      <c r="E44" t="inlineStr">
        <is>
          <t>San Salvador Centro</t>
        </is>
      </c>
      <c r="F44" t="inlineStr">
        <is>
          <t>4a Calle Poniente #215</t>
        </is>
      </c>
      <c r="G44" t="inlineStr">
        <is>
          <t>San Salvador</t>
        </is>
      </c>
      <c r="H44" t="inlineStr">
        <is>
          <t>San Salvador</t>
        </is>
      </c>
      <c r="I44" t="inlineStr">
        <is>
          <t>Roberto Alfaro</t>
        </is>
      </c>
      <c r="J44" t="inlineStr">
        <is>
          <t>2221-4580</t>
        </is>
      </c>
      <c r="K44" t="inlineStr">
        <is>
          <t>José Martínez</t>
        </is>
      </c>
      <c r="L44" t="inlineStr">
        <is>
          <t>Hotel Brisas del Mar</t>
        </is>
      </c>
      <c r="M44" t="inlineStr">
        <is>
          <t>280004-0</t>
        </is>
      </c>
      <c r="N44" t="inlineStr">
        <is>
          <t>2129-2911</t>
        </is>
      </c>
      <c r="O44" t="inlineStr">
        <is>
          <t>Contribuyente</t>
        </is>
      </c>
      <c r="P44" t="inlineStr">
        <is>
          <t>HAR-001</t>
        </is>
      </c>
      <c r="Q44" t="inlineStr">
        <is>
          <t>Harina de maíz 2lb</t>
        </is>
      </c>
      <c r="R44" t="inlineStr">
        <is>
          <t>Abarrotes</t>
        </is>
      </c>
      <c r="S44" t="inlineStr">
        <is>
          <t>Granos del Pacífico</t>
        </is>
      </c>
      <c r="T44" t="inlineStr">
        <is>
          <t>2234-8890</t>
        </is>
      </c>
      <c r="U44" t="inlineStr">
        <is>
          <t>$1.35</t>
        </is>
      </c>
      <c r="V44" t="n">
        <v>3</v>
      </c>
      <c r="W44" t="n">
        <v>0</v>
      </c>
      <c r="X44">
        <f>IFERROR(U44*V44*(1-W44/100),"")</f>
        <v/>
      </c>
      <c r="Y44">
        <f>IFERROR(ROUND(X44*0.13,2),"")</f>
        <v/>
      </c>
      <c r="Z44">
        <f>IFERROR(X44+Y44,"")</f>
        <v/>
      </c>
      <c r="AA44" t="inlineStr">
        <is>
          <t>Chivo</t>
        </is>
      </c>
      <c r="AB44" t="inlineStr"/>
    </row>
    <row r="45">
      <c r="A45" t="inlineStr">
        <is>
          <t>F-10484</t>
        </is>
      </c>
      <c r="B45" t="inlineStr">
        <is>
          <t>31/08/2026</t>
        </is>
      </c>
      <c r="C45" t="inlineStr">
        <is>
          <t>Factura</t>
        </is>
      </c>
      <c r="D45" t="inlineStr">
        <is>
          <t>SS02</t>
        </is>
      </c>
      <c r="E45" t="inlineStr">
        <is>
          <t>Col. Escalón</t>
        </is>
      </c>
      <c r="F45" t="inlineStr">
        <is>
          <t>Paseo General Escalón #3910</t>
        </is>
      </c>
      <c r="G45" t="inlineStr">
        <is>
          <t>San Salvador</t>
        </is>
      </c>
      <c r="H45" t="inlineStr">
        <is>
          <t>San Salvador</t>
        </is>
      </c>
      <c r="I45" t="inlineStr">
        <is>
          <t>Claudia Menjívar</t>
        </is>
      </c>
      <c r="J45" t="inlineStr">
        <is>
          <t>2264-1190</t>
        </is>
      </c>
      <c r="K45" t="inlineStr">
        <is>
          <t>Fátima Rosales</t>
        </is>
      </c>
      <c r="L45" t="inlineStr">
        <is>
          <t>Héctor Hernández Quintanilla</t>
        </is>
      </c>
      <c r="M45" t="inlineStr">
        <is>
          <t>05302669-9</t>
        </is>
      </c>
      <c r="N45" t="inlineStr">
        <is>
          <t>2708-8580</t>
        </is>
      </c>
      <c r="O45" t="inlineStr">
        <is>
          <t>Consumidor final</t>
        </is>
      </c>
      <c r="P45" t="inlineStr">
        <is>
          <t>CAF-001</t>
        </is>
      </c>
      <c r="Q45" t="inlineStr">
        <is>
          <t>Café molido 400g</t>
        </is>
      </c>
      <c r="R45" t="inlineStr">
        <is>
          <t>Abarrotes</t>
        </is>
      </c>
      <c r="S45" t="inlineStr">
        <is>
          <t>Café Volcán S.A.</t>
        </is>
      </c>
      <c r="T45" t="inlineStr">
        <is>
          <t>2510-3344</t>
        </is>
      </c>
      <c r="U45" t="inlineStr">
        <is>
          <t>$4.25</t>
        </is>
      </c>
      <c r="V45" t="n">
        <v>4</v>
      </c>
      <c r="W45" t="n">
        <v>0</v>
      </c>
      <c r="X45">
        <f>IFERROR(U45*V45*(1-W45/100),"")</f>
        <v/>
      </c>
      <c r="Y45">
        <f>IFERROR(ROUND(X45*0.13,2),"")</f>
        <v/>
      </c>
      <c r="Z45">
        <f>IFERROR(X45+Y45,"")</f>
        <v/>
      </c>
      <c r="AA45" t="inlineStr">
        <is>
          <t>Tarjeta</t>
        </is>
      </c>
      <c r="AB45" t="inlineStr">
        <is>
          <t>pagó con billete de $100</t>
        </is>
      </c>
    </row>
    <row r="46">
      <c r="A46" t="inlineStr">
        <is>
          <t>F-10484</t>
        </is>
      </c>
      <c r="B46" s="3" t="n">
        <v>46265</v>
      </c>
      <c r="C46" t="inlineStr">
        <is>
          <t>Factura</t>
        </is>
      </c>
      <c r="D46" t="inlineStr">
        <is>
          <t>SS02</t>
        </is>
      </c>
      <c r="E46" t="inlineStr">
        <is>
          <t>Col. Escalón</t>
        </is>
      </c>
      <c r="F46" t="inlineStr">
        <is>
          <t>Paseo General Escalón #3910</t>
        </is>
      </c>
      <c r="G46" t="inlineStr">
        <is>
          <t>San Salvador</t>
        </is>
      </c>
      <c r="H46" t="inlineStr">
        <is>
          <t>San Salvador</t>
        </is>
      </c>
      <c r="I46" t="inlineStr">
        <is>
          <t>Claudia Menjívar</t>
        </is>
      </c>
      <c r="J46" t="inlineStr">
        <is>
          <t>2264-1190</t>
        </is>
      </c>
      <c r="K46" t="inlineStr">
        <is>
          <t>Fátima Rosales</t>
        </is>
      </c>
      <c r="L46" t="inlineStr">
        <is>
          <t>Héctor Hernández Quintanilla</t>
        </is>
      </c>
      <c r="M46" t="inlineStr"/>
      <c r="N46" t="inlineStr">
        <is>
          <t>2708-8580</t>
        </is>
      </c>
      <c r="O46" t="inlineStr">
        <is>
          <t>Consumidor final</t>
        </is>
      </c>
      <c r="P46" t="inlineStr">
        <is>
          <t>PAN-001</t>
        </is>
      </c>
      <c r="Q46" t="inlineStr">
        <is>
          <t>Pan francés bolsa 10u</t>
        </is>
      </c>
      <c r="R46" t="inlineStr">
        <is>
          <t>Panadería</t>
        </is>
      </c>
      <c r="S46" t="inlineStr">
        <is>
          <t>Panificadora Ilopango</t>
        </is>
      </c>
      <c r="T46" t="inlineStr">
        <is>
          <t>2295-0081</t>
        </is>
      </c>
      <c r="U46" t="n">
        <v>1</v>
      </c>
      <c r="V46" t="n">
        <v>1</v>
      </c>
      <c r="W46" t="n">
        <v>0</v>
      </c>
      <c r="X46">
        <f>IFERROR(U46*V46*(1-W46/100),"")</f>
        <v/>
      </c>
      <c r="Y46">
        <f>IFERROR(ROUND(X46*0.13,2),"")</f>
        <v/>
      </c>
      <c r="Z46">
        <f>IFERROR(X46+Y46,"")</f>
        <v/>
      </c>
      <c r="AA46" t="inlineStr">
        <is>
          <t>Tarjeta</t>
        </is>
      </c>
      <c r="AB46" t="inlineStr"/>
    </row>
    <row r="47">
      <c r="A47" t="inlineStr">
        <is>
          <t>F-10486</t>
        </is>
      </c>
      <c r="B47" s="3" t="n">
        <v>46236</v>
      </c>
      <c r="C47" t="inlineStr">
        <is>
          <t>Factura</t>
        </is>
      </c>
      <c r="D47" t="inlineStr">
        <is>
          <t>SO01</t>
        </is>
      </c>
      <c r="E47" t="inlineStr">
        <is>
          <t>SONSONATE</t>
        </is>
      </c>
      <c r="F47" t="inlineStr">
        <is>
          <t>Calle Obispo Marroquín #3</t>
        </is>
      </c>
      <c r="G47" t="inlineStr">
        <is>
          <t>Sonsonate</t>
        </is>
      </c>
      <c r="H47" t="inlineStr">
        <is>
          <t>Sonsonate</t>
        </is>
      </c>
      <c r="I47" t="inlineStr">
        <is>
          <t>Ernesto Chávez</t>
        </is>
      </c>
      <c r="J47" t="inlineStr">
        <is>
          <t>2451-2288</t>
        </is>
      </c>
      <c r="K47" t="inlineStr">
        <is>
          <t>Ricardo Funes</t>
        </is>
      </c>
      <c r="L47" t="inlineStr">
        <is>
          <t>Patricia García Martínez</t>
        </is>
      </c>
      <c r="M47" t="inlineStr">
        <is>
          <t>02380558-6</t>
        </is>
      </c>
      <c r="N47" t="inlineStr">
        <is>
          <t>6660-5283</t>
        </is>
      </c>
      <c r="O47" t="inlineStr">
        <is>
          <t>Consumidor final</t>
        </is>
      </c>
      <c r="P47" t="inlineStr">
        <is>
          <t>BEB-001</t>
        </is>
      </c>
      <c r="Q47" t="inlineStr">
        <is>
          <t>Gaseosa 2.5L</t>
        </is>
      </c>
      <c r="R47" t="inlineStr">
        <is>
          <t>bebidas</t>
        </is>
      </c>
      <c r="S47" t="inlineStr">
        <is>
          <t>Bebidas Izalco</t>
        </is>
      </c>
      <c r="T47" t="inlineStr">
        <is>
          <t>2450-7700</t>
        </is>
      </c>
      <c r="U47" t="inlineStr">
        <is>
          <t>1,95</t>
        </is>
      </c>
      <c r="V47" t="n">
        <v>12</v>
      </c>
      <c r="W47" t="n">
        <v>0</v>
      </c>
      <c r="X47">
        <f>IFERROR(U47*V47*(1-W47/100),"")</f>
        <v/>
      </c>
      <c r="Y47">
        <f>IFERROR(ROUND(X47*0.13,2),"")</f>
        <v/>
      </c>
      <c r="Z47">
        <f>IFERROR(X47+Y47,"")</f>
        <v/>
      </c>
      <c r="AA47" t="inlineStr">
        <is>
          <t>Efectivo</t>
        </is>
      </c>
      <c r="AB47" t="inlineStr">
        <is>
          <t>Llamar al 7788-1234 antes de entregar</t>
        </is>
      </c>
    </row>
    <row r="48">
      <c r="A48" t="inlineStr">
        <is>
          <t>F-10486</t>
        </is>
      </c>
      <c r="B48" s="3" t="n">
        <v>46236</v>
      </c>
      <c r="C48" t="inlineStr">
        <is>
          <t>Factura</t>
        </is>
      </c>
      <c r="D48" t="inlineStr">
        <is>
          <t>SO01</t>
        </is>
      </c>
      <c r="E48" t="inlineStr">
        <is>
          <t>Sonsonate</t>
        </is>
      </c>
      <c r="F48" t="inlineStr">
        <is>
          <t>Calle Obispo Marroquín #3</t>
        </is>
      </c>
      <c r="G48" t="inlineStr">
        <is>
          <t>Sonsonate</t>
        </is>
      </c>
      <c r="H48" t="inlineStr">
        <is>
          <t>Sonsonate</t>
        </is>
      </c>
      <c r="I48" t="inlineStr">
        <is>
          <t>Ernesto Chávez</t>
        </is>
      </c>
      <c r="J48" t="inlineStr">
        <is>
          <t>2451-2288</t>
        </is>
      </c>
      <c r="K48" t="inlineStr">
        <is>
          <t>Ricardo Funes</t>
        </is>
      </c>
      <c r="L48" t="inlineStr">
        <is>
          <t>Patricia García Martínez</t>
        </is>
      </c>
      <c r="M48" t="inlineStr">
        <is>
          <t>02380558-6</t>
        </is>
      </c>
      <c r="N48" t="inlineStr">
        <is>
          <t>6660-5283</t>
        </is>
      </c>
      <c r="O48" t="inlineStr">
        <is>
          <t>Consumidor final</t>
        </is>
      </c>
      <c r="P48" t="inlineStr">
        <is>
          <t>LAC-001</t>
        </is>
      </c>
      <c r="Q48" t="inlineStr">
        <is>
          <t>Quesillo 1lb</t>
        </is>
      </c>
      <c r="R48" t="inlineStr">
        <is>
          <t>Lacteos</t>
        </is>
      </c>
      <c r="S48" t="inlineStr">
        <is>
          <t>Lácteos Chalate</t>
        </is>
      </c>
      <c r="T48" t="inlineStr">
        <is>
          <t>2335-1020</t>
        </is>
      </c>
      <c r="U48" t="n">
        <v>3.8</v>
      </c>
      <c r="V48" t="n">
        <v>1</v>
      </c>
      <c r="W48" t="n">
        <v>0</v>
      </c>
      <c r="X48">
        <f>IFERROR(U48*V48*(1-W48/100),"")</f>
        <v/>
      </c>
      <c r="Y48">
        <f>IFERROR(ROUND(X48*0.13,2),"")</f>
        <v/>
      </c>
      <c r="Z48">
        <f>IFERROR(X48+Y48,"")</f>
        <v/>
      </c>
      <c r="AA48" t="inlineStr">
        <is>
          <t>Efectivo</t>
        </is>
      </c>
      <c r="AB48" t="inlineStr">
        <is>
          <t>precio especial autorizado por gerente</t>
        </is>
      </c>
    </row>
    <row r="49">
      <c r="A49" t="inlineStr">
        <is>
          <t>F-10486</t>
        </is>
      </c>
      <c r="B49" s="3" t="n">
        <v>46236</v>
      </c>
      <c r="C49" t="inlineStr">
        <is>
          <t>Factura</t>
        </is>
      </c>
      <c r="D49" t="inlineStr">
        <is>
          <t>SO01</t>
        </is>
      </c>
      <c r="E49" t="inlineStr">
        <is>
          <t>SONSONATE</t>
        </is>
      </c>
      <c r="F49" t="inlineStr">
        <is>
          <t>Calle Obispo Marroquín #3</t>
        </is>
      </c>
      <c r="G49" t="inlineStr">
        <is>
          <t>Sonsonate</t>
        </is>
      </c>
      <c r="H49" t="inlineStr">
        <is>
          <t>Sonsonate</t>
        </is>
      </c>
      <c r="I49" t="inlineStr">
        <is>
          <t>Ernesto Chávez</t>
        </is>
      </c>
      <c r="J49" t="inlineStr">
        <is>
          <t>2451-2288</t>
        </is>
      </c>
      <c r="K49" t="inlineStr">
        <is>
          <t>Ricardo Funes</t>
        </is>
      </c>
      <c r="L49" t="inlineStr">
        <is>
          <t>Patricia García Martínez</t>
        </is>
      </c>
      <c r="M49" t="inlineStr">
        <is>
          <t>02380558-6</t>
        </is>
      </c>
      <c r="N49" t="inlineStr">
        <is>
          <t>6660-5283</t>
        </is>
      </c>
      <c r="O49" t="inlineStr">
        <is>
          <t>Consumidor final</t>
        </is>
      </c>
      <c r="P49" t="inlineStr">
        <is>
          <t>CAF-002</t>
        </is>
      </c>
      <c r="Q49" t="inlineStr">
        <is>
          <t>Café en grano 1lb</t>
        </is>
      </c>
      <c r="R49" t="inlineStr">
        <is>
          <t>Abarrotes</t>
        </is>
      </c>
      <c r="S49" t="inlineStr">
        <is>
          <t>Café Volcán S.A.</t>
        </is>
      </c>
      <c r="T49" t="inlineStr">
        <is>
          <t>2510-3344</t>
        </is>
      </c>
      <c r="U49" t="n">
        <v>6.75</v>
      </c>
      <c r="V49" t="n">
        <v>2</v>
      </c>
      <c r="W49" t="n">
        <v>0</v>
      </c>
      <c r="X49">
        <f>IFERROR(U49*V49*(1-W49/100),"")</f>
        <v/>
      </c>
      <c r="Y49">
        <f>IFERROR(ROUND(X49*0.13,2),"")</f>
        <v/>
      </c>
      <c r="Z49">
        <f>IFERROR(X49+Y49,"")</f>
        <v/>
      </c>
      <c r="AA49" t="inlineStr">
        <is>
          <t>Efectivo</t>
        </is>
      </c>
      <c r="AB49" t="inlineStr"/>
    </row>
    <row r="50">
      <c r="A50" t="inlineStr">
        <is>
          <t>F-10486</t>
        </is>
      </c>
      <c r="B50" s="3" t="n">
        <v>46236</v>
      </c>
      <c r="C50" t="inlineStr">
        <is>
          <t>Factura</t>
        </is>
      </c>
      <c r="D50" t="inlineStr">
        <is>
          <t>SO01</t>
        </is>
      </c>
      <c r="E50" t="inlineStr">
        <is>
          <t>SONSONATE</t>
        </is>
      </c>
      <c r="F50" t="inlineStr">
        <is>
          <t>Calle Obispo Marroquín #3</t>
        </is>
      </c>
      <c r="G50" t="inlineStr">
        <is>
          <t>Sonsonate</t>
        </is>
      </c>
      <c r="H50" t="inlineStr">
        <is>
          <t>Sonsonate</t>
        </is>
      </c>
      <c r="I50" t="inlineStr">
        <is>
          <t>Ernesto Chávez</t>
        </is>
      </c>
      <c r="J50" t="inlineStr">
        <is>
          <t>2451-2288</t>
        </is>
      </c>
      <c r="K50" t="inlineStr">
        <is>
          <t>Ricardo Funes</t>
        </is>
      </c>
      <c r="L50" t="inlineStr">
        <is>
          <t>Patricia García Martínez</t>
        </is>
      </c>
      <c r="M50" t="inlineStr">
        <is>
          <t>02380558-6</t>
        </is>
      </c>
      <c r="N50" t="inlineStr">
        <is>
          <t>6660-5283</t>
        </is>
      </c>
      <c r="O50" t="inlineStr">
        <is>
          <t>Consumidor final</t>
        </is>
      </c>
      <c r="P50" t="inlineStr">
        <is>
          <t>HIG-002</t>
        </is>
      </c>
      <c r="Q50" t="inlineStr">
        <is>
          <t>Papel higiénico 4 rollos</t>
        </is>
      </c>
      <c r="R50" t="inlineStr">
        <is>
          <t>Higiene</t>
        </is>
      </c>
      <c r="S50" t="inlineStr">
        <is>
          <t>Higiene Total C.A.</t>
        </is>
      </c>
      <c r="T50" t="inlineStr">
        <is>
          <t>2207-5566</t>
        </is>
      </c>
      <c r="U50" t="inlineStr">
        <is>
          <t>2,15</t>
        </is>
      </c>
      <c r="V50" t="n">
        <v>6</v>
      </c>
      <c r="W50" t="n">
        <v>0</v>
      </c>
      <c r="X50">
        <f>IFERROR(U50*V50*(1-W50/100),"")</f>
        <v/>
      </c>
      <c r="Y50">
        <f>IFERROR(ROUND(X50*0.13,2),"")</f>
        <v/>
      </c>
      <c r="Z50">
        <f>IFERROR(X50+Y50,"")</f>
        <v/>
      </c>
      <c r="AA50" t="inlineStr">
        <is>
          <t>Efectivo</t>
        </is>
      </c>
      <c r="AB50" t="inlineStr">
        <is>
          <t>pagó con billete de $100</t>
        </is>
      </c>
    </row>
    <row r="51">
      <c r="A51" t="inlineStr">
        <is>
          <t>F-10488</t>
        </is>
      </c>
      <c r="B51" t="inlineStr">
        <is>
          <t>2026-07-09</t>
        </is>
      </c>
      <c r="C51" t="inlineStr">
        <is>
          <t>CCF</t>
        </is>
      </c>
      <c r="D51" t="inlineStr">
        <is>
          <t>SM01</t>
        </is>
      </c>
      <c r="E51" t="inlineStr">
        <is>
          <t>SAN MIGUEL</t>
        </is>
      </c>
      <c r="F51" t="inlineStr">
        <is>
          <t>Av. Roosevelt Sur #7</t>
        </is>
      </c>
      <c r="G51" t="inlineStr">
        <is>
          <t>San Miguel</t>
        </is>
      </c>
      <c r="H51" t="inlineStr">
        <is>
          <t>San Miguel</t>
        </is>
      </c>
      <c r="I51" t="inlineStr">
        <is>
          <t>Iris Portillo</t>
        </is>
      </c>
      <c r="J51" t="inlineStr">
        <is>
          <t>2661-5076</t>
        </is>
      </c>
      <c r="K51" t="inlineStr">
        <is>
          <t>Paola Cruz</t>
        </is>
      </c>
      <c r="L51" t="inlineStr">
        <is>
          <t>Hotel Brisas del Mar</t>
        </is>
      </c>
      <c r="M51" t="inlineStr">
        <is>
          <t>280004-0</t>
        </is>
      </c>
      <c r="N51" t="inlineStr">
        <is>
          <t>2129-2911</t>
        </is>
      </c>
      <c r="O51" t="inlineStr">
        <is>
          <t>Contribuyente</t>
        </is>
      </c>
      <c r="P51" t="inlineStr">
        <is>
          <t>PAN-002</t>
        </is>
      </c>
      <c r="Q51" t="inlineStr">
        <is>
          <t>Semita alta</t>
        </is>
      </c>
      <c r="R51" t="inlineStr">
        <is>
          <t>Panadería</t>
        </is>
      </c>
      <c r="S51" t="inlineStr">
        <is>
          <t>Panificadora Ilopango</t>
        </is>
      </c>
      <c r="T51" t="inlineStr">
        <is>
          <t>2295-0081</t>
        </is>
      </c>
      <c r="U51" t="inlineStr">
        <is>
          <t>$1.75</t>
        </is>
      </c>
      <c r="V51" t="n">
        <v>1</v>
      </c>
      <c r="W51" t="n">
        <v>0</v>
      </c>
      <c r="X51">
        <f>IFERROR(U51*V51*(1-W51/100),"")</f>
        <v/>
      </c>
      <c r="Y51">
        <f>IFERROR(ROUND(X51*0.13,2),"")</f>
        <v/>
      </c>
      <c r="Z51">
        <f>IFERROR(X51+Y51,"")</f>
        <v/>
      </c>
      <c r="AA51" t="inlineStr">
        <is>
          <t>Chivo</t>
        </is>
      </c>
      <c r="AB51" t="inlineStr"/>
    </row>
    <row r="52">
      <c r="A52" t="inlineStr">
        <is>
          <t>F-10491</t>
        </is>
      </c>
      <c r="B52" s="3" t="n">
        <v>46280</v>
      </c>
      <c r="C52" t="inlineStr">
        <is>
          <t>Factura</t>
        </is>
      </c>
      <c r="D52" t="inlineStr">
        <is>
          <t>SS02</t>
        </is>
      </c>
      <c r="E52" t="inlineStr">
        <is>
          <t>ESCALON</t>
        </is>
      </c>
      <c r="F52" t="inlineStr">
        <is>
          <t>Paseo General Escalón #3910</t>
        </is>
      </c>
      <c r="G52" t="inlineStr">
        <is>
          <t>San Salvador</t>
        </is>
      </c>
      <c r="H52" t="inlineStr">
        <is>
          <t>San Salvador</t>
        </is>
      </c>
      <c r="I52" t="inlineStr">
        <is>
          <t>Claudia Menjívar</t>
        </is>
      </c>
      <c r="J52" t="inlineStr">
        <is>
          <t>2264-1190</t>
        </is>
      </c>
      <c r="K52" t="inlineStr">
        <is>
          <t>Kevin Benítez</t>
        </is>
      </c>
      <c r="L52" t="inlineStr">
        <is>
          <t>Carlos García Cornejo</t>
        </is>
      </c>
      <c r="M52" t="inlineStr">
        <is>
          <t>09671747-5</t>
        </is>
      </c>
      <c r="N52" t="inlineStr">
        <is>
          <t>6898-8471</t>
        </is>
      </c>
      <c r="O52" t="inlineStr">
        <is>
          <t>Consumidor final</t>
        </is>
      </c>
      <c r="P52" t="inlineStr">
        <is>
          <t>LAC-003</t>
        </is>
      </c>
      <c r="Q52" t="inlineStr">
        <is>
          <t>Leche entera 1L</t>
        </is>
      </c>
      <c r="R52" t="inlineStr">
        <is>
          <t>Lácteos</t>
        </is>
      </c>
      <c r="S52" t="inlineStr">
        <is>
          <t>Lácteos Chalate</t>
        </is>
      </c>
      <c r="T52" t="inlineStr">
        <is>
          <t>2335-1020</t>
        </is>
      </c>
      <c r="U52" t="n">
        <v>1.2</v>
      </c>
      <c r="V52" t="n">
        <v>1</v>
      </c>
      <c r="W52" t="n">
        <v>0</v>
      </c>
      <c r="X52">
        <f>IFERROR(U52*V52*(1-W52/100),"")</f>
        <v/>
      </c>
      <c r="Y52">
        <f>IFERROR(ROUND(X52*0.13,2),"")</f>
        <v/>
      </c>
      <c r="Z52">
        <f>IFERROR(X52+Y52,"")</f>
        <v/>
      </c>
      <c r="AA52" t="inlineStr">
        <is>
          <t>Efectivo</t>
        </is>
      </c>
      <c r="AB52" t="inlineStr"/>
    </row>
    <row r="53">
      <c r="A53" t="inlineStr">
        <is>
          <t>F-10491</t>
        </is>
      </c>
      <c r="B53" t="inlineStr">
        <is>
          <t>15/09/2026</t>
        </is>
      </c>
      <c r="C53" t="inlineStr">
        <is>
          <t>Factura</t>
        </is>
      </c>
      <c r="D53" t="inlineStr">
        <is>
          <t>SS02</t>
        </is>
      </c>
      <c r="E53" t="inlineStr">
        <is>
          <t>Escalon</t>
        </is>
      </c>
      <c r="F53" t="inlineStr">
        <is>
          <t>Paseo General Escalón #3910</t>
        </is>
      </c>
      <c r="G53" t="inlineStr">
        <is>
          <t>San Salvador</t>
        </is>
      </c>
      <c r="H53" t="inlineStr">
        <is>
          <t>San Salvador</t>
        </is>
      </c>
      <c r="I53" t="inlineStr">
        <is>
          <t>Claudia Menjívar</t>
        </is>
      </c>
      <c r="J53" t="inlineStr">
        <is>
          <t>2264-1190</t>
        </is>
      </c>
      <c r="K53" t="inlineStr">
        <is>
          <t>Kevin Benítez</t>
        </is>
      </c>
      <c r="L53" t="inlineStr">
        <is>
          <t>Carlos García Cornejo</t>
        </is>
      </c>
      <c r="M53" t="inlineStr">
        <is>
          <t>09671747-5</t>
        </is>
      </c>
      <c r="N53" t="inlineStr">
        <is>
          <t>6898-8471</t>
        </is>
      </c>
      <c r="O53" t="inlineStr">
        <is>
          <t>Consumidor final</t>
        </is>
      </c>
      <c r="P53" t="inlineStr">
        <is>
          <t>PAN-002</t>
        </is>
      </c>
      <c r="Q53" t="inlineStr">
        <is>
          <t>Semita alta</t>
        </is>
      </c>
      <c r="R53" t="inlineStr">
        <is>
          <t>Panadería</t>
        </is>
      </c>
      <c r="S53" t="inlineStr">
        <is>
          <t>Panificadora Ilopango</t>
        </is>
      </c>
      <c r="T53" t="inlineStr">
        <is>
          <t>2295-0081</t>
        </is>
      </c>
      <c r="U53" t="n">
        <v>1.75</v>
      </c>
      <c r="V53" t="n">
        <v>1</v>
      </c>
      <c r="W53" t="n">
        <v>0</v>
      </c>
      <c r="X53">
        <f>IFERROR(U53*V53*(1-W53/100),"")</f>
        <v/>
      </c>
      <c r="Y53">
        <f>IFERROR(ROUND(X53*0.13,2),"")</f>
        <v/>
      </c>
      <c r="Z53">
        <f>IFERROR(X53+Y53,"")</f>
        <v/>
      </c>
      <c r="AA53" t="inlineStr">
        <is>
          <t>Efectivo</t>
        </is>
      </c>
      <c r="AB53" t="inlineStr">
        <is>
          <t>Cliente frecuente</t>
        </is>
      </c>
    </row>
    <row r="54">
      <c r="A54" t="inlineStr">
        <is>
          <t>F-10494</t>
        </is>
      </c>
      <c r="B54" s="3" t="n">
        <v>46253</v>
      </c>
      <c r="C54" t="inlineStr">
        <is>
          <t>Factura</t>
        </is>
      </c>
      <c r="D54" t="inlineStr">
        <is>
          <t>SA01</t>
        </is>
      </c>
      <c r="E54" t="inlineStr">
        <is>
          <t>STA ANA</t>
        </is>
      </c>
      <c r="F54" t="inlineStr">
        <is>
          <t>Av. Independencia Sur #12</t>
        </is>
      </c>
      <c r="G54" t="inlineStr">
        <is>
          <t>Santa Ana</t>
        </is>
      </c>
      <c r="H54" t="inlineStr">
        <is>
          <t>Santa Ana</t>
        </is>
      </c>
      <c r="I54" t="inlineStr">
        <is>
          <t>Mauricio Linares</t>
        </is>
      </c>
      <c r="J54" t="inlineStr">
        <is>
          <t>2440-9921</t>
        </is>
      </c>
      <c r="K54" t="inlineStr">
        <is>
          <t>Sofía Cáceres</t>
        </is>
      </c>
      <c r="L54" t="inlineStr">
        <is>
          <t>José Cornejo Hernández</t>
        </is>
      </c>
      <c r="M54" t="inlineStr">
        <is>
          <t>07580296-3</t>
        </is>
      </c>
      <c r="N54" t="inlineStr">
        <is>
          <t>6828-1335</t>
        </is>
      </c>
      <c r="O54" t="inlineStr">
        <is>
          <t>Consumidor final</t>
        </is>
      </c>
      <c r="P54" t="inlineStr">
        <is>
          <t>PAN-002</t>
        </is>
      </c>
      <c r="Q54" t="inlineStr">
        <is>
          <t>Semita alta</t>
        </is>
      </c>
      <c r="R54" t="inlineStr">
        <is>
          <t>Panadería</t>
        </is>
      </c>
      <c r="S54" t="inlineStr">
        <is>
          <t>Panificadora Ilopango</t>
        </is>
      </c>
      <c r="T54" t="inlineStr">
        <is>
          <t>2295-0081</t>
        </is>
      </c>
      <c r="U54" t="inlineStr">
        <is>
          <t>1,75</t>
        </is>
      </c>
      <c r="V54" t="n">
        <v>1</v>
      </c>
      <c r="W54" t="n">
        <v>0</v>
      </c>
      <c r="X54">
        <f>IFERROR(U54*V54*(1-W54/100),"")</f>
        <v/>
      </c>
      <c r="Y54">
        <f>IFERROR(ROUND(X54*0.13,2),"")</f>
        <v/>
      </c>
      <c r="Z54">
        <f>IFERROR(X54+Y54,"")</f>
        <v/>
      </c>
      <c r="AA54" t="inlineStr">
        <is>
          <t>Efectivo</t>
        </is>
      </c>
      <c r="AB54" t="inlineStr">
        <is>
          <t>pagó con billete de $100</t>
        </is>
      </c>
    </row>
    <row r="55">
      <c r="A55" t="inlineStr">
        <is>
          <t>F-10494</t>
        </is>
      </c>
      <c r="B55" s="3" t="n">
        <v>46253</v>
      </c>
      <c r="C55" t="inlineStr">
        <is>
          <t>Factura</t>
        </is>
      </c>
      <c r="D55" t="inlineStr">
        <is>
          <t>SA01</t>
        </is>
      </c>
      <c r="E55" t="inlineStr">
        <is>
          <t>STA ANA</t>
        </is>
      </c>
      <c r="F55" t="inlineStr">
        <is>
          <t>Av. Independencia Sur #12</t>
        </is>
      </c>
      <c r="G55" t="inlineStr">
        <is>
          <t>Santa Ana</t>
        </is>
      </c>
      <c r="H55" t="inlineStr">
        <is>
          <t>Santa Ana</t>
        </is>
      </c>
      <c r="I55" t="inlineStr">
        <is>
          <t>Mauricio Linares</t>
        </is>
      </c>
      <c r="J55" t="inlineStr">
        <is>
          <t>2440-9921</t>
        </is>
      </c>
      <c r="K55" t="inlineStr">
        <is>
          <t>Sofía Cáceres</t>
        </is>
      </c>
      <c r="L55" t="inlineStr">
        <is>
          <t>José Cornejo Hernández</t>
        </is>
      </c>
      <c r="M55" t="inlineStr">
        <is>
          <t>07580296-3</t>
        </is>
      </c>
      <c r="N55" t="inlineStr">
        <is>
          <t>6828-1335</t>
        </is>
      </c>
      <c r="O55" t="inlineStr">
        <is>
          <t>Consumidor final</t>
        </is>
      </c>
      <c r="P55" t="inlineStr">
        <is>
          <t>PAN-003</t>
        </is>
      </c>
      <c r="Q55" t="inlineStr">
        <is>
          <t>Quesadilla salvadoreña</t>
        </is>
      </c>
      <c r="R55" t="inlineStr">
        <is>
          <t>PANADERIA</t>
        </is>
      </c>
      <c r="S55" t="inlineStr">
        <is>
          <t>Panificadora Ilopango</t>
        </is>
      </c>
      <c r="T55" t="inlineStr">
        <is>
          <t>2295-0081</t>
        </is>
      </c>
      <c r="U55" t="n">
        <v>2.5</v>
      </c>
      <c r="V55" t="n">
        <v>1</v>
      </c>
      <c r="W55" t="n">
        <v>0</v>
      </c>
      <c r="X55">
        <f>IFERROR(U55*V55*(1-W55/100),"")</f>
        <v/>
      </c>
      <c r="Y55">
        <f>IFERROR(ROUND(X55*0.13,2),"")</f>
        <v/>
      </c>
      <c r="Z55">
        <f>IFERROR(X55+Y55,"")</f>
        <v/>
      </c>
      <c r="AA55" t="inlineStr">
        <is>
          <t>Efectivo</t>
        </is>
      </c>
      <c r="AB55" t="inlineStr"/>
    </row>
    <row r="56">
      <c r="A56" t="inlineStr">
        <is>
          <t>F-10494</t>
        </is>
      </c>
      <c r="B56" s="3" t="n">
        <v>46253</v>
      </c>
      <c r="C56" t="inlineStr">
        <is>
          <t>Factura</t>
        </is>
      </c>
      <c r="D56" t="inlineStr">
        <is>
          <t>SA01</t>
        </is>
      </c>
      <c r="E56" t="inlineStr">
        <is>
          <t>STA ANA</t>
        </is>
      </c>
      <c r="F56" t="inlineStr">
        <is>
          <t>Av. Independencia Sur #12</t>
        </is>
      </c>
      <c r="G56" t="inlineStr">
        <is>
          <t>Santa Ana</t>
        </is>
      </c>
      <c r="H56" t="inlineStr">
        <is>
          <t>Santa Ana</t>
        </is>
      </c>
      <c r="I56" t="inlineStr">
        <is>
          <t>Mauricio Linares</t>
        </is>
      </c>
      <c r="J56" t="inlineStr">
        <is>
          <t>2440-9921</t>
        </is>
      </c>
      <c r="K56" t="inlineStr">
        <is>
          <t>Sofía Cáceres</t>
        </is>
      </c>
      <c r="L56" t="inlineStr">
        <is>
          <t>José Cornejo Hernández</t>
        </is>
      </c>
      <c r="M56" t="inlineStr">
        <is>
          <t>07580296-3</t>
        </is>
      </c>
      <c r="N56" t="inlineStr">
        <is>
          <t>6828-1335</t>
        </is>
      </c>
      <c r="O56" t="inlineStr">
        <is>
          <t>Consumidor final</t>
        </is>
      </c>
      <c r="P56" t="inlineStr">
        <is>
          <t>AZU-001</t>
        </is>
      </c>
      <c r="Q56" t="inlineStr">
        <is>
          <t>Azúcar blanca 2.5kg</t>
        </is>
      </c>
      <c r="R56" t="inlineStr">
        <is>
          <t>Abarrotes</t>
        </is>
      </c>
      <c r="S56" t="inlineStr">
        <is>
          <t>Granos del Pacífico</t>
        </is>
      </c>
      <c r="T56" t="inlineStr">
        <is>
          <t>2234-8890</t>
        </is>
      </c>
      <c r="U56" t="n">
        <v>3.1</v>
      </c>
      <c r="V56" t="n">
        <v>1</v>
      </c>
      <c r="W56" t="n">
        <v>0</v>
      </c>
      <c r="X56">
        <f>IFERROR(U56*V56*(1-W56/100),"")</f>
        <v/>
      </c>
      <c r="Y56">
        <f>IFERROR(ROUND(X56*0.13,2),"")</f>
        <v/>
      </c>
      <c r="Z56">
        <f>IFERROR(X56+Y56,"")</f>
        <v/>
      </c>
      <c r="AA56" t="inlineStr">
        <is>
          <t>Efectivo</t>
        </is>
      </c>
      <c r="AB56" t="inlineStr">
        <is>
          <t>Llamar al 7788-1234 antes de entregar</t>
        </is>
      </c>
    </row>
    <row r="57">
      <c r="A57" t="inlineStr">
        <is>
          <t>F-10494</t>
        </is>
      </c>
      <c r="B57" s="3" t="n">
        <v>46253</v>
      </c>
      <c r="C57" t="inlineStr">
        <is>
          <t>Factura</t>
        </is>
      </c>
      <c r="D57" t="inlineStr">
        <is>
          <t>SA01</t>
        </is>
      </c>
      <c r="E57" t="inlineStr">
        <is>
          <t>STA ANA</t>
        </is>
      </c>
      <c r="F57" t="inlineStr">
        <is>
          <t>Av. Independencia Sur #12</t>
        </is>
      </c>
      <c r="G57" t="inlineStr">
        <is>
          <t>Santa Ana</t>
        </is>
      </c>
      <c r="H57" t="inlineStr">
        <is>
          <t>Santa Ana</t>
        </is>
      </c>
      <c r="I57" t="inlineStr">
        <is>
          <t>Mauricio Linares</t>
        </is>
      </c>
      <c r="J57" t="inlineStr">
        <is>
          <t>2440-9921</t>
        </is>
      </c>
      <c r="K57" t="inlineStr">
        <is>
          <t>Sofía Cáceres</t>
        </is>
      </c>
      <c r="L57" t="inlineStr">
        <is>
          <t>José Cornejo Hernández</t>
        </is>
      </c>
      <c r="M57" t="inlineStr">
        <is>
          <t>07580296-3</t>
        </is>
      </c>
      <c r="N57" t="inlineStr">
        <is>
          <t>6828-1335</t>
        </is>
      </c>
      <c r="O57" t="inlineStr">
        <is>
          <t>Consumidor final</t>
        </is>
      </c>
      <c r="P57" t="inlineStr">
        <is>
          <t>LAC-003</t>
        </is>
      </c>
      <c r="Q57" t="inlineStr">
        <is>
          <t>Leche entera 1L</t>
        </is>
      </c>
      <c r="R57" t="inlineStr">
        <is>
          <t>Lácteos</t>
        </is>
      </c>
      <c r="S57" t="inlineStr">
        <is>
          <t>Lácteos Chalate</t>
        </is>
      </c>
      <c r="T57" t="inlineStr">
        <is>
          <t>7120-4455</t>
        </is>
      </c>
      <c r="U57" t="n">
        <v>1.2</v>
      </c>
      <c r="V57" t="n">
        <v>3</v>
      </c>
      <c r="W57" t="n">
        <v>0</v>
      </c>
      <c r="X57">
        <f>IFERROR(U57*V57*(1-W57/100),"")</f>
        <v/>
      </c>
      <c r="Y57">
        <f>IFERROR(ROUND(X57*0.13,2),"")</f>
        <v/>
      </c>
      <c r="Z57">
        <f>IFERROR(X57+Y57,"")</f>
        <v/>
      </c>
      <c r="AA57" t="inlineStr">
        <is>
          <t>Efectivo</t>
        </is>
      </c>
      <c r="AB57" t="inlineStr"/>
    </row>
    <row r="58">
      <c r="A58" t="inlineStr">
        <is>
          <t>F-10495</t>
        </is>
      </c>
      <c r="B58" s="3" t="n">
        <v>46238</v>
      </c>
      <c r="C58" t="inlineStr">
        <is>
          <t>CCF</t>
        </is>
      </c>
      <c r="D58" t="inlineStr">
        <is>
          <t>SM01</t>
        </is>
      </c>
      <c r="E58" t="inlineStr">
        <is>
          <t>San Miguel</t>
        </is>
      </c>
      <c r="F58" t="inlineStr">
        <is>
          <t>Av. Roosevelt Sur #7</t>
        </is>
      </c>
      <c r="G58" t="inlineStr">
        <is>
          <t>San Miguel</t>
        </is>
      </c>
      <c r="H58" t="inlineStr">
        <is>
          <t>San Miguel</t>
        </is>
      </c>
      <c r="I58" t="inlineStr">
        <is>
          <t>Iris Portillo</t>
        </is>
      </c>
      <c r="J58" t="inlineStr">
        <is>
          <t>2661-5076</t>
        </is>
      </c>
      <c r="K58" t="inlineStr">
        <is>
          <t>Jorge Villalta</t>
        </is>
      </c>
      <c r="L58" t="inlineStr">
        <is>
          <t>Pupusería El Comal</t>
        </is>
      </c>
      <c r="M58" t="inlineStr">
        <is>
          <t>261664-6</t>
        </is>
      </c>
      <c r="N58" t="inlineStr">
        <is>
          <t>6293-1154</t>
        </is>
      </c>
      <c r="O58" t="inlineStr">
        <is>
          <t>Contribuyente</t>
        </is>
      </c>
      <c r="P58" t="inlineStr">
        <is>
          <t>BEB-003</t>
        </is>
      </c>
      <c r="Q58" t="inlineStr">
        <is>
          <t>Horchata en polvo 400g</t>
        </is>
      </c>
      <c r="R58" t="inlineStr">
        <is>
          <t>Bebidas</t>
        </is>
      </c>
      <c r="S58" t="inlineStr">
        <is>
          <t>Bebidas Izalco</t>
        </is>
      </c>
      <c r="T58" t="inlineStr">
        <is>
          <t>2450-7700</t>
        </is>
      </c>
      <c r="U58" t="inlineStr">
        <is>
          <t>$2.60</t>
        </is>
      </c>
      <c r="V58" t="n">
        <v>1</v>
      </c>
      <c r="W58" t="n">
        <v>5</v>
      </c>
      <c r="X58">
        <f>IFERROR(U58*V58*(1-W58/100),"")</f>
        <v/>
      </c>
      <c r="Y58">
        <f>IFERROR(ROUND(X58*0.13,2),"")</f>
        <v/>
      </c>
      <c r="Z58">
        <f>IFERROR(X58+Y58,"")</f>
        <v/>
      </c>
      <c r="AA58" t="inlineStr">
        <is>
          <t>Tarjeta</t>
        </is>
      </c>
      <c r="AB58" t="inlineStr">
        <is>
          <t>precio especial autorizado por gerente</t>
        </is>
      </c>
    </row>
    <row r="59">
      <c r="A59" t="inlineStr">
        <is>
          <t>F-10495</t>
        </is>
      </c>
      <c r="B59" s="3" t="n">
        <v>46238</v>
      </c>
      <c r="C59" t="inlineStr">
        <is>
          <t>CCF</t>
        </is>
      </c>
      <c r="D59" t="inlineStr">
        <is>
          <t>SM01</t>
        </is>
      </c>
      <c r="E59" t="inlineStr">
        <is>
          <t>San Miguel</t>
        </is>
      </c>
      <c r="F59" t="inlineStr">
        <is>
          <t>Av. Roosevelt Sur #7</t>
        </is>
      </c>
      <c r="G59" t="inlineStr">
        <is>
          <t>San Miguel</t>
        </is>
      </c>
      <c r="H59" t="inlineStr">
        <is>
          <t>San Miguel</t>
        </is>
      </c>
      <c r="I59" t="inlineStr">
        <is>
          <t>Iris Portillo</t>
        </is>
      </c>
      <c r="J59" t="inlineStr">
        <is>
          <t>2661-5076</t>
        </is>
      </c>
      <c r="K59" t="inlineStr">
        <is>
          <t>Jorge Villalta</t>
        </is>
      </c>
      <c r="L59" t="inlineStr">
        <is>
          <t>Pupusería El Comal</t>
        </is>
      </c>
      <c r="M59" t="inlineStr">
        <is>
          <t>261664-6</t>
        </is>
      </c>
      <c r="N59" t="inlineStr">
        <is>
          <t>6293-1154</t>
        </is>
      </c>
      <c r="O59" t="inlineStr">
        <is>
          <t>Contribuyente</t>
        </is>
      </c>
      <c r="P59" t="inlineStr">
        <is>
          <t>HIG-001</t>
        </is>
      </c>
      <c r="Q59" t="inlineStr">
        <is>
          <t>Detergente 1kg</t>
        </is>
      </c>
      <c r="R59" t="inlineStr">
        <is>
          <t>limpieza</t>
        </is>
      </c>
      <c r="S59" t="inlineStr">
        <is>
          <t>Higiene Total C.A.</t>
        </is>
      </c>
      <c r="T59" t="inlineStr">
        <is>
          <t>2207-5566</t>
        </is>
      </c>
      <c r="U59" t="n">
        <v>3.45</v>
      </c>
      <c r="V59" t="n">
        <v>-4</v>
      </c>
      <c r="W59" t="n">
        <v>0</v>
      </c>
      <c r="X59">
        <f>IFERROR(U59*V59*(1-W59/100),"")</f>
        <v/>
      </c>
      <c r="Y59">
        <f>IFERROR(ROUND(X59*0.13,2),"")</f>
        <v/>
      </c>
      <c r="Z59">
        <f>IFERROR(X59+Y59,"")</f>
        <v/>
      </c>
      <c r="AA59" t="inlineStr">
        <is>
          <t>Tarjeta</t>
        </is>
      </c>
      <c r="AB59" t="inlineStr"/>
    </row>
    <row r="60">
      <c r="A60" t="inlineStr">
        <is>
          <t>F-10495</t>
        </is>
      </c>
      <c r="B60" s="3" t="n">
        <v>46238</v>
      </c>
      <c r="C60" t="inlineStr">
        <is>
          <t>CCF</t>
        </is>
      </c>
      <c r="D60" t="inlineStr">
        <is>
          <t>SM01</t>
        </is>
      </c>
      <c r="E60" t="inlineStr">
        <is>
          <t>S. Miguel</t>
        </is>
      </c>
      <c r="F60" t="inlineStr">
        <is>
          <t>Av. Roosevelt Sur #7</t>
        </is>
      </c>
      <c r="G60" t="inlineStr">
        <is>
          <t>San Miguel</t>
        </is>
      </c>
      <c r="H60" t="inlineStr">
        <is>
          <t>San Miguel</t>
        </is>
      </c>
      <c r="I60" t="inlineStr">
        <is>
          <t>Iris Portillo</t>
        </is>
      </c>
      <c r="J60" t="inlineStr">
        <is>
          <t>2661-5076</t>
        </is>
      </c>
      <c r="K60" t="inlineStr">
        <is>
          <t>Jorge Villalta</t>
        </is>
      </c>
      <c r="L60" t="inlineStr">
        <is>
          <t>Pupusería El Comal</t>
        </is>
      </c>
      <c r="M60" t="inlineStr">
        <is>
          <t>261664-6</t>
        </is>
      </c>
      <c r="N60" t="inlineStr">
        <is>
          <t>6293-1154</t>
        </is>
      </c>
      <c r="O60" t="inlineStr">
        <is>
          <t>Contribuyente</t>
        </is>
      </c>
      <c r="P60" t="inlineStr">
        <is>
          <t>LAC-001</t>
        </is>
      </c>
      <c r="Q60" t="inlineStr">
        <is>
          <t>Quesillo 1lb</t>
        </is>
      </c>
      <c r="R60" t="inlineStr">
        <is>
          <t>LACTEOS</t>
        </is>
      </c>
      <c r="S60" t="inlineStr">
        <is>
          <t>Lácteos Chalate</t>
        </is>
      </c>
      <c r="T60" t="inlineStr">
        <is>
          <t>2335-1020</t>
        </is>
      </c>
      <c r="U60" t="n">
        <v>3.8</v>
      </c>
      <c r="V60" t="n">
        <v>6</v>
      </c>
      <c r="W60" t="n">
        <v>0</v>
      </c>
      <c r="X60">
        <f>IFERROR(U60*V60*(1-W60/100),"")</f>
        <v/>
      </c>
      <c r="Y60">
        <f>IFERROR(ROUND(X60*0.13,2),"")</f>
        <v/>
      </c>
      <c r="Z60">
        <f>IFERROR(X60+Y60,"")</f>
        <v/>
      </c>
      <c r="AA60" t="inlineStr">
        <is>
          <t>Tarjeta</t>
        </is>
      </c>
      <c r="AB60" t="inlineStr"/>
    </row>
    <row r="61">
      <c r="A61" t="inlineStr">
        <is>
          <t>F-10496</t>
        </is>
      </c>
      <c r="B61" s="3" t="n">
        <v>46281</v>
      </c>
      <c r="C61" t="inlineStr">
        <is>
          <t>Factura</t>
        </is>
      </c>
      <c r="D61" t="inlineStr">
        <is>
          <t>SS03</t>
        </is>
      </c>
      <c r="E61" t="inlineStr">
        <is>
          <t>Soyapango</t>
        </is>
      </c>
      <c r="F61" t="inlineStr">
        <is>
          <t>Blvd. del Ejército km 4</t>
        </is>
      </c>
      <c r="G61" t="inlineStr">
        <is>
          <t>Soyapango</t>
        </is>
      </c>
      <c r="H61" t="inlineStr">
        <is>
          <t>San Salvador</t>
        </is>
      </c>
      <c r="I61" t="inlineStr">
        <is>
          <t>Karla Henríquez</t>
        </is>
      </c>
      <c r="J61" t="inlineStr">
        <is>
          <t>2277-3402</t>
        </is>
      </c>
      <c r="K61" t="inlineStr">
        <is>
          <t>Carlos Molina</t>
        </is>
      </c>
      <c r="L61" t="inlineStr">
        <is>
          <t>Rosa López Castillo</t>
        </is>
      </c>
      <c r="M61" t="inlineStr">
        <is>
          <t>09782214-9</t>
        </is>
      </c>
      <c r="N61" t="inlineStr">
        <is>
          <t>6806-3209</t>
        </is>
      </c>
      <c r="O61" t="inlineStr">
        <is>
          <t>Consumidor final</t>
        </is>
      </c>
      <c r="P61" t="inlineStr">
        <is>
          <t>CAF-002</t>
        </is>
      </c>
      <c r="Q61" t="inlineStr">
        <is>
          <t>Café en grano 1lb</t>
        </is>
      </c>
      <c r="R61" t="inlineStr">
        <is>
          <t>Abarrotes</t>
        </is>
      </c>
      <c r="S61" t="inlineStr">
        <is>
          <t>Café Volcán S.A.</t>
        </is>
      </c>
      <c r="T61" t="inlineStr">
        <is>
          <t>2510-3344</t>
        </is>
      </c>
      <c r="U61" t="n">
        <v>6.75</v>
      </c>
      <c r="V61" t="n">
        <v>1</v>
      </c>
      <c r="W61" t="n">
        <v>0</v>
      </c>
      <c r="X61">
        <f>IFERROR(U61*V61*(1-W61/100),"")</f>
        <v/>
      </c>
      <c r="Y61">
        <f>IFERROR(ROUND(X61*0.13,2),"")</f>
        <v/>
      </c>
      <c r="Z61">
        <f>IFERROR(X61+Y61,"")</f>
        <v/>
      </c>
      <c r="AA61" t="inlineStr">
        <is>
          <t>Transferencia</t>
        </is>
      </c>
      <c r="AB61" t="inlineStr">
        <is>
          <t>pagó con billete de $100</t>
        </is>
      </c>
    </row>
    <row r="62">
      <c r="A62" t="inlineStr">
        <is>
          <t>F-10498</t>
        </is>
      </c>
      <c r="B62" s="3" t="n">
        <v>46242</v>
      </c>
      <c r="C62" t="inlineStr">
        <is>
          <t>Factura</t>
        </is>
      </c>
      <c r="D62" t="inlineStr">
        <is>
          <t>LL02</t>
        </is>
      </c>
      <c r="E62" t="inlineStr">
        <is>
          <t>Puerto de La Libertad</t>
        </is>
      </c>
      <c r="F62" t="inlineStr">
        <is>
          <t>Calle El Malecón, Local 4</t>
        </is>
      </c>
      <c r="G62" t="inlineStr">
        <is>
          <t>La Libertad</t>
        </is>
      </c>
      <c r="H62" t="inlineStr">
        <is>
          <t>La Libertad</t>
        </is>
      </c>
      <c r="I62" t="inlineStr">
        <is>
          <t>Wendy Aguilar</t>
        </is>
      </c>
      <c r="J62" t="inlineStr">
        <is>
          <t>2335-6140</t>
        </is>
      </c>
      <c r="K62" t="inlineStr">
        <is>
          <t>Gabriela Saravia</t>
        </is>
      </c>
      <c r="L62" t="inlineStr">
        <is>
          <t>Walter Quintanilla Rivera</t>
        </is>
      </c>
      <c r="M62" t="inlineStr">
        <is>
          <t>08724671-3</t>
        </is>
      </c>
      <c r="N62" t="inlineStr">
        <is>
          <t>6114-2738</t>
        </is>
      </c>
      <c r="O62" t="inlineStr">
        <is>
          <t>Consumidor final</t>
        </is>
      </c>
      <c r="P62" t="inlineStr">
        <is>
          <t>AZU-001</t>
        </is>
      </c>
      <c r="Q62" t="inlineStr">
        <is>
          <t>Azúcar blanca 2.5kg</t>
        </is>
      </c>
      <c r="R62" t="inlineStr">
        <is>
          <t>Abarrotes</t>
        </is>
      </c>
      <c r="S62" t="inlineStr">
        <is>
          <t>Granos del Pacífico</t>
        </is>
      </c>
      <c r="T62" t="inlineStr">
        <is>
          <t>2234-8890</t>
        </is>
      </c>
      <c r="U62" t="n">
        <v>3.1</v>
      </c>
      <c r="V62" t="n">
        <v>6</v>
      </c>
      <c r="W62" t="n">
        <v>0</v>
      </c>
      <c r="X62">
        <f>IFERROR(U62*V62*(1-W62/100),"")</f>
        <v/>
      </c>
      <c r="Y62">
        <f>IFERROR(ROUND(X62*0.13,2),"")</f>
        <v/>
      </c>
      <c r="Z62">
        <f>IFERROR(X62+Y62,"")</f>
        <v/>
      </c>
      <c r="AA62" t="inlineStr">
        <is>
          <t>TARJETA</t>
        </is>
      </c>
      <c r="AB62" t="inlineStr">
        <is>
          <t>Llamar al 7788-1234 antes de entregar</t>
        </is>
      </c>
    </row>
    <row r="63">
      <c r="A63" t="inlineStr">
        <is>
          <t>F-10498</t>
        </is>
      </c>
      <c r="B63" s="3" t="n">
        <v>46242</v>
      </c>
      <c r="C63" t="inlineStr">
        <is>
          <t>Factura</t>
        </is>
      </c>
      <c r="D63" t="inlineStr">
        <is>
          <t>LL02</t>
        </is>
      </c>
      <c r="E63" t="inlineStr">
        <is>
          <t>La Libertad Puerto</t>
        </is>
      </c>
      <c r="F63" t="inlineStr">
        <is>
          <t>Calle El Malecón, Local 4</t>
        </is>
      </c>
      <c r="G63" t="inlineStr">
        <is>
          <t>La Libertad</t>
        </is>
      </c>
      <c r="H63" t="inlineStr">
        <is>
          <t>La Libertad</t>
        </is>
      </c>
      <c r="I63" t="inlineStr">
        <is>
          <t>Wendy Aguilar</t>
        </is>
      </c>
      <c r="J63" t="inlineStr">
        <is>
          <t>2335-6140</t>
        </is>
      </c>
      <c r="K63" t="inlineStr">
        <is>
          <t>Gabriela Saravia</t>
        </is>
      </c>
      <c r="L63" t="inlineStr">
        <is>
          <t>Walter Quintanilla Rivera</t>
        </is>
      </c>
      <c r="M63" t="inlineStr">
        <is>
          <t>08724671-3</t>
        </is>
      </c>
      <c r="N63" t="inlineStr">
        <is>
          <t>6114-2738</t>
        </is>
      </c>
      <c r="O63" t="inlineStr">
        <is>
          <t>Consumidor final</t>
        </is>
      </c>
      <c r="P63" t="inlineStr">
        <is>
          <t>HIG-003</t>
        </is>
      </c>
      <c r="Q63" t="inlineStr">
        <is>
          <t>Jabón de lavar barra</t>
        </is>
      </c>
      <c r="R63" t="inlineStr">
        <is>
          <t>Limpieza</t>
        </is>
      </c>
      <c r="S63" t="inlineStr">
        <is>
          <t>Higiene Total C.A.</t>
        </is>
      </c>
      <c r="T63" t="inlineStr">
        <is>
          <t>2207-5566</t>
        </is>
      </c>
      <c r="U63" t="inlineStr">
        <is>
          <t>$0.75</t>
        </is>
      </c>
      <c r="V63" t="n">
        <v>3</v>
      </c>
      <c r="W63" t="n">
        <v>0</v>
      </c>
      <c r="X63">
        <f>IFERROR(U63*V63*(1-W63/100),"")</f>
        <v/>
      </c>
      <c r="Y63">
        <f>IFERROR(ROUND(X63*0.13,2),"")</f>
        <v/>
      </c>
      <c r="Z63">
        <f>IFERROR(X63+Y63,"")</f>
        <v/>
      </c>
      <c r="AA63" t="inlineStr">
        <is>
          <t>TARJETA</t>
        </is>
      </c>
      <c r="AB63" t="inlineStr">
        <is>
          <t>Cliente frecuente</t>
        </is>
      </c>
    </row>
    <row r="64">
      <c r="A64" t="inlineStr">
        <is>
          <t>F-10498</t>
        </is>
      </c>
      <c r="B64" s="3" t="n">
        <v>46242</v>
      </c>
      <c r="C64" t="inlineStr">
        <is>
          <t>Factura</t>
        </is>
      </c>
      <c r="D64" t="inlineStr">
        <is>
          <t>LL02</t>
        </is>
      </c>
      <c r="E64" t="inlineStr">
        <is>
          <t>Puerto de La Libertad</t>
        </is>
      </c>
      <c r="F64" t="inlineStr">
        <is>
          <t>Calle El Malecón, Local 4</t>
        </is>
      </c>
      <c r="G64" t="inlineStr">
        <is>
          <t>La Libertad</t>
        </is>
      </c>
      <c r="H64" t="inlineStr">
        <is>
          <t>La Libertad</t>
        </is>
      </c>
      <c r="I64" t="inlineStr">
        <is>
          <t>Wendy Aguilar</t>
        </is>
      </c>
      <c r="J64" t="inlineStr">
        <is>
          <t>2335-6140</t>
        </is>
      </c>
      <c r="K64" t="inlineStr">
        <is>
          <t>Gabriela Saravia</t>
        </is>
      </c>
      <c r="L64" t="inlineStr">
        <is>
          <t>Walter Quintanilla Rivera</t>
        </is>
      </c>
      <c r="M64" t="inlineStr">
        <is>
          <t>08724671-3</t>
        </is>
      </c>
      <c r="N64" t="inlineStr">
        <is>
          <t>6114-2738</t>
        </is>
      </c>
      <c r="O64" t="inlineStr">
        <is>
          <t>Consumidor final</t>
        </is>
      </c>
      <c r="P64" t="inlineStr">
        <is>
          <t>HAR-001</t>
        </is>
      </c>
      <c r="Q64" t="inlineStr">
        <is>
          <t>Harina de maíz 2lb</t>
        </is>
      </c>
      <c r="R64" t="inlineStr">
        <is>
          <t>Abarrotes</t>
        </is>
      </c>
      <c r="S64" t="inlineStr">
        <is>
          <t>Granos del Pacífico</t>
        </is>
      </c>
      <c r="T64" t="inlineStr">
        <is>
          <t>2234-8890</t>
        </is>
      </c>
      <c r="U64" t="inlineStr">
        <is>
          <t>$1.35</t>
        </is>
      </c>
      <c r="V64" t="n">
        <v>3</v>
      </c>
      <c r="W64" t="n">
        <v>0</v>
      </c>
      <c r="X64">
        <f>IFERROR(U64*V64*(1-W64/100),"")</f>
        <v/>
      </c>
      <c r="Y64">
        <f>IFERROR(ROUND(X64*0.13,2),"")</f>
        <v/>
      </c>
      <c r="Z64">
        <f>IFERROR(X64+Y64,"")</f>
        <v/>
      </c>
      <c r="AA64" t="inlineStr">
        <is>
          <t>TARJETA</t>
        </is>
      </c>
      <c r="AB64" t="inlineStr"/>
    </row>
    <row r="65">
      <c r="A65" t="inlineStr">
        <is>
          <t>F-10499</t>
        </is>
      </c>
      <c r="B65" s="3" t="n">
        <v>46292</v>
      </c>
      <c r="C65" t="inlineStr">
        <is>
          <t>Factura</t>
        </is>
      </c>
      <c r="D65" t="inlineStr">
        <is>
          <t>SS01</t>
        </is>
      </c>
      <c r="E65" t="inlineStr">
        <is>
          <t xml:space="preserve">san salvador centro </t>
        </is>
      </c>
      <c r="F65" t="inlineStr">
        <is>
          <t>4a Calle Poniente #215</t>
        </is>
      </c>
      <c r="G65" t="inlineStr">
        <is>
          <t>San Salvador</t>
        </is>
      </c>
      <c r="H65" t="inlineStr">
        <is>
          <t>San Salvador</t>
        </is>
      </c>
      <c r="I65" t="inlineStr">
        <is>
          <t>Roberto Alfaro</t>
        </is>
      </c>
      <c r="J65" t="inlineStr">
        <is>
          <t>2221-4580</t>
        </is>
      </c>
      <c r="K65" t="inlineStr">
        <is>
          <t>Daniela Orellana</t>
        </is>
      </c>
      <c r="L65" t="inlineStr">
        <is>
          <t>Silvia Martínez Hernández</t>
        </is>
      </c>
      <c r="M65" t="inlineStr">
        <is>
          <t>05821993-5</t>
        </is>
      </c>
      <c r="N65" t="inlineStr">
        <is>
          <t>2126-9362</t>
        </is>
      </c>
      <c r="O65" t="inlineStr">
        <is>
          <t>Consumidor final</t>
        </is>
      </c>
      <c r="P65" t="inlineStr">
        <is>
          <t>PAN-003</t>
        </is>
      </c>
      <c r="Q65" t="inlineStr">
        <is>
          <t>Quesadilla salvadoreña</t>
        </is>
      </c>
      <c r="R65" t="inlineStr">
        <is>
          <t>PANADERIA</t>
        </is>
      </c>
      <c r="S65" t="inlineStr">
        <is>
          <t>Panificadora Ilopango</t>
        </is>
      </c>
      <c r="T65" t="inlineStr">
        <is>
          <t>2295-0081</t>
        </is>
      </c>
      <c r="U65" t="n">
        <v>2.5</v>
      </c>
      <c r="V65" t="n">
        <v>3</v>
      </c>
      <c r="W65" t="n">
        <v>0</v>
      </c>
      <c r="X65">
        <f>IFERROR(U65*V65*(1-W65/100),"")</f>
        <v/>
      </c>
      <c r="Y65">
        <f>IFERROR(ROUND(X65*0.13,2),"")</f>
        <v/>
      </c>
      <c r="Z65">
        <f>IFERROR(X65+Y65,"")</f>
        <v/>
      </c>
      <c r="AA65" t="inlineStr">
        <is>
          <t>Tarjeta</t>
        </is>
      </c>
      <c r="AB65" t="inlineStr"/>
    </row>
    <row r="66">
      <c r="A66" t="inlineStr">
        <is>
          <t>F-10499</t>
        </is>
      </c>
      <c r="B66" s="3" t="n">
        <v>46292</v>
      </c>
      <c r="C66" t="inlineStr">
        <is>
          <t>Factura</t>
        </is>
      </c>
      <c r="D66" t="inlineStr">
        <is>
          <t>SS01</t>
        </is>
      </c>
      <c r="E66" t="inlineStr">
        <is>
          <t xml:space="preserve">san salvador centro </t>
        </is>
      </c>
      <c r="F66" t="inlineStr">
        <is>
          <t>4a Calle Poniente #215</t>
        </is>
      </c>
      <c r="G66" t="inlineStr">
        <is>
          <t>San Salvador</t>
        </is>
      </c>
      <c r="H66" t="inlineStr">
        <is>
          <t>San Salvador</t>
        </is>
      </c>
      <c r="I66" t="inlineStr">
        <is>
          <t>Roberto Alfaro</t>
        </is>
      </c>
      <c r="J66" t="inlineStr">
        <is>
          <t>2221-4580</t>
        </is>
      </c>
      <c r="K66" t="inlineStr">
        <is>
          <t>Daniela Orellana</t>
        </is>
      </c>
      <c r="L66" t="inlineStr">
        <is>
          <t>SILVIA MARTÍNEZ HERNÁNDEZ</t>
        </is>
      </c>
      <c r="M66" t="inlineStr">
        <is>
          <t>05821993-5</t>
        </is>
      </c>
      <c r="N66" t="inlineStr">
        <is>
          <t>2126-9362</t>
        </is>
      </c>
      <c r="O66" t="inlineStr">
        <is>
          <t>Consumidor final</t>
        </is>
      </c>
      <c r="P66" t="inlineStr">
        <is>
          <t>CAF-001</t>
        </is>
      </c>
      <c r="Q66" t="inlineStr">
        <is>
          <t>Café molido 400g</t>
        </is>
      </c>
      <c r="R66" t="inlineStr">
        <is>
          <t>ABARROTES</t>
        </is>
      </c>
      <c r="S66" t="inlineStr">
        <is>
          <t>Café Volcán S.A.</t>
        </is>
      </c>
      <c r="T66" t="inlineStr">
        <is>
          <t>2510-3344</t>
        </is>
      </c>
      <c r="U66" t="n">
        <v>4.5</v>
      </c>
      <c r="V66" t="n">
        <v>3</v>
      </c>
      <c r="W66" t="n">
        <v>0</v>
      </c>
      <c r="X66">
        <f>IFERROR(U66*V66*(1-W66/100),"")</f>
        <v/>
      </c>
      <c r="Y66">
        <f>IFERROR(ROUND(X66*0.13,2),"")</f>
        <v/>
      </c>
      <c r="Z66">
        <f>IFERROR(X66+Y66,"")</f>
        <v/>
      </c>
      <c r="AA66" t="inlineStr">
        <is>
          <t>Tarjeta</t>
        </is>
      </c>
      <c r="AB66" t="inlineStr"/>
    </row>
    <row r="67">
      <c r="A67" t="inlineStr">
        <is>
          <t>F-10499</t>
        </is>
      </c>
      <c r="B67" s="3" t="n">
        <v>46292</v>
      </c>
      <c r="C67" t="inlineStr">
        <is>
          <t>Factura</t>
        </is>
      </c>
      <c r="D67" t="inlineStr">
        <is>
          <t>SS01</t>
        </is>
      </c>
      <c r="E67" t="inlineStr">
        <is>
          <t>San Salvador Centro</t>
        </is>
      </c>
      <c r="F67" t="inlineStr">
        <is>
          <t>4a Calle Poniente #215</t>
        </is>
      </c>
      <c r="G67" t="inlineStr">
        <is>
          <t>San Salvador</t>
        </is>
      </c>
      <c r="H67" t="inlineStr">
        <is>
          <t>San Salvador</t>
        </is>
      </c>
      <c r="I67" t="inlineStr">
        <is>
          <t>Roberto Alfaro</t>
        </is>
      </c>
      <c r="J67" t="inlineStr">
        <is>
          <t>2221-4580</t>
        </is>
      </c>
      <c r="K67" t="inlineStr">
        <is>
          <t>Daniela Orellana</t>
        </is>
      </c>
      <c r="L67" t="inlineStr">
        <is>
          <t>Silvia Martínez Hernández</t>
        </is>
      </c>
      <c r="M67" t="inlineStr">
        <is>
          <t>05821993-5</t>
        </is>
      </c>
      <c r="N67" t="inlineStr">
        <is>
          <t>2126-9362</t>
        </is>
      </c>
      <c r="O67" t="inlineStr">
        <is>
          <t>Consumidor final</t>
        </is>
      </c>
      <c r="P67" t="inlineStr">
        <is>
          <t>BEB-001</t>
        </is>
      </c>
      <c r="Q67" t="inlineStr">
        <is>
          <t>Gaseosa 2.5L</t>
        </is>
      </c>
      <c r="R67" t="inlineStr">
        <is>
          <t>bebidas</t>
        </is>
      </c>
      <c r="S67" t="inlineStr">
        <is>
          <t>Bebidas Izalco</t>
        </is>
      </c>
      <c r="T67" t="inlineStr">
        <is>
          <t>2450-7700</t>
        </is>
      </c>
      <c r="U67" t="n">
        <v>1.95</v>
      </c>
      <c r="V67" t="n">
        <v>1</v>
      </c>
      <c r="W67" t="n">
        <v>0</v>
      </c>
      <c r="X67">
        <f>IFERROR(U67*V67*(1-W67/100),"")</f>
        <v/>
      </c>
      <c r="Y67">
        <f>IFERROR(ROUND(X67*0.13,2),"")</f>
        <v/>
      </c>
      <c r="Z67">
        <f>IFERROR(X67+Y67,"")</f>
        <v/>
      </c>
      <c r="AA67" t="inlineStr">
        <is>
          <t>Tarjeta</t>
        </is>
      </c>
      <c r="AB67" t="inlineStr"/>
    </row>
    <row r="68">
      <c r="A68" t="inlineStr">
        <is>
          <t>F-10499</t>
        </is>
      </c>
      <c r="B68" s="3" t="n">
        <v>46292</v>
      </c>
      <c r="C68" t="inlineStr">
        <is>
          <t>Factura</t>
        </is>
      </c>
      <c r="D68" t="inlineStr">
        <is>
          <t>SS01</t>
        </is>
      </c>
      <c r="E68" t="inlineStr">
        <is>
          <t>San Salvador Centro</t>
        </is>
      </c>
      <c r="F68" t="inlineStr">
        <is>
          <t>4a Calle Poniente #215</t>
        </is>
      </c>
      <c r="G68" t="inlineStr">
        <is>
          <t>San Salvador</t>
        </is>
      </c>
      <c r="H68" t="inlineStr">
        <is>
          <t>San Salvador</t>
        </is>
      </c>
      <c r="I68" t="inlineStr">
        <is>
          <t>Roberto Alfaro</t>
        </is>
      </c>
      <c r="J68" t="inlineStr">
        <is>
          <t>2221-4580</t>
        </is>
      </c>
      <c r="K68" t="inlineStr">
        <is>
          <t>Daniela Orellana</t>
        </is>
      </c>
      <c r="L68" t="inlineStr">
        <is>
          <t>Silvia Martínez Hernández</t>
        </is>
      </c>
      <c r="M68" t="inlineStr">
        <is>
          <t>05821993-5</t>
        </is>
      </c>
      <c r="N68" t="inlineStr">
        <is>
          <t>2126-9362</t>
        </is>
      </c>
      <c r="O68" t="inlineStr">
        <is>
          <t>Consumidor final</t>
        </is>
      </c>
      <c r="P68" t="inlineStr">
        <is>
          <t>ARR-001</t>
        </is>
      </c>
      <c r="Q68" t="inlineStr">
        <is>
          <t>Arroz blanco 5lb</t>
        </is>
      </c>
      <c r="R68" t="inlineStr">
        <is>
          <t>Granos básicos</t>
        </is>
      </c>
      <c r="S68" t="inlineStr">
        <is>
          <t>Granos del Pacífico</t>
        </is>
      </c>
      <c r="T68" t="inlineStr">
        <is>
          <t>2234-8890</t>
        </is>
      </c>
      <c r="U68" t="inlineStr">
        <is>
          <t>$3.95</t>
        </is>
      </c>
      <c r="V68" t="n">
        <v>3</v>
      </c>
      <c r="W68" t="n">
        <v>0</v>
      </c>
      <c r="X68">
        <f>IFERROR(U68*V68*(1-W68/100),"")</f>
        <v/>
      </c>
      <c r="Y68">
        <f>IFERROR(ROUND(X68*0.13,2),"")</f>
        <v/>
      </c>
      <c r="Z68">
        <f>IFERROR(X68+Y68,"")</f>
        <v/>
      </c>
      <c r="AA68" t="inlineStr">
        <is>
          <t>Tarjeta</t>
        </is>
      </c>
      <c r="AB68" t="inlineStr">
        <is>
          <t>Cliente frecuente</t>
        </is>
      </c>
    </row>
    <row r="69">
      <c r="A69" t="inlineStr">
        <is>
          <t>F-10502</t>
        </is>
      </c>
      <c r="B69" s="3" t="n">
        <v>46250</v>
      </c>
      <c r="C69" t="inlineStr">
        <is>
          <t>factura</t>
        </is>
      </c>
      <c r="D69" t="inlineStr">
        <is>
          <t>SO01</t>
        </is>
      </c>
      <c r="E69" t="inlineStr">
        <is>
          <t>SONSONATE</t>
        </is>
      </c>
      <c r="F69" t="inlineStr">
        <is>
          <t>Calle Obispo Marroquín #3</t>
        </is>
      </c>
      <c r="G69" t="inlineStr">
        <is>
          <t>Sonsonate</t>
        </is>
      </c>
      <c r="H69" t="inlineStr">
        <is>
          <t>Sonsonate</t>
        </is>
      </c>
      <c r="I69" t="inlineStr">
        <is>
          <t>Ernesto Chávez</t>
        </is>
      </c>
      <c r="J69" t="inlineStr">
        <is>
          <t>2451-2288</t>
        </is>
      </c>
      <c r="K69" t="inlineStr">
        <is>
          <t>Ricardo Funes</t>
        </is>
      </c>
      <c r="L69" t="inlineStr">
        <is>
          <t>Patricia Guevara Quintanilla</t>
        </is>
      </c>
      <c r="M69" t="inlineStr">
        <is>
          <t>07265655-3</t>
        </is>
      </c>
      <c r="N69" t="inlineStr">
        <is>
          <t>6951-5407</t>
        </is>
      </c>
      <c r="O69" t="inlineStr">
        <is>
          <t>Consumidor final</t>
        </is>
      </c>
      <c r="P69" t="inlineStr">
        <is>
          <t>AZU-001</t>
        </is>
      </c>
      <c r="Q69" t="inlineStr">
        <is>
          <t>Azúcar blanca 2.5kg</t>
        </is>
      </c>
      <c r="R69" t="inlineStr">
        <is>
          <t>Abarrotes</t>
        </is>
      </c>
      <c r="S69" t="inlineStr">
        <is>
          <t>Granos del Pacífico</t>
        </is>
      </c>
      <c r="T69" t="inlineStr">
        <is>
          <t>2234-8890</t>
        </is>
      </c>
      <c r="U69" t="n">
        <v>3.1</v>
      </c>
      <c r="V69" t="n">
        <v>6</v>
      </c>
      <c r="W69" t="n">
        <v>0</v>
      </c>
      <c r="X69">
        <f>IFERROR(U69*V69*(1-W69/100),"")</f>
        <v/>
      </c>
      <c r="Y69">
        <f>IFERROR(ROUND(X69*0.13,2),"")</f>
        <v/>
      </c>
      <c r="Z69">
        <f>IFERROR(X69+Y69,"")</f>
        <v/>
      </c>
      <c r="AA69" t="inlineStr">
        <is>
          <t>Efectivo</t>
        </is>
      </c>
      <c r="AB69" t="inlineStr"/>
    </row>
    <row r="70">
      <c r="A70" t="inlineStr">
        <is>
          <t>F-10502</t>
        </is>
      </c>
      <c r="B70" s="3" t="n">
        <v>46250</v>
      </c>
      <c r="C70" t="inlineStr">
        <is>
          <t>factura</t>
        </is>
      </c>
      <c r="D70" t="inlineStr">
        <is>
          <t>SO01</t>
        </is>
      </c>
      <c r="E70" t="inlineStr">
        <is>
          <t>SONSONATE</t>
        </is>
      </c>
      <c r="F70" t="inlineStr">
        <is>
          <t>Calle Obispo Marroquín #3</t>
        </is>
      </c>
      <c r="G70" t="inlineStr">
        <is>
          <t>Sonsonate</t>
        </is>
      </c>
      <c r="H70" t="inlineStr">
        <is>
          <t>Sonsonate</t>
        </is>
      </c>
      <c r="I70" t="inlineStr">
        <is>
          <t>Ernesto Chávez</t>
        </is>
      </c>
      <c r="J70" t="inlineStr">
        <is>
          <t>2451-2288</t>
        </is>
      </c>
      <c r="K70" t="inlineStr">
        <is>
          <t>Ricardo Funes</t>
        </is>
      </c>
      <c r="L70" t="inlineStr">
        <is>
          <t>Patricia Guevara Quintanilla</t>
        </is>
      </c>
      <c r="M70" t="inlineStr">
        <is>
          <t>07265655-3</t>
        </is>
      </c>
      <c r="N70" t="inlineStr">
        <is>
          <t>6951-5407</t>
        </is>
      </c>
      <c r="O70" t="inlineStr">
        <is>
          <t>Consumidor final</t>
        </is>
      </c>
      <c r="P70" t="inlineStr">
        <is>
          <t>PAN-002</t>
        </is>
      </c>
      <c r="Q70" t="inlineStr">
        <is>
          <t>Semita alta</t>
        </is>
      </c>
      <c r="R70" t="inlineStr">
        <is>
          <t>Panadería</t>
        </is>
      </c>
      <c r="S70" t="inlineStr">
        <is>
          <t>Panificadora Ilopango</t>
        </is>
      </c>
      <c r="T70" t="inlineStr">
        <is>
          <t>2295-0081</t>
        </is>
      </c>
      <c r="U70" t="n">
        <v>1.75</v>
      </c>
      <c r="V70" t="n">
        <v>6</v>
      </c>
      <c r="W70" t="n">
        <v>0</v>
      </c>
      <c r="X70">
        <f>IFERROR(U70*V70*(1-W70/100),"")</f>
        <v/>
      </c>
      <c r="Y70">
        <f>IFERROR(ROUND(X70*0.13,2),"")</f>
        <v/>
      </c>
      <c r="Z70">
        <f>IFERROR(X70+Y70,"")</f>
        <v/>
      </c>
      <c r="AA70" t="inlineStr">
        <is>
          <t>Efectivo</t>
        </is>
      </c>
      <c r="AB70" t="inlineStr">
        <is>
          <t>precio especial autorizado por gerente</t>
        </is>
      </c>
    </row>
    <row r="71">
      <c r="A71" t="inlineStr">
        <is>
          <t>F-10502</t>
        </is>
      </c>
      <c r="B71" s="3" t="n">
        <v>46250</v>
      </c>
      <c r="C71" t="inlineStr">
        <is>
          <t>factura</t>
        </is>
      </c>
      <c r="D71" t="inlineStr">
        <is>
          <t>SO01</t>
        </is>
      </c>
      <c r="E71" t="inlineStr">
        <is>
          <t>Sonsonate</t>
        </is>
      </c>
      <c r="F71" t="inlineStr">
        <is>
          <t>Calle Obispo Marroquín #3</t>
        </is>
      </c>
      <c r="G71" t="inlineStr">
        <is>
          <t>Sonsonate</t>
        </is>
      </c>
      <c r="H71" t="inlineStr">
        <is>
          <t>Sonsonate</t>
        </is>
      </c>
      <c r="I71" t="inlineStr">
        <is>
          <t>Ernesto Chávez</t>
        </is>
      </c>
      <c r="J71" t="inlineStr">
        <is>
          <t>2451-2288</t>
        </is>
      </c>
      <c r="K71" t="inlineStr">
        <is>
          <t>Ricardo Funes</t>
        </is>
      </c>
      <c r="L71" t="inlineStr">
        <is>
          <t>Patricia Guevara Quintanilla</t>
        </is>
      </c>
      <c r="M71" t="inlineStr">
        <is>
          <t>07265655-3</t>
        </is>
      </c>
      <c r="N71" t="inlineStr">
        <is>
          <t>6951-5407</t>
        </is>
      </c>
      <c r="O71" t="inlineStr">
        <is>
          <t>Consumidor final</t>
        </is>
      </c>
      <c r="P71" t="inlineStr">
        <is>
          <t>CAF-002</t>
        </is>
      </c>
      <c r="Q71" t="inlineStr">
        <is>
          <t>Café en grano 1lb</t>
        </is>
      </c>
      <c r="R71" t="inlineStr">
        <is>
          <t>Abarrotes</t>
        </is>
      </c>
      <c r="S71" t="inlineStr">
        <is>
          <t>Café Volcán S.A.</t>
        </is>
      </c>
      <c r="T71" t="inlineStr">
        <is>
          <t>2510-3344</t>
        </is>
      </c>
      <c r="U71" t="inlineStr">
        <is>
          <t>6,75</t>
        </is>
      </c>
      <c r="V71" t="n">
        <v>2</v>
      </c>
      <c r="W71" t="n">
        <v>0</v>
      </c>
      <c r="X71">
        <f>IFERROR(U71*V71*(1-W71/100),"")</f>
        <v/>
      </c>
      <c r="Y71">
        <f>IFERROR(ROUND(X71*0.13,2),"")</f>
        <v/>
      </c>
      <c r="Z71">
        <f>IFERROR(X71+Y71,"")</f>
        <v/>
      </c>
      <c r="AA71" t="inlineStr">
        <is>
          <t>Efectivo</t>
        </is>
      </c>
      <c r="AB71" t="inlineStr">
        <is>
          <t>pagó con billete de $100</t>
        </is>
      </c>
    </row>
    <row r="72">
      <c r="A72" t="inlineStr">
        <is>
          <t>F-10504</t>
        </is>
      </c>
      <c r="B72" s="3" t="n">
        <v>46204</v>
      </c>
      <c r="C72" t="inlineStr">
        <is>
          <t>FCF</t>
        </is>
      </c>
      <c r="D72" t="inlineStr">
        <is>
          <t>SS01</t>
        </is>
      </c>
      <c r="E72" t="inlineStr">
        <is>
          <t>SAN SALVADOR CENTRO</t>
        </is>
      </c>
      <c r="F72" t="inlineStr">
        <is>
          <t>4a Calle Poniente #215</t>
        </is>
      </c>
      <c r="G72" t="inlineStr">
        <is>
          <t>San Salvador</t>
        </is>
      </c>
      <c r="H72" t="inlineStr">
        <is>
          <t>San Salvador</t>
        </is>
      </c>
      <c r="I72" t="inlineStr">
        <is>
          <t>Roberto Alfaro</t>
        </is>
      </c>
      <c r="J72" t="inlineStr">
        <is>
          <t>2221-4580</t>
        </is>
      </c>
      <c r="K72" t="inlineStr">
        <is>
          <t>Daniela Orellana</t>
        </is>
      </c>
      <c r="L72" t="inlineStr">
        <is>
          <t>Douglas Hernández García</t>
        </is>
      </c>
      <c r="M72" t="inlineStr">
        <is>
          <t>02719991-9</t>
        </is>
      </c>
      <c r="N72" t="inlineStr">
        <is>
          <t>2221-1611</t>
        </is>
      </c>
      <c r="O72" t="inlineStr">
        <is>
          <t>Consumidor final</t>
        </is>
      </c>
      <c r="P72" t="inlineStr">
        <is>
          <t>HAR-001</t>
        </is>
      </c>
      <c r="Q72" t="inlineStr">
        <is>
          <t>Harina de maíz 2lb</t>
        </is>
      </c>
      <c r="R72" t="inlineStr">
        <is>
          <t>Abarrotes</t>
        </is>
      </c>
      <c r="S72" t="inlineStr">
        <is>
          <t>Granos del Pacífico</t>
        </is>
      </c>
      <c r="T72" t="inlineStr">
        <is>
          <t>2234-8890</t>
        </is>
      </c>
      <c r="U72" t="n">
        <v>1.35</v>
      </c>
      <c r="V72" t="n">
        <v>3</v>
      </c>
      <c r="W72" t="n">
        <v>0</v>
      </c>
      <c r="X72">
        <f>IFERROR(U72*V72*(1-W72/100),"")</f>
        <v/>
      </c>
      <c r="Y72">
        <f>IFERROR(ROUND(X72*0.13,2),"")</f>
        <v/>
      </c>
      <c r="Z72">
        <f>IFERROR(X72+Y72,"")</f>
        <v/>
      </c>
      <c r="AA72" t="inlineStr">
        <is>
          <t>Efectivo</t>
        </is>
      </c>
      <c r="AB72" t="inlineStr"/>
    </row>
    <row r="73">
      <c r="A73" t="inlineStr">
        <is>
          <t>F-10507</t>
        </is>
      </c>
      <c r="B73" s="3" t="n">
        <v>46228</v>
      </c>
      <c r="C73" t="inlineStr">
        <is>
          <t>factura</t>
        </is>
      </c>
      <c r="D73" t="inlineStr">
        <is>
          <t>SO01</t>
        </is>
      </c>
      <c r="E73" t="inlineStr">
        <is>
          <t>Sonsonate</t>
        </is>
      </c>
      <c r="F73" t="inlineStr">
        <is>
          <t>Calle Obispo Marroquín #3</t>
        </is>
      </c>
      <c r="G73" t="inlineStr">
        <is>
          <t>Sonsonate</t>
        </is>
      </c>
      <c r="H73" t="inlineStr">
        <is>
          <t>Sonsonate</t>
        </is>
      </c>
      <c r="I73" t="inlineStr">
        <is>
          <t>Ernesto Chávez</t>
        </is>
      </c>
      <c r="J73" t="inlineStr">
        <is>
          <t>2451-2288</t>
        </is>
      </c>
      <c r="K73" t="inlineStr">
        <is>
          <t>Ricardo Funes</t>
        </is>
      </c>
      <c r="L73" t="inlineStr">
        <is>
          <t>Patricia Guevara Quintanilla</t>
        </is>
      </c>
      <c r="M73" t="inlineStr"/>
      <c r="N73" t="inlineStr">
        <is>
          <t>6951-5407</t>
        </is>
      </c>
      <c r="O73" t="inlineStr">
        <is>
          <t>Consumidor final</t>
        </is>
      </c>
      <c r="P73" t="inlineStr">
        <is>
          <t>LAC-002</t>
        </is>
      </c>
      <c r="Q73" t="inlineStr">
        <is>
          <t>Crema 500ml</t>
        </is>
      </c>
      <c r="R73" t="inlineStr">
        <is>
          <t>Lácteos</t>
        </is>
      </c>
      <c r="S73" t="inlineStr">
        <is>
          <t>Lácteos Chalate</t>
        </is>
      </c>
      <c r="T73" t="inlineStr">
        <is>
          <t>2335-1020</t>
        </is>
      </c>
      <c r="U73" t="inlineStr">
        <is>
          <t>$2.25</t>
        </is>
      </c>
      <c r="V73" t="n">
        <v>4</v>
      </c>
      <c r="W73" t="n">
        <v>0</v>
      </c>
      <c r="X73">
        <f>IFERROR(U73*V73*(1-W73/100),"")</f>
        <v/>
      </c>
      <c r="Y73">
        <f>IFERROR(ROUND(X73*0.13,2),"")</f>
        <v/>
      </c>
      <c r="Z73">
        <f>IFERROR(X73+Y73,"")</f>
        <v/>
      </c>
      <c r="AA73" t="inlineStr">
        <is>
          <t>Efectivo</t>
        </is>
      </c>
      <c r="AB73" t="inlineStr">
        <is>
          <t>pagó con billete de $100</t>
        </is>
      </c>
    </row>
    <row r="74">
      <c r="A74" t="inlineStr">
        <is>
          <t>F-10507</t>
        </is>
      </c>
      <c r="B74" s="3" t="n">
        <v>46228</v>
      </c>
      <c r="C74" t="inlineStr">
        <is>
          <t>factura</t>
        </is>
      </c>
      <c r="D74" t="inlineStr">
        <is>
          <t>SO01</t>
        </is>
      </c>
      <c r="E74" t="inlineStr">
        <is>
          <t>SONSONATE</t>
        </is>
      </c>
      <c r="F74" t="inlineStr">
        <is>
          <t>Calle Obispo Marroquín #3</t>
        </is>
      </c>
      <c r="G74" t="inlineStr">
        <is>
          <t>Sonsonate</t>
        </is>
      </c>
      <c r="H74" t="inlineStr">
        <is>
          <t>Sonsonate</t>
        </is>
      </c>
      <c r="I74" t="inlineStr">
        <is>
          <t>Ernesto Chávez</t>
        </is>
      </c>
      <c r="J74" t="inlineStr">
        <is>
          <t>2451-2288</t>
        </is>
      </c>
      <c r="K74" t="inlineStr">
        <is>
          <t>Ricardo Funes</t>
        </is>
      </c>
      <c r="L74" t="inlineStr">
        <is>
          <t>Patricia Guevara Quintanilla</t>
        </is>
      </c>
      <c r="M74" t="inlineStr">
        <is>
          <t>07265655-3</t>
        </is>
      </c>
      <c r="N74" t="inlineStr">
        <is>
          <t>6951-5407</t>
        </is>
      </c>
      <c r="O74" t="inlineStr">
        <is>
          <t>Consumidor final</t>
        </is>
      </c>
      <c r="P74" t="inlineStr">
        <is>
          <t>PAN-003</t>
        </is>
      </c>
      <c r="Q74" t="inlineStr">
        <is>
          <t>Quesadilla salvadoreña</t>
        </is>
      </c>
      <c r="R74" t="inlineStr">
        <is>
          <t>Panadería</t>
        </is>
      </c>
      <c r="S74" t="inlineStr">
        <is>
          <t>Panificadora Ilopango</t>
        </is>
      </c>
      <c r="T74" t="inlineStr">
        <is>
          <t>2295-0081</t>
        </is>
      </c>
      <c r="U74" t="n">
        <v>2.5</v>
      </c>
      <c r="V74" t="n">
        <v>1</v>
      </c>
      <c r="W74" t="n">
        <v>0</v>
      </c>
      <c r="X74">
        <f>IFERROR(U74*V74*(1-W74/100),"")</f>
        <v/>
      </c>
      <c r="Y74">
        <f>IFERROR(ROUND(X74*0.13,2),"")</f>
        <v/>
      </c>
      <c r="Z74">
        <f>IFERROR(X74+Y74,"")</f>
        <v/>
      </c>
      <c r="AA74" t="inlineStr">
        <is>
          <t>Efectivo</t>
        </is>
      </c>
      <c r="AB74" t="inlineStr">
        <is>
          <t>precio especial autorizado por gerente</t>
        </is>
      </c>
    </row>
    <row r="75">
      <c r="A75" t="inlineStr">
        <is>
          <t>F-10510</t>
        </is>
      </c>
      <c r="B75" s="3" t="n">
        <v>46267</v>
      </c>
      <c r="C75" t="inlineStr">
        <is>
          <t>FCF</t>
        </is>
      </c>
      <c r="D75" t="inlineStr">
        <is>
          <t>SS02</t>
        </is>
      </c>
      <c r="E75" t="inlineStr">
        <is>
          <t>Escalon</t>
        </is>
      </c>
      <c r="F75" t="inlineStr">
        <is>
          <t>Paseo General Escalón #3910</t>
        </is>
      </c>
      <c r="G75" t="inlineStr">
        <is>
          <t>San Salvador</t>
        </is>
      </c>
      <c r="H75" t="inlineStr">
        <is>
          <t>San Salvador</t>
        </is>
      </c>
      <c r="I75" t="inlineStr">
        <is>
          <t>Claudia Menjívar</t>
        </is>
      </c>
      <c r="J75" t="inlineStr">
        <is>
          <t>2264-1190</t>
        </is>
      </c>
      <c r="K75" t="inlineStr">
        <is>
          <t>Kevin Benítez</t>
        </is>
      </c>
      <c r="L75" t="inlineStr">
        <is>
          <t>Douglas Pérez Guevara</t>
        </is>
      </c>
      <c r="M75" t="inlineStr">
        <is>
          <t>09863904-2</t>
        </is>
      </c>
      <c r="N75" t="inlineStr">
        <is>
          <t>7997-9269</t>
        </is>
      </c>
      <c r="O75" t="inlineStr">
        <is>
          <t>Consumidor final</t>
        </is>
      </c>
      <c r="P75" t="inlineStr">
        <is>
          <t>BEB-003</t>
        </is>
      </c>
      <c r="Q75" t="inlineStr">
        <is>
          <t>Horchata en polvo 400g</t>
        </is>
      </c>
      <c r="R75" t="inlineStr">
        <is>
          <t>Abarrotes</t>
        </is>
      </c>
      <c r="S75" t="inlineStr">
        <is>
          <t>Bebidas Izalco</t>
        </is>
      </c>
      <c r="T75" t="inlineStr">
        <is>
          <t>2450-7700</t>
        </is>
      </c>
      <c r="U75" t="inlineStr">
        <is>
          <t>$2.60</t>
        </is>
      </c>
      <c r="V75" t="n">
        <v>24</v>
      </c>
      <c r="W75" t="n">
        <v>0</v>
      </c>
      <c r="X75">
        <f>IFERROR(U75*V75*(1-W75/100),"")</f>
        <v/>
      </c>
      <c r="Y75">
        <f>IFERROR(ROUND(X75*0.13,2),"")</f>
        <v/>
      </c>
      <c r="Z75">
        <f>IFERROR(X75+Y75,"")</f>
        <v/>
      </c>
      <c r="AA75" t="inlineStr">
        <is>
          <t>Transferencia</t>
        </is>
      </c>
      <c r="AB75" t="inlineStr"/>
    </row>
    <row r="76">
      <c r="A76" t="inlineStr">
        <is>
          <t>F-10510</t>
        </is>
      </c>
      <c r="B76" s="3" t="n">
        <v>46267</v>
      </c>
      <c r="C76" t="inlineStr">
        <is>
          <t>FCF</t>
        </is>
      </c>
      <c r="D76" t="inlineStr">
        <is>
          <t>SS02</t>
        </is>
      </c>
      <c r="E76" t="inlineStr">
        <is>
          <t>Escalón</t>
        </is>
      </c>
      <c r="F76" t="inlineStr">
        <is>
          <t>Paseo General Escalón #3910</t>
        </is>
      </c>
      <c r="G76" t="inlineStr">
        <is>
          <t>San Salvador</t>
        </is>
      </c>
      <c r="H76" t="inlineStr">
        <is>
          <t>San Salvador</t>
        </is>
      </c>
      <c r="I76" t="inlineStr">
        <is>
          <t>Claudia Menjívar</t>
        </is>
      </c>
      <c r="J76" t="inlineStr">
        <is>
          <t>2264-1190</t>
        </is>
      </c>
      <c r="K76" t="inlineStr">
        <is>
          <t>Kevin Benítez</t>
        </is>
      </c>
      <c r="L76" t="inlineStr">
        <is>
          <t>Douglas Pérez Guevara</t>
        </is>
      </c>
      <c r="M76" t="inlineStr">
        <is>
          <t>09863904-2</t>
        </is>
      </c>
      <c r="N76" t="inlineStr">
        <is>
          <t>7997-9269</t>
        </is>
      </c>
      <c r="O76" t="inlineStr">
        <is>
          <t>Consumidor final</t>
        </is>
      </c>
      <c r="P76" t="inlineStr">
        <is>
          <t>LAC-001</t>
        </is>
      </c>
      <c r="Q76" t="inlineStr">
        <is>
          <t>Quesillo 1lb</t>
        </is>
      </c>
      <c r="R76" t="inlineStr">
        <is>
          <t>LACTEOS</t>
        </is>
      </c>
      <c r="S76" t="inlineStr">
        <is>
          <t>Lácteos Chalate</t>
        </is>
      </c>
      <c r="T76" t="inlineStr">
        <is>
          <t>2335-1020</t>
        </is>
      </c>
      <c r="U76" t="n">
        <v>3.5</v>
      </c>
      <c r="V76" t="n">
        <v>1</v>
      </c>
      <c r="W76" t="n">
        <v>0</v>
      </c>
      <c r="X76">
        <f>IFERROR(U76*V76*(1-W76/100),"")</f>
        <v/>
      </c>
      <c r="Y76">
        <f>IFERROR(ROUND(X76*0.13,2),"")</f>
        <v/>
      </c>
      <c r="Z76">
        <f>IFERROR(X76+Y76,"")</f>
        <v/>
      </c>
      <c r="AA76" t="inlineStr">
        <is>
          <t>Transferencia</t>
        </is>
      </c>
      <c r="AB76" t="inlineStr"/>
    </row>
    <row r="77">
      <c r="A77" t="inlineStr">
        <is>
          <t>F-10510</t>
        </is>
      </c>
      <c r="B77" s="3" t="n">
        <v>46267</v>
      </c>
      <c r="C77" t="inlineStr">
        <is>
          <t>FCF</t>
        </is>
      </c>
      <c r="D77" t="inlineStr">
        <is>
          <t>SS02</t>
        </is>
      </c>
      <c r="E77" t="inlineStr">
        <is>
          <t>Escalon</t>
        </is>
      </c>
      <c r="F77" t="inlineStr">
        <is>
          <t>Paseo General Escalón #3910</t>
        </is>
      </c>
      <c r="G77" t="inlineStr">
        <is>
          <t>San Salvador</t>
        </is>
      </c>
      <c r="H77" t="inlineStr">
        <is>
          <t>San Salvador</t>
        </is>
      </c>
      <c r="I77" t="inlineStr">
        <is>
          <t>Claudia Menjívar</t>
        </is>
      </c>
      <c r="J77" t="inlineStr">
        <is>
          <t>2264-1190</t>
        </is>
      </c>
      <c r="K77" t="inlineStr">
        <is>
          <t>Kevin Benítez</t>
        </is>
      </c>
      <c r="L77" t="inlineStr">
        <is>
          <t>Douglas Pérez Guevara</t>
        </is>
      </c>
      <c r="M77" t="inlineStr">
        <is>
          <t>09863904-2</t>
        </is>
      </c>
      <c r="N77" t="inlineStr">
        <is>
          <t>7997-9269</t>
        </is>
      </c>
      <c r="O77" t="inlineStr">
        <is>
          <t>Consumidor final</t>
        </is>
      </c>
      <c r="P77" t="inlineStr">
        <is>
          <t>BEB-001</t>
        </is>
      </c>
      <c r="Q77" t="inlineStr">
        <is>
          <t>Gaseosa 2.5L</t>
        </is>
      </c>
      <c r="R77" t="inlineStr">
        <is>
          <t>bebidas</t>
        </is>
      </c>
      <c r="S77" t="inlineStr">
        <is>
          <t>Bebidas Izalco</t>
        </is>
      </c>
      <c r="T77" t="inlineStr">
        <is>
          <t>2450-7700</t>
        </is>
      </c>
      <c r="U77" t="n">
        <v>1.95</v>
      </c>
      <c r="V77" t="n">
        <v>1</v>
      </c>
      <c r="W77" t="n">
        <v>0</v>
      </c>
      <c r="X77">
        <f>IFERROR(U77*V77*(1-W77/100),"")</f>
        <v/>
      </c>
      <c r="Y77">
        <f>IFERROR(ROUND(X77*0.13,2),"")</f>
        <v/>
      </c>
      <c r="Z77">
        <f>IFERROR(X77+Y77,"")</f>
        <v/>
      </c>
      <c r="AA77" t="inlineStr">
        <is>
          <t>Transferencia</t>
        </is>
      </c>
      <c r="AB77" t="inlineStr">
        <is>
          <t>Llamar al 7788-1234 antes de entregar</t>
        </is>
      </c>
    </row>
    <row r="78">
      <c r="A78" t="inlineStr">
        <is>
          <t>F-10510</t>
        </is>
      </c>
      <c r="B78" t="inlineStr">
        <is>
          <t>2026-09-02</t>
        </is>
      </c>
      <c r="C78" t="inlineStr">
        <is>
          <t>FCF</t>
        </is>
      </c>
      <c r="D78" t="inlineStr">
        <is>
          <t>SS02</t>
        </is>
      </c>
      <c r="E78" t="inlineStr">
        <is>
          <t>Col. Escalón</t>
        </is>
      </c>
      <c r="F78" t="inlineStr">
        <is>
          <t>Paseo General Escalón #3910</t>
        </is>
      </c>
      <c r="G78" t="inlineStr">
        <is>
          <t>San Salvador</t>
        </is>
      </c>
      <c r="H78" t="inlineStr">
        <is>
          <t>San Salvador</t>
        </is>
      </c>
      <c r="I78" t="inlineStr">
        <is>
          <t>Claudia Menjívar</t>
        </is>
      </c>
      <c r="J78" t="inlineStr">
        <is>
          <t>2264-1190</t>
        </is>
      </c>
      <c r="K78" t="inlineStr">
        <is>
          <t>Kevin Benítez</t>
        </is>
      </c>
      <c r="L78" t="inlineStr">
        <is>
          <t>Douglas Pérez Guevara</t>
        </is>
      </c>
      <c r="M78" t="inlineStr">
        <is>
          <t>09863904-2</t>
        </is>
      </c>
      <c r="N78" t="inlineStr">
        <is>
          <t>7997-9269</t>
        </is>
      </c>
      <c r="O78" t="inlineStr">
        <is>
          <t>Consumidor final</t>
        </is>
      </c>
      <c r="P78" t="inlineStr">
        <is>
          <t>BEB-002</t>
        </is>
      </c>
      <c r="Q78" t="inlineStr">
        <is>
          <t>Agua purificada 1 galón</t>
        </is>
      </c>
      <c r="R78" t="inlineStr">
        <is>
          <t>Bebidas</t>
        </is>
      </c>
      <c r="S78" t="inlineStr">
        <is>
          <t>Bebidas Izalco</t>
        </is>
      </c>
      <c r="T78" t="inlineStr">
        <is>
          <t>2450-7700</t>
        </is>
      </c>
      <c r="U78" t="n">
        <v>1.1</v>
      </c>
      <c r="V78" t="n">
        <v>1</v>
      </c>
      <c r="W78" t="n">
        <v>0</v>
      </c>
      <c r="X78">
        <f>IFERROR(U78*V78*(1-W78/100),"")</f>
        <v/>
      </c>
      <c r="Y78">
        <f>IFERROR(ROUND(X78*0.13,2),"")</f>
        <v/>
      </c>
      <c r="Z78">
        <f>IFERROR(X78+Y78,"")</f>
        <v/>
      </c>
      <c r="AA78" t="inlineStr">
        <is>
          <t>Transferencia</t>
        </is>
      </c>
      <c r="AB78" t="inlineStr">
        <is>
          <t>pagó con billete de $100</t>
        </is>
      </c>
    </row>
    <row r="79">
      <c r="A79" t="inlineStr">
        <is>
          <t>F-10513</t>
        </is>
      </c>
      <c r="B79" t="inlineStr">
        <is>
          <t>2026-08-26</t>
        </is>
      </c>
      <c r="C79" t="inlineStr">
        <is>
          <t>CCF</t>
        </is>
      </c>
      <c r="D79" t="inlineStr">
        <is>
          <t>LL02</t>
        </is>
      </c>
      <c r="E79" t="inlineStr">
        <is>
          <t>Pto. La Libertad</t>
        </is>
      </c>
      <c r="F79" t="inlineStr">
        <is>
          <t>Calle El Malecón, Local 4</t>
        </is>
      </c>
      <c r="G79" t="inlineStr">
        <is>
          <t>La Libertad</t>
        </is>
      </c>
      <c r="H79" t="inlineStr">
        <is>
          <t>La Libertad</t>
        </is>
      </c>
      <c r="I79" t="inlineStr">
        <is>
          <t>Wendy Aguilar</t>
        </is>
      </c>
      <c r="J79" t="inlineStr">
        <is>
          <t>2335-6140</t>
        </is>
      </c>
      <c r="K79" t="inlineStr">
        <is>
          <t>Gabriela Saravia</t>
        </is>
      </c>
      <c r="L79" t="inlineStr">
        <is>
          <t>Comedor Doña Tere</t>
        </is>
      </c>
      <c r="M79" t="inlineStr">
        <is>
          <t>197287-2</t>
        </is>
      </c>
      <c r="N79" t="inlineStr">
        <is>
          <t>6654-5678</t>
        </is>
      </c>
      <c r="O79" t="inlineStr">
        <is>
          <t>Contribuyente</t>
        </is>
      </c>
      <c r="P79" t="inlineStr">
        <is>
          <t>LAC-001</t>
        </is>
      </c>
      <c r="Q79" t="inlineStr">
        <is>
          <t>Quesillo 1lb</t>
        </is>
      </c>
      <c r="R79" t="inlineStr">
        <is>
          <t>Lacteos</t>
        </is>
      </c>
      <c r="S79" t="inlineStr">
        <is>
          <t>Lácteos Chalate</t>
        </is>
      </c>
      <c r="T79" t="inlineStr">
        <is>
          <t>7120-4455</t>
        </is>
      </c>
      <c r="U79" t="n">
        <v>3.8</v>
      </c>
      <c r="V79" t="n">
        <v>2</v>
      </c>
      <c r="W79" t="n">
        <v>5</v>
      </c>
      <c r="X79">
        <f>IFERROR(U79*V79*(1-W79/100),"")</f>
        <v/>
      </c>
      <c r="Y79">
        <f>IFERROR(ROUND(X79*0.13,2),"")</f>
        <v/>
      </c>
      <c r="Z79">
        <f>IFERROR(X79+Y79,"")</f>
        <v/>
      </c>
      <c r="AA79" t="inlineStr">
        <is>
          <t>efectivo</t>
        </is>
      </c>
      <c r="AB79" t="inlineStr">
        <is>
          <t>Cliente frecuente</t>
        </is>
      </c>
    </row>
    <row r="80">
      <c r="A80" t="inlineStr">
        <is>
          <t>10513</t>
        </is>
      </c>
      <c r="B80" s="3" t="n">
        <v>46260</v>
      </c>
      <c r="C80" t="inlineStr">
        <is>
          <t>CCF</t>
        </is>
      </c>
      <c r="D80" t="inlineStr">
        <is>
          <t>LL02</t>
        </is>
      </c>
      <c r="E80" t="inlineStr">
        <is>
          <t>Pto. La Libertad</t>
        </is>
      </c>
      <c r="F80" t="inlineStr">
        <is>
          <t>Calle El Malecón, Local 4</t>
        </is>
      </c>
      <c r="G80" t="inlineStr">
        <is>
          <t>La Libertad</t>
        </is>
      </c>
      <c r="H80" t="inlineStr">
        <is>
          <t>La Libertad</t>
        </is>
      </c>
      <c r="I80" t="inlineStr">
        <is>
          <t>Wendy Aguilar</t>
        </is>
      </c>
      <c r="J80" t="inlineStr">
        <is>
          <t>2335-6140</t>
        </is>
      </c>
      <c r="K80" t="inlineStr">
        <is>
          <t>Gabriela Saravia</t>
        </is>
      </c>
      <c r="L80" t="inlineStr">
        <is>
          <t>Comedor Doña Tere</t>
        </is>
      </c>
      <c r="M80" t="inlineStr">
        <is>
          <t>197287-2</t>
        </is>
      </c>
      <c r="N80" t="inlineStr">
        <is>
          <t>6654-5678</t>
        </is>
      </c>
      <c r="O80" t="inlineStr">
        <is>
          <t>Contribuyente</t>
        </is>
      </c>
      <c r="P80" t="inlineStr">
        <is>
          <t>ARR-001</t>
        </is>
      </c>
      <c r="Q80" t="inlineStr">
        <is>
          <t>Arroz blanco 5lb</t>
        </is>
      </c>
      <c r="R80" t="inlineStr">
        <is>
          <t>Abarrotes</t>
        </is>
      </c>
      <c r="S80" t="inlineStr">
        <is>
          <t>Granos del Pacífico</t>
        </is>
      </c>
      <c r="T80" t="inlineStr">
        <is>
          <t>2234-8890</t>
        </is>
      </c>
      <c r="U80" t="n">
        <v>3.95</v>
      </c>
      <c r="V80" t="n">
        <v>1</v>
      </c>
      <c r="W80" t="n">
        <v>0</v>
      </c>
      <c r="X80">
        <f>IFERROR(U80*V80*(1-W80/100),"")</f>
        <v/>
      </c>
      <c r="Y80">
        <f>IFERROR(ROUND(X80*0.13,2),"")</f>
        <v/>
      </c>
      <c r="Z80">
        <f>IFERROR(X80+Y80,"")</f>
        <v/>
      </c>
      <c r="AA80" t="inlineStr">
        <is>
          <t>efectivo</t>
        </is>
      </c>
      <c r="AB80" t="inlineStr">
        <is>
          <t>precio especial autorizado por gerente</t>
        </is>
      </c>
    </row>
    <row r="81">
      <c r="A81" t="inlineStr">
        <is>
          <t>F-10514</t>
        </is>
      </c>
      <c r="B81" t="inlineStr">
        <is>
          <t>15-Aug-26</t>
        </is>
      </c>
      <c r="C81" t="inlineStr">
        <is>
          <t>Factura</t>
        </is>
      </c>
      <c r="D81" t="inlineStr">
        <is>
          <t>SA01</t>
        </is>
      </c>
      <c r="E81" t="inlineStr">
        <is>
          <t>Santa  Ana</t>
        </is>
      </c>
      <c r="F81" t="inlineStr">
        <is>
          <t>Av. Independencia Sur #12</t>
        </is>
      </c>
      <c r="G81" t="inlineStr">
        <is>
          <t>Santa Ana</t>
        </is>
      </c>
      <c r="H81" t="inlineStr">
        <is>
          <t>Santa Ana</t>
        </is>
      </c>
      <c r="I81" t="inlineStr">
        <is>
          <t>Mauricio Linares</t>
        </is>
      </c>
      <c r="J81" t="inlineStr">
        <is>
          <t>2440-9921</t>
        </is>
      </c>
      <c r="K81" t="inlineStr">
        <is>
          <t>Diego Zelaya</t>
        </is>
      </c>
      <c r="L81" t="inlineStr">
        <is>
          <t>Douglas Pérez Guevara</t>
        </is>
      </c>
      <c r="M81" t="inlineStr">
        <is>
          <t>09863904-2</t>
        </is>
      </c>
      <c r="N81" t="inlineStr">
        <is>
          <t>7997-9269</t>
        </is>
      </c>
      <c r="O81" t="inlineStr">
        <is>
          <t>Consumidor final</t>
        </is>
      </c>
      <c r="P81" t="inlineStr">
        <is>
          <t>LAC-001</t>
        </is>
      </c>
      <c r="Q81" t="inlineStr">
        <is>
          <t>Quesillo 1lb</t>
        </is>
      </c>
      <c r="R81" t="inlineStr">
        <is>
          <t>Lácteos</t>
        </is>
      </c>
      <c r="S81" t="inlineStr">
        <is>
          <t>Lácteos Chalate</t>
        </is>
      </c>
      <c r="T81" t="inlineStr">
        <is>
          <t>7120-4455</t>
        </is>
      </c>
      <c r="U81" t="n">
        <v>3.5</v>
      </c>
      <c r="V81" t="n">
        <v>1</v>
      </c>
      <c r="W81" t="n">
        <v>0</v>
      </c>
      <c r="X81">
        <f>IFERROR(U81*V81*(1-W81/100),"")</f>
        <v/>
      </c>
      <c r="Y81">
        <f>IFERROR(ROUND(X81*0.13,2),"")</f>
        <v/>
      </c>
      <c r="Z81">
        <f>IFERROR(X81+Y81,"")</f>
        <v/>
      </c>
      <c r="AA81" t="inlineStr">
        <is>
          <t>Efectivo</t>
        </is>
      </c>
      <c r="AB81" t="inlineStr"/>
    </row>
    <row r="82">
      <c r="A82" t="inlineStr">
        <is>
          <t>F-10514</t>
        </is>
      </c>
      <c r="B82" t="inlineStr">
        <is>
          <t>15/08/2026</t>
        </is>
      </c>
      <c r="C82" t="inlineStr">
        <is>
          <t>Factura</t>
        </is>
      </c>
      <c r="D82" t="inlineStr">
        <is>
          <t>SA01</t>
        </is>
      </c>
      <c r="E82" t="inlineStr">
        <is>
          <t>Santa  Ana</t>
        </is>
      </c>
      <c r="F82" t="inlineStr">
        <is>
          <t>Av. Independencia Sur #12</t>
        </is>
      </c>
      <c r="G82" t="inlineStr">
        <is>
          <t>Santa Ana</t>
        </is>
      </c>
      <c r="H82" t="inlineStr">
        <is>
          <t>Santa Ana</t>
        </is>
      </c>
      <c r="I82" t="inlineStr">
        <is>
          <t>Mauricio Linares</t>
        </is>
      </c>
      <c r="J82" t="inlineStr">
        <is>
          <t>2440-9921</t>
        </is>
      </c>
      <c r="K82" t="inlineStr">
        <is>
          <t>Diego Zelaya</t>
        </is>
      </c>
      <c r="L82" t="inlineStr">
        <is>
          <t>Douglas Pérez Guevara</t>
        </is>
      </c>
      <c r="M82" t="inlineStr">
        <is>
          <t>09863904-2</t>
        </is>
      </c>
      <c r="N82" t="inlineStr">
        <is>
          <t>7997-9269</t>
        </is>
      </c>
      <c r="O82" t="inlineStr">
        <is>
          <t>Consumidor final</t>
        </is>
      </c>
      <c r="P82" t="inlineStr">
        <is>
          <t>HIG-002</t>
        </is>
      </c>
      <c r="Q82" t="inlineStr">
        <is>
          <t>Papel higiénico 4 rollos</t>
        </is>
      </c>
      <c r="R82" t="inlineStr">
        <is>
          <t>Higiene</t>
        </is>
      </c>
      <c r="S82" t="inlineStr">
        <is>
          <t>Higiene Total C.A.</t>
        </is>
      </c>
      <c r="T82" t="inlineStr">
        <is>
          <t>2207-5566</t>
        </is>
      </c>
      <c r="U82" t="n">
        <v>2.15</v>
      </c>
      <c r="V82" t="n">
        <v>12</v>
      </c>
      <c r="W82" t="n">
        <v>0</v>
      </c>
      <c r="X82">
        <f>IFERROR(U82*V82*(1-W82/100),"")</f>
        <v/>
      </c>
      <c r="Y82">
        <f>IFERROR(ROUND(X82*0.13,2),"")</f>
        <v/>
      </c>
      <c r="Z82">
        <f>IFERROR(X82+Y82,"")</f>
        <v/>
      </c>
      <c r="AA82" t="inlineStr">
        <is>
          <t>Efectivo</t>
        </is>
      </c>
      <c r="AB82" t="inlineStr">
        <is>
          <t>pagó con billete de $100</t>
        </is>
      </c>
    </row>
    <row r="83">
      <c r="A83" t="inlineStr">
        <is>
          <t>F-10514</t>
        </is>
      </c>
      <c r="B83" s="3" t="n">
        <v>46249</v>
      </c>
      <c r="C83" t="inlineStr">
        <is>
          <t>Factura</t>
        </is>
      </c>
      <c r="D83" t="inlineStr">
        <is>
          <t>SA01</t>
        </is>
      </c>
      <c r="E83" t="inlineStr">
        <is>
          <t>STA ANA</t>
        </is>
      </c>
      <c r="F83" t="inlineStr">
        <is>
          <t>Av. Independencia Sur #12</t>
        </is>
      </c>
      <c r="G83" t="inlineStr">
        <is>
          <t>Santa Ana</t>
        </is>
      </c>
      <c r="H83" t="inlineStr">
        <is>
          <t>Santa Ana</t>
        </is>
      </c>
      <c r="I83" t="inlineStr">
        <is>
          <t>Mauricio Linares</t>
        </is>
      </c>
      <c r="J83" t="inlineStr">
        <is>
          <t>2440-9921</t>
        </is>
      </c>
      <c r="K83" t="inlineStr">
        <is>
          <t>Diego Zelaya</t>
        </is>
      </c>
      <c r="L83" t="inlineStr">
        <is>
          <t>Douglas Pérez Guevara</t>
        </is>
      </c>
      <c r="M83" t="inlineStr">
        <is>
          <t>09863904-2</t>
        </is>
      </c>
      <c r="N83" t="inlineStr">
        <is>
          <t>7997-9269</t>
        </is>
      </c>
      <c r="O83" t="inlineStr">
        <is>
          <t>Consumidor final</t>
        </is>
      </c>
      <c r="P83" t="inlineStr">
        <is>
          <t>CAF-001</t>
        </is>
      </c>
      <c r="Q83" t="inlineStr">
        <is>
          <t>Café molido 400g</t>
        </is>
      </c>
      <c r="R83" t="inlineStr">
        <is>
          <t>Abarrotes</t>
        </is>
      </c>
      <c r="S83" t="inlineStr">
        <is>
          <t>Café Volcán S.A.</t>
        </is>
      </c>
      <c r="T83" t="inlineStr">
        <is>
          <t>2510-3344</t>
        </is>
      </c>
      <c r="U83" t="n">
        <v>4.25</v>
      </c>
      <c r="V83" t="n">
        <v>24</v>
      </c>
      <c r="W83" t="n">
        <v>0</v>
      </c>
      <c r="X83">
        <f>IFERROR(U83*V83*(1-W83/100),"")</f>
        <v/>
      </c>
      <c r="Y83">
        <f>IFERROR(ROUND(X83*0.13,2),"")</f>
        <v/>
      </c>
      <c r="Z83">
        <f>IFERROR(X83+Y83,"")</f>
        <v/>
      </c>
      <c r="AA83" t="inlineStr">
        <is>
          <t>Efectivo</t>
        </is>
      </c>
      <c r="AB83" t="inlineStr"/>
    </row>
    <row r="84">
      <c r="A84" t="inlineStr">
        <is>
          <t>F-10514</t>
        </is>
      </c>
      <c r="B84" s="3" t="n">
        <v>46249</v>
      </c>
      <c r="C84" t="inlineStr">
        <is>
          <t>Factura</t>
        </is>
      </c>
      <c r="D84" t="inlineStr">
        <is>
          <t>SA01</t>
        </is>
      </c>
      <c r="E84" t="inlineStr">
        <is>
          <t>STA ANA</t>
        </is>
      </c>
      <c r="F84" t="inlineStr">
        <is>
          <t>Av. Independencia Sur #12</t>
        </is>
      </c>
      <c r="G84" t="inlineStr">
        <is>
          <t>Santa Ana</t>
        </is>
      </c>
      <c r="H84" t="inlineStr">
        <is>
          <t>Santa Ana</t>
        </is>
      </c>
      <c r="I84" t="inlineStr">
        <is>
          <t>Mauricio Linares</t>
        </is>
      </c>
      <c r="J84" t="inlineStr">
        <is>
          <t>2440-9921</t>
        </is>
      </c>
      <c r="K84" t="inlineStr">
        <is>
          <t>Diego Zelaya</t>
        </is>
      </c>
      <c r="L84" t="inlineStr">
        <is>
          <t>Douglas Pérez Guevara</t>
        </is>
      </c>
      <c r="M84" t="inlineStr">
        <is>
          <t>09863904-2</t>
        </is>
      </c>
      <c r="N84" t="inlineStr">
        <is>
          <t>7997-9269</t>
        </is>
      </c>
      <c r="O84" t="inlineStr">
        <is>
          <t>Consumidor final</t>
        </is>
      </c>
      <c r="P84" t="inlineStr">
        <is>
          <t>LAC-003</t>
        </is>
      </c>
      <c r="Q84" t="inlineStr">
        <is>
          <t>Leche entera 1L</t>
        </is>
      </c>
      <c r="R84" t="inlineStr">
        <is>
          <t>Lácteos</t>
        </is>
      </c>
      <c r="S84" t="inlineStr">
        <is>
          <t>Lácteos Chalate</t>
        </is>
      </c>
      <c r="T84" t="inlineStr">
        <is>
          <t>7120-4455</t>
        </is>
      </c>
      <c r="U84" t="n">
        <v>1.2</v>
      </c>
      <c r="V84" t="n">
        <v>-1</v>
      </c>
      <c r="W84" t="n">
        <v>0</v>
      </c>
      <c r="X84">
        <f>IFERROR(U84*V84*(1-W84/100),"")</f>
        <v/>
      </c>
      <c r="Y84">
        <f>IFERROR(ROUND(X84*0.13,2),"")</f>
        <v/>
      </c>
      <c r="Z84">
        <f>IFERROR(X84+Y84,"")</f>
        <v/>
      </c>
      <c r="AA84" t="inlineStr">
        <is>
          <t>Efectivo</t>
        </is>
      </c>
      <c r="AB84" t="inlineStr"/>
    </row>
    <row r="85">
      <c r="A85" t="inlineStr">
        <is>
          <t>F-10515</t>
        </is>
      </c>
      <c r="B85" t="inlineStr">
        <is>
          <t>2026-09-21</t>
        </is>
      </c>
      <c r="C85" t="inlineStr">
        <is>
          <t>Factura</t>
        </is>
      </c>
      <c r="D85" t="inlineStr">
        <is>
          <t>SO01</t>
        </is>
      </c>
      <c r="E85" t="inlineStr">
        <is>
          <t>Sonsonate</t>
        </is>
      </c>
      <c r="F85" t="inlineStr">
        <is>
          <t>Calle Obispo Marroquín #3</t>
        </is>
      </c>
      <c r="G85" t="inlineStr">
        <is>
          <t>Sonsonate</t>
        </is>
      </c>
      <c r="H85" t="inlineStr">
        <is>
          <t>Sonsonate</t>
        </is>
      </c>
      <c r="I85" t="inlineStr">
        <is>
          <t>Ernesto Chávez</t>
        </is>
      </c>
      <c r="J85" t="inlineStr">
        <is>
          <t>2451-2288</t>
        </is>
      </c>
      <c r="K85" t="inlineStr">
        <is>
          <t>Ricardo Funes</t>
        </is>
      </c>
      <c r="L85" t="inlineStr">
        <is>
          <t>René Cornejo Cornejo</t>
        </is>
      </c>
      <c r="M85" t="inlineStr">
        <is>
          <t>03632979-1</t>
        </is>
      </c>
      <c r="N85" t="inlineStr">
        <is>
          <t>7833-5595</t>
        </is>
      </c>
      <c r="O85" t="inlineStr">
        <is>
          <t>Consumidor final</t>
        </is>
      </c>
      <c r="P85" t="inlineStr">
        <is>
          <t>PAN-002</t>
        </is>
      </c>
      <c r="Q85" t="inlineStr">
        <is>
          <t>Semita alta</t>
        </is>
      </c>
      <c r="R85" t="inlineStr">
        <is>
          <t>Panadería</t>
        </is>
      </c>
      <c r="S85" t="inlineStr">
        <is>
          <t>Panificadora Ilopango</t>
        </is>
      </c>
      <c r="T85" t="inlineStr">
        <is>
          <t>2295-0081</t>
        </is>
      </c>
      <c r="U85" t="inlineStr">
        <is>
          <t>1,75</t>
        </is>
      </c>
      <c r="V85" t="n">
        <v>2</v>
      </c>
      <c r="W85" t="n">
        <v>0</v>
      </c>
      <c r="X85">
        <f>IFERROR(U85*V85*(1-W85/100),"")</f>
        <v/>
      </c>
      <c r="Y85">
        <f>IFERROR(ROUND(X85*0.13,2),"")</f>
        <v/>
      </c>
      <c r="Z85">
        <f>IFERROR(X85+Y85,"")</f>
        <v/>
      </c>
      <c r="AA85" t="inlineStr">
        <is>
          <t>Efectivo</t>
        </is>
      </c>
      <c r="AB85" t="inlineStr"/>
    </row>
    <row r="86">
      <c r="A86" t="inlineStr">
        <is>
          <t>F-10515</t>
        </is>
      </c>
      <c r="B86" t="inlineStr">
        <is>
          <t>21/09/2026</t>
        </is>
      </c>
      <c r="C86" t="inlineStr">
        <is>
          <t>Factura</t>
        </is>
      </c>
      <c r="D86" t="inlineStr">
        <is>
          <t>SO01</t>
        </is>
      </c>
      <c r="E86" t="inlineStr">
        <is>
          <t>SONSONATE</t>
        </is>
      </c>
      <c r="F86" t="inlineStr">
        <is>
          <t>Calle Obispo Marroquín #3</t>
        </is>
      </c>
      <c r="G86" t="inlineStr">
        <is>
          <t>Sonsonate</t>
        </is>
      </c>
      <c r="H86" t="inlineStr">
        <is>
          <t>Sonsonate</t>
        </is>
      </c>
      <c r="I86" t="inlineStr">
        <is>
          <t>Ernesto Chávez</t>
        </is>
      </c>
      <c r="J86" t="inlineStr">
        <is>
          <t>2451-2288</t>
        </is>
      </c>
      <c r="K86" t="inlineStr">
        <is>
          <t>Ricardo Funes</t>
        </is>
      </c>
      <c r="L86" t="inlineStr">
        <is>
          <t>René Cornejo Cornejo</t>
        </is>
      </c>
      <c r="M86" t="inlineStr">
        <is>
          <t>03632979-1</t>
        </is>
      </c>
      <c r="N86" t="inlineStr">
        <is>
          <t>7833-5595</t>
        </is>
      </c>
      <c r="O86" t="inlineStr">
        <is>
          <t>Consumidor final</t>
        </is>
      </c>
      <c r="P86" t="inlineStr">
        <is>
          <t>HIG-003</t>
        </is>
      </c>
      <c r="Q86" t="inlineStr">
        <is>
          <t>Jabón de lavar barra</t>
        </is>
      </c>
      <c r="R86" t="inlineStr">
        <is>
          <t>Limpieza</t>
        </is>
      </c>
      <c r="S86" t="inlineStr">
        <is>
          <t>Higiene Total C.A.</t>
        </is>
      </c>
      <c r="T86" t="inlineStr">
        <is>
          <t>2207-5566</t>
        </is>
      </c>
      <c r="U86" t="n">
        <v>0.75</v>
      </c>
      <c r="V86" t="n">
        <v>1</v>
      </c>
      <c r="W86" t="n">
        <v>0</v>
      </c>
      <c r="X86">
        <f>IFERROR(U86*V86*(1-W86/100),"")</f>
        <v/>
      </c>
      <c r="Y86">
        <f>IFERROR(ROUND(X86*0.13,2),"")</f>
        <v/>
      </c>
      <c r="Z86">
        <f>IFERROR(X86+Y86,"")</f>
        <v/>
      </c>
      <c r="AA86" t="inlineStr">
        <is>
          <t>Efectivo</t>
        </is>
      </c>
      <c r="AB86" t="inlineStr">
        <is>
          <t>pagó con billete de $100</t>
        </is>
      </c>
    </row>
    <row r="87">
      <c r="A87" t="inlineStr">
        <is>
          <t>F-10515</t>
        </is>
      </c>
      <c r="B87" s="3" t="n">
        <v>46286</v>
      </c>
      <c r="C87" t="inlineStr">
        <is>
          <t>Factura</t>
        </is>
      </c>
      <c r="D87" t="inlineStr">
        <is>
          <t>SO01</t>
        </is>
      </c>
      <c r="E87" t="inlineStr">
        <is>
          <t>SONSONATE</t>
        </is>
      </c>
      <c r="F87" t="inlineStr">
        <is>
          <t>Calle Obispo Marroquín #3</t>
        </is>
      </c>
      <c r="G87" t="inlineStr">
        <is>
          <t>Sonsonate</t>
        </is>
      </c>
      <c r="H87" t="inlineStr">
        <is>
          <t>Sonsonate</t>
        </is>
      </c>
      <c r="I87" t="inlineStr">
        <is>
          <t>Ernesto Chávez</t>
        </is>
      </c>
      <c r="J87" t="inlineStr">
        <is>
          <t>2451-2288</t>
        </is>
      </c>
      <c r="K87" t="inlineStr">
        <is>
          <t>Ricardo Funes</t>
        </is>
      </c>
      <c r="L87" t="inlineStr">
        <is>
          <t>René Cornejo Cornejo</t>
        </is>
      </c>
      <c r="M87" t="inlineStr"/>
      <c r="N87" t="inlineStr">
        <is>
          <t>7833-5595</t>
        </is>
      </c>
      <c r="O87" t="inlineStr">
        <is>
          <t>Consumidor final</t>
        </is>
      </c>
      <c r="P87" t="inlineStr">
        <is>
          <t>LAC-003</t>
        </is>
      </c>
      <c r="Q87" t="inlineStr">
        <is>
          <t>Leche entera 1L</t>
        </is>
      </c>
      <c r="R87" t="inlineStr">
        <is>
          <t>Lácteos</t>
        </is>
      </c>
      <c r="S87" t="inlineStr">
        <is>
          <t>Lácteos Chalate</t>
        </is>
      </c>
      <c r="T87" t="inlineStr">
        <is>
          <t>2335-1020</t>
        </is>
      </c>
      <c r="U87" t="n">
        <v>1.2</v>
      </c>
      <c r="V87" t="n">
        <v>24</v>
      </c>
      <c r="W87" t="n">
        <v>0</v>
      </c>
      <c r="X87">
        <f>IFERROR(U87*V87*(1-W87/100),"")</f>
        <v/>
      </c>
      <c r="Y87">
        <f>IFERROR(ROUND(X87*0.13,2),"")</f>
        <v/>
      </c>
      <c r="Z87">
        <f>IFERROR(X87+Y87,"")</f>
        <v/>
      </c>
      <c r="AA87" t="inlineStr">
        <is>
          <t>Efectivo</t>
        </is>
      </c>
      <c r="AB87" t="inlineStr">
        <is>
          <t>Llamar al 7788-1234 antes de entregar</t>
        </is>
      </c>
    </row>
    <row r="88">
      <c r="A88" t="inlineStr">
        <is>
          <t>F-10515</t>
        </is>
      </c>
      <c r="B88" s="3" t="n">
        <v>46286</v>
      </c>
      <c r="C88" t="inlineStr">
        <is>
          <t>Factura</t>
        </is>
      </c>
      <c r="D88" t="inlineStr">
        <is>
          <t>SO01</t>
        </is>
      </c>
      <c r="E88" t="inlineStr">
        <is>
          <t>Sonsonate</t>
        </is>
      </c>
      <c r="F88" t="inlineStr">
        <is>
          <t>Calle Obispo Marroquín #3</t>
        </is>
      </c>
      <c r="G88" t="inlineStr">
        <is>
          <t>Sonsonate</t>
        </is>
      </c>
      <c r="H88" t="inlineStr">
        <is>
          <t>Sonsonate</t>
        </is>
      </c>
      <c r="I88" t="inlineStr">
        <is>
          <t>Ernesto Chávez</t>
        </is>
      </c>
      <c r="J88" t="inlineStr">
        <is>
          <t>2451-2288</t>
        </is>
      </c>
      <c r="K88" t="inlineStr">
        <is>
          <t>Ricardo Funes</t>
        </is>
      </c>
      <c r="L88" t="inlineStr">
        <is>
          <t>René Cornejo Cornejo</t>
        </is>
      </c>
      <c r="M88" t="inlineStr">
        <is>
          <t>03632979-1</t>
        </is>
      </c>
      <c r="N88" t="inlineStr">
        <is>
          <t>7833-5595</t>
        </is>
      </c>
      <c r="O88" t="inlineStr">
        <is>
          <t>Consumidor final</t>
        </is>
      </c>
      <c r="P88" t="inlineStr">
        <is>
          <t>HIG-002</t>
        </is>
      </c>
      <c r="Q88" t="inlineStr">
        <is>
          <t>Papel higiénico 4 rollos</t>
        </is>
      </c>
      <c r="R88" t="inlineStr">
        <is>
          <t>Higiene</t>
        </is>
      </c>
      <c r="S88" t="inlineStr">
        <is>
          <t>Higiene Total C.A.</t>
        </is>
      </c>
      <c r="T88" t="inlineStr">
        <is>
          <t>2207-5566</t>
        </is>
      </c>
      <c r="U88" t="n">
        <v>2.15</v>
      </c>
      <c r="V88" t="n">
        <v>12</v>
      </c>
      <c r="W88" t="n">
        <v>0</v>
      </c>
      <c r="X88">
        <f>IFERROR(U88*V88*(1-W88/100),"")</f>
        <v/>
      </c>
      <c r="Y88">
        <f>IFERROR(ROUND(X88*0.13,2),"")</f>
        <v/>
      </c>
      <c r="Z88">
        <f>IFERROR(X88+Y88,"")</f>
        <v/>
      </c>
      <c r="AA88" t="inlineStr">
        <is>
          <t>Efectivo</t>
        </is>
      </c>
      <c r="AB88" t="inlineStr">
        <is>
          <t>precio especial autorizado por gerente</t>
        </is>
      </c>
    </row>
    <row r="89">
      <c r="A89" t="inlineStr">
        <is>
          <t>F-10517</t>
        </is>
      </c>
      <c r="B89" t="inlineStr">
        <is>
          <t>01-Sep-26</t>
        </is>
      </c>
      <c r="C89" t="inlineStr">
        <is>
          <t>Factura</t>
        </is>
      </c>
      <c r="D89" t="inlineStr">
        <is>
          <t>US01</t>
        </is>
      </c>
      <c r="E89" t="inlineStr">
        <is>
          <t>Usulutan</t>
        </is>
      </c>
      <c r="F89" t="inlineStr">
        <is>
          <t>2a Av. Norte #9</t>
        </is>
      </c>
      <c r="G89" t="inlineStr">
        <is>
          <t>Usulután</t>
        </is>
      </c>
      <c r="H89" t="inlineStr">
        <is>
          <t>Usulután</t>
        </is>
      </c>
      <c r="I89" t="inlineStr">
        <is>
          <t>Nelson Fuentes</t>
        </is>
      </c>
      <c r="J89" t="inlineStr">
        <is>
          <t>2662-8810</t>
        </is>
      </c>
      <c r="K89" t="inlineStr">
        <is>
          <t>Miguel Bonilla</t>
        </is>
      </c>
      <c r="L89" t="inlineStr">
        <is>
          <t>Sandra Guevara Lemus</t>
        </is>
      </c>
      <c r="M89" t="inlineStr">
        <is>
          <t>08577633-7</t>
        </is>
      </c>
      <c r="N89" t="inlineStr">
        <is>
          <t>6671-1550</t>
        </is>
      </c>
      <c r="O89" t="inlineStr">
        <is>
          <t>Consumidor final</t>
        </is>
      </c>
      <c r="P89" t="inlineStr">
        <is>
          <t>HIG-001</t>
        </is>
      </c>
      <c r="Q89" t="inlineStr">
        <is>
          <t>Detergente 1kg</t>
        </is>
      </c>
      <c r="R89" t="inlineStr">
        <is>
          <t>Higiene</t>
        </is>
      </c>
      <c r="S89" t="inlineStr">
        <is>
          <t>Higiene Total C.A.</t>
        </is>
      </c>
      <c r="T89" t="inlineStr">
        <is>
          <t>2207-5566</t>
        </is>
      </c>
      <c r="U89" t="n">
        <v>3.45</v>
      </c>
      <c r="V89" t="n">
        <v>1</v>
      </c>
      <c r="W89" t="n">
        <v>0</v>
      </c>
      <c r="X89">
        <f>IFERROR(U89*V89*(1-W89/100),"")</f>
        <v/>
      </c>
      <c r="Y89">
        <f>IFERROR(ROUND(X89*0.13,2),"")</f>
        <v/>
      </c>
      <c r="Z89">
        <f>IFERROR(X89+Y89,"")</f>
        <v/>
      </c>
      <c r="AA89" t="inlineStr">
        <is>
          <t>Chivo</t>
        </is>
      </c>
      <c r="AB89" t="inlineStr">
        <is>
          <t>precio especial autorizado por gerente</t>
        </is>
      </c>
    </row>
    <row r="90">
      <c r="A90" t="inlineStr">
        <is>
          <t>F-10517</t>
        </is>
      </c>
      <c r="B90" s="3" t="n">
        <v>46266</v>
      </c>
      <c r="C90" t="inlineStr">
        <is>
          <t>Factura</t>
        </is>
      </c>
      <c r="D90" t="inlineStr">
        <is>
          <t>US01</t>
        </is>
      </c>
      <c r="E90" t="inlineStr">
        <is>
          <t>Usulután</t>
        </is>
      </c>
      <c r="F90" t="inlineStr">
        <is>
          <t>2a Av. Norte #9</t>
        </is>
      </c>
      <c r="G90" t="inlineStr">
        <is>
          <t>Usulután</t>
        </is>
      </c>
      <c r="H90" t="inlineStr">
        <is>
          <t>Usulután</t>
        </is>
      </c>
      <c r="I90" t="inlineStr">
        <is>
          <t>Nelson Fuentes</t>
        </is>
      </c>
      <c r="J90" t="inlineStr">
        <is>
          <t>2662-8810</t>
        </is>
      </c>
      <c r="K90" t="inlineStr">
        <is>
          <t>Miguel Bonilla</t>
        </is>
      </c>
      <c r="L90" t="inlineStr">
        <is>
          <t>Sandra Guevara Lemus</t>
        </is>
      </c>
      <c r="M90" t="inlineStr">
        <is>
          <t>08577633-7</t>
        </is>
      </c>
      <c r="N90" t="inlineStr">
        <is>
          <t>6671-1550</t>
        </is>
      </c>
      <c r="O90" t="inlineStr">
        <is>
          <t>Consumidor final</t>
        </is>
      </c>
      <c r="P90" t="inlineStr">
        <is>
          <t>CAF-002</t>
        </is>
      </c>
      <c r="Q90" t="inlineStr">
        <is>
          <t>Café en grano 1lb</t>
        </is>
      </c>
      <c r="R90" t="inlineStr">
        <is>
          <t>Abarrotes</t>
        </is>
      </c>
      <c r="S90" t="inlineStr">
        <is>
          <t>Café Volcán S.A.</t>
        </is>
      </c>
      <c r="T90" t="inlineStr">
        <is>
          <t>2510-3344</t>
        </is>
      </c>
      <c r="U90" t="n">
        <v>6.75</v>
      </c>
      <c r="V90" t="n">
        <v>1</v>
      </c>
      <c r="W90" t="n">
        <v>0</v>
      </c>
      <c r="X90">
        <f>IFERROR(U90*V90*(1-W90/100),"")</f>
        <v/>
      </c>
      <c r="Y90">
        <f>IFERROR(ROUND(X90*0.13,2),"")</f>
        <v/>
      </c>
      <c r="Z90">
        <f>IFERROR(X90+Y90,"")</f>
        <v/>
      </c>
      <c r="AA90" t="inlineStr">
        <is>
          <t>Chivo</t>
        </is>
      </c>
      <c r="AB90" t="inlineStr"/>
    </row>
    <row r="91">
      <c r="A91" t="inlineStr">
        <is>
          <t>F-10517</t>
        </is>
      </c>
      <c r="B91" t="inlineStr">
        <is>
          <t>01/09/2026</t>
        </is>
      </c>
      <c r="C91" t="inlineStr">
        <is>
          <t>Factura</t>
        </is>
      </c>
      <c r="D91" t="inlineStr">
        <is>
          <t>US01</t>
        </is>
      </c>
      <c r="E91" t="inlineStr">
        <is>
          <t>Usulutan</t>
        </is>
      </c>
      <c r="F91" t="inlineStr">
        <is>
          <t>2a Av. Norte #9</t>
        </is>
      </c>
      <c r="G91" t="inlineStr">
        <is>
          <t>Usulután</t>
        </is>
      </c>
      <c r="H91" t="inlineStr">
        <is>
          <t>Usulután</t>
        </is>
      </c>
      <c r="I91" t="inlineStr">
        <is>
          <t>Nelson Fuentes</t>
        </is>
      </c>
      <c r="J91" t="inlineStr">
        <is>
          <t>2662-8810</t>
        </is>
      </c>
      <c r="K91" t="inlineStr">
        <is>
          <t>Miguel Bonilla</t>
        </is>
      </c>
      <c r="L91" t="inlineStr">
        <is>
          <t>Sandra Guevara Lemus</t>
        </is>
      </c>
      <c r="M91" t="inlineStr">
        <is>
          <t>08577633-7</t>
        </is>
      </c>
      <c r="N91" t="inlineStr">
        <is>
          <t>6671-1550</t>
        </is>
      </c>
      <c r="O91" t="inlineStr">
        <is>
          <t>Consumidor final</t>
        </is>
      </c>
      <c r="P91" t="inlineStr">
        <is>
          <t>BEB-002</t>
        </is>
      </c>
      <c r="Q91" t="inlineStr">
        <is>
          <t>Agua purificada 1 galón</t>
        </is>
      </c>
      <c r="R91" t="inlineStr">
        <is>
          <t>Bebidas</t>
        </is>
      </c>
      <c r="S91" t="inlineStr">
        <is>
          <t>Bebidas Izalco</t>
        </is>
      </c>
      <c r="T91" t="inlineStr">
        <is>
          <t>2450-7700</t>
        </is>
      </c>
      <c r="U91" t="n">
        <v>1.1</v>
      </c>
      <c r="V91" t="n">
        <v>12</v>
      </c>
      <c r="W91" t="n">
        <v>0</v>
      </c>
      <c r="X91">
        <f>IFERROR(U91*V91*(1-W91/100),"")</f>
        <v/>
      </c>
      <c r="Y91">
        <f>IFERROR(ROUND(X91*0.13,2),"")</f>
        <v/>
      </c>
      <c r="Z91">
        <f>IFERROR(X91+Y91,"")</f>
        <v/>
      </c>
      <c r="AA91" t="inlineStr">
        <is>
          <t>Chivo</t>
        </is>
      </c>
      <c r="AB91" t="inlineStr">
        <is>
          <t>pagó con billete de $100</t>
        </is>
      </c>
    </row>
    <row r="92">
      <c r="A92" t="inlineStr">
        <is>
          <t>F-10517</t>
        </is>
      </c>
      <c r="B92" s="3" t="n">
        <v>46266</v>
      </c>
      <c r="C92" t="inlineStr">
        <is>
          <t>Factura</t>
        </is>
      </c>
      <c r="D92" t="inlineStr">
        <is>
          <t>US01</t>
        </is>
      </c>
      <c r="E92" t="inlineStr">
        <is>
          <t>Usulutan</t>
        </is>
      </c>
      <c r="F92" t="inlineStr">
        <is>
          <t>2a Av. Norte #9</t>
        </is>
      </c>
      <c r="G92" t="inlineStr">
        <is>
          <t>Usulután</t>
        </is>
      </c>
      <c r="H92" t="inlineStr">
        <is>
          <t>Usulután</t>
        </is>
      </c>
      <c r="I92" t="inlineStr">
        <is>
          <t>Nelson Fuentes</t>
        </is>
      </c>
      <c r="J92" t="inlineStr">
        <is>
          <t>2662-8810</t>
        </is>
      </c>
      <c r="K92" t="inlineStr">
        <is>
          <t>Miguel Bonilla</t>
        </is>
      </c>
      <c r="L92" t="inlineStr">
        <is>
          <t>Sandra Guevara Lemus</t>
        </is>
      </c>
      <c r="M92" t="inlineStr">
        <is>
          <t>08577633-7</t>
        </is>
      </c>
      <c r="N92" t="inlineStr">
        <is>
          <t>6671-1550</t>
        </is>
      </c>
      <c r="O92" t="inlineStr">
        <is>
          <t>Consumidor final</t>
        </is>
      </c>
      <c r="P92" t="inlineStr">
        <is>
          <t>PAN-003</t>
        </is>
      </c>
      <c r="Q92" t="inlineStr">
        <is>
          <t>Quesadilla salvadoreña</t>
        </is>
      </c>
      <c r="R92" t="inlineStr">
        <is>
          <t>Panadería</t>
        </is>
      </c>
      <c r="S92" t="inlineStr">
        <is>
          <t>Panificadora Ilopango</t>
        </is>
      </c>
      <c r="T92" t="inlineStr">
        <is>
          <t>2295-0081</t>
        </is>
      </c>
      <c r="U92" t="n">
        <v>2.5</v>
      </c>
      <c r="V92" t="n">
        <v>1</v>
      </c>
      <c r="W92" t="n">
        <v>0</v>
      </c>
      <c r="X92">
        <f>IFERROR(U92*V92*(1-W92/100),"")</f>
        <v/>
      </c>
      <c r="Y92">
        <f>IFERROR(ROUND(X92*0.13,2),"")</f>
        <v/>
      </c>
      <c r="Z92">
        <f>IFERROR(X92+Y92,"")</f>
        <v/>
      </c>
      <c r="AA92" t="inlineStr">
        <is>
          <t>Chivo</t>
        </is>
      </c>
      <c r="AB92" t="inlineStr">
        <is>
          <t>Llamar al 7788-1234 antes de entregar</t>
        </is>
      </c>
    </row>
    <row r="93">
      <c r="A93" t="inlineStr">
        <is>
          <t>F-10519</t>
        </is>
      </c>
      <c r="B93" s="3" t="n">
        <v>46291</v>
      </c>
      <c r="C93" t="inlineStr">
        <is>
          <t>Factura</t>
        </is>
      </c>
      <c r="D93" t="inlineStr">
        <is>
          <t>SS01</t>
        </is>
      </c>
      <c r="E93" t="inlineStr">
        <is>
          <t>San Salvador Centro</t>
        </is>
      </c>
      <c r="F93" t="inlineStr">
        <is>
          <t>4a Calle Poniente #215</t>
        </is>
      </c>
      <c r="G93" t="inlineStr">
        <is>
          <t>San Salvador</t>
        </is>
      </c>
      <c r="H93" t="inlineStr">
        <is>
          <t>San Salvador</t>
        </is>
      </c>
      <c r="I93" t="inlineStr">
        <is>
          <t>Roberto Alfaro</t>
        </is>
      </c>
      <c r="J93" t="inlineStr">
        <is>
          <t>2221-4580</t>
        </is>
      </c>
      <c r="K93" t="inlineStr">
        <is>
          <t>José Martínez</t>
        </is>
      </c>
      <c r="L93" t="inlineStr">
        <is>
          <t>Patricia García Martínez</t>
        </is>
      </c>
      <c r="M93" t="inlineStr">
        <is>
          <t>02380558-6</t>
        </is>
      </c>
      <c r="N93" t="inlineStr">
        <is>
          <t>6660-5283</t>
        </is>
      </c>
      <c r="O93" t="inlineStr">
        <is>
          <t>Consumidor final</t>
        </is>
      </c>
      <c r="P93" t="inlineStr">
        <is>
          <t>CAF-002</t>
        </is>
      </c>
      <c r="Q93" t="inlineStr">
        <is>
          <t>Café en grano 1lb</t>
        </is>
      </c>
      <c r="R93" t="inlineStr">
        <is>
          <t>Abarrotes</t>
        </is>
      </c>
      <c r="S93" t="inlineStr">
        <is>
          <t>Café Volcán S.A.</t>
        </is>
      </c>
      <c r="T93" t="inlineStr">
        <is>
          <t>2510-3344</t>
        </is>
      </c>
      <c r="U93" t="inlineStr">
        <is>
          <t>$6.75</t>
        </is>
      </c>
      <c r="V93" t="n">
        <v>1</v>
      </c>
      <c r="W93" t="n">
        <v>0</v>
      </c>
      <c r="X93">
        <f>IFERROR(U93*V93*(1-W93/100),"")</f>
        <v/>
      </c>
      <c r="Y93">
        <f>IFERROR(ROUND(X93*0.13,2),"")</f>
        <v/>
      </c>
      <c r="Z93">
        <f>IFERROR(X93+Y93,"")</f>
        <v/>
      </c>
      <c r="AA93" t="inlineStr">
        <is>
          <t>Bitcoin</t>
        </is>
      </c>
      <c r="AB93" t="inlineStr">
        <is>
          <t>Llamar al 7788-1234 antes de entregar</t>
        </is>
      </c>
    </row>
    <row r="94">
      <c r="A94" t="inlineStr">
        <is>
          <t>F-10519</t>
        </is>
      </c>
      <c r="B94" s="3" t="n">
        <v>46291</v>
      </c>
      <c r="C94" t="inlineStr">
        <is>
          <t>Factura</t>
        </is>
      </c>
      <c r="D94" t="inlineStr">
        <is>
          <t>SS01</t>
        </is>
      </c>
      <c r="E94" t="inlineStr">
        <is>
          <t>San Salvador Centro</t>
        </is>
      </c>
      <c r="F94" t="inlineStr">
        <is>
          <t>4a Calle Poniente #215</t>
        </is>
      </c>
      <c r="G94" t="inlineStr">
        <is>
          <t>San Salvador</t>
        </is>
      </c>
      <c r="H94" t="inlineStr">
        <is>
          <t>San Salvador</t>
        </is>
      </c>
      <c r="I94" t="inlineStr">
        <is>
          <t>Roberto Alfaro</t>
        </is>
      </c>
      <c r="J94" t="inlineStr">
        <is>
          <t>2221-4580</t>
        </is>
      </c>
      <c r="K94" t="inlineStr">
        <is>
          <t>José Martínez</t>
        </is>
      </c>
      <c r="L94" t="inlineStr">
        <is>
          <t>Patricia García Martínez</t>
        </is>
      </c>
      <c r="M94" t="inlineStr">
        <is>
          <t>02380558-6</t>
        </is>
      </c>
      <c r="N94" t="inlineStr">
        <is>
          <t>6660-5283</t>
        </is>
      </c>
      <c r="O94" t="inlineStr">
        <is>
          <t>Consumidor final</t>
        </is>
      </c>
      <c r="P94" t="inlineStr">
        <is>
          <t>FRI-001</t>
        </is>
      </c>
      <c r="Q94" t="inlineStr">
        <is>
          <t>Frijol rojo de seda 2lb</t>
        </is>
      </c>
      <c r="R94" t="inlineStr">
        <is>
          <t>Granos básicos</t>
        </is>
      </c>
      <c r="S94" t="inlineStr">
        <is>
          <t>Granos del Pacífico</t>
        </is>
      </c>
      <c r="T94" t="inlineStr">
        <is>
          <t>2234-8890</t>
        </is>
      </c>
      <c r="U94" t="inlineStr">
        <is>
          <t>$2.40</t>
        </is>
      </c>
      <c r="V94" t="n">
        <v>6</v>
      </c>
      <c r="W94" t="n">
        <v>0</v>
      </c>
      <c r="X94">
        <f>IFERROR(U94*V94*(1-W94/100),"")</f>
        <v/>
      </c>
      <c r="Y94">
        <f>IFERROR(ROUND(X94*0.13,2),"")</f>
        <v/>
      </c>
      <c r="Z94">
        <f>IFERROR(X94+Y94,"")</f>
        <v/>
      </c>
      <c r="AA94" t="inlineStr">
        <is>
          <t>Bitcoin</t>
        </is>
      </c>
      <c r="AB94" t="inlineStr">
        <is>
          <t>Cliente frecuente</t>
        </is>
      </c>
    </row>
    <row r="95">
      <c r="A95" t="inlineStr">
        <is>
          <t>F-10519</t>
        </is>
      </c>
      <c r="B95" s="3" t="n">
        <v>46291</v>
      </c>
      <c r="C95" t="inlineStr">
        <is>
          <t>Factura</t>
        </is>
      </c>
      <c r="D95" t="inlineStr">
        <is>
          <t>SS01</t>
        </is>
      </c>
      <c r="E95" t="inlineStr">
        <is>
          <t>S.S. Centro</t>
        </is>
      </c>
      <c r="F95" t="inlineStr">
        <is>
          <t>4a Calle Poniente #215</t>
        </is>
      </c>
      <c r="G95" t="inlineStr">
        <is>
          <t>San Salvador</t>
        </is>
      </c>
      <c r="H95" t="inlineStr">
        <is>
          <t>San Salvador</t>
        </is>
      </c>
      <c r="I95" t="inlineStr">
        <is>
          <t>Roberto Alfaro</t>
        </is>
      </c>
      <c r="J95" t="inlineStr">
        <is>
          <t>2221-4580</t>
        </is>
      </c>
      <c r="K95" t="inlineStr">
        <is>
          <t>José Martínez</t>
        </is>
      </c>
      <c r="L95" t="inlineStr">
        <is>
          <t>Patricia García Martínez</t>
        </is>
      </c>
      <c r="M95" t="inlineStr">
        <is>
          <t>02380558-6</t>
        </is>
      </c>
      <c r="N95" t="inlineStr">
        <is>
          <t>6660-5283</t>
        </is>
      </c>
      <c r="O95" t="inlineStr">
        <is>
          <t>Consumidor final</t>
        </is>
      </c>
      <c r="P95" t="inlineStr">
        <is>
          <t>PAN-003</t>
        </is>
      </c>
      <c r="Q95" t="inlineStr">
        <is>
          <t>Quesadilla salvadoreña</t>
        </is>
      </c>
      <c r="R95" t="inlineStr">
        <is>
          <t>PANADERIA</t>
        </is>
      </c>
      <c r="S95" t="inlineStr">
        <is>
          <t>Panificadora Ilopango</t>
        </is>
      </c>
      <c r="T95" t="inlineStr">
        <is>
          <t>2295-0081</t>
        </is>
      </c>
      <c r="U95" t="n">
        <v>2.5</v>
      </c>
      <c r="V95" t="n">
        <v>2</v>
      </c>
      <c r="W95" t="n">
        <v>0</v>
      </c>
      <c r="X95">
        <f>IFERROR(U95*V95*(1-W95/100),"")</f>
        <v/>
      </c>
      <c r="Y95">
        <f>IFERROR(ROUND(X95*0.13,2),"")</f>
        <v/>
      </c>
      <c r="Z95">
        <f>IFERROR(X95+Y95,"")</f>
        <v/>
      </c>
      <c r="AA95" t="inlineStr">
        <is>
          <t>Bitcoin</t>
        </is>
      </c>
      <c r="AB95" t="inlineStr">
        <is>
          <t>precio especial autorizado por gerente</t>
        </is>
      </c>
    </row>
    <row r="96">
      <c r="A96" t="inlineStr">
        <is>
          <t>F-10520</t>
        </is>
      </c>
      <c r="B96" s="3" t="n">
        <v>46271</v>
      </c>
      <c r="C96" t="inlineStr">
        <is>
          <t>factura</t>
        </is>
      </c>
      <c r="D96" t="inlineStr">
        <is>
          <t>LL02</t>
        </is>
      </c>
      <c r="E96" t="inlineStr">
        <is>
          <t>Pto. La Libertad</t>
        </is>
      </c>
      <c r="F96" t="inlineStr">
        <is>
          <t>Calle El Malecón, Local 4</t>
        </is>
      </c>
      <c r="G96" t="inlineStr">
        <is>
          <t>La Libertad</t>
        </is>
      </c>
      <c r="H96" t="inlineStr">
        <is>
          <t>La Libertad</t>
        </is>
      </c>
      <c r="I96" t="inlineStr">
        <is>
          <t>Wendy Aguilar</t>
        </is>
      </c>
      <c r="J96" t="inlineStr">
        <is>
          <t>2335-6140</t>
        </is>
      </c>
      <c r="K96" t="inlineStr">
        <is>
          <t>Gabriela Saravia</t>
        </is>
      </c>
      <c r="L96" t="inlineStr">
        <is>
          <t>Sandra Guevara Lemus</t>
        </is>
      </c>
      <c r="M96" t="inlineStr">
        <is>
          <t>08577633-7</t>
        </is>
      </c>
      <c r="N96" t="inlineStr">
        <is>
          <t>6671-1550</t>
        </is>
      </c>
      <c r="O96" t="inlineStr">
        <is>
          <t>Consumidor final</t>
        </is>
      </c>
      <c r="P96" t="inlineStr">
        <is>
          <t>AZU-001</t>
        </is>
      </c>
      <c r="Q96" t="inlineStr">
        <is>
          <t>Azúcar blanca 2.5kg</t>
        </is>
      </c>
      <c r="R96" t="inlineStr">
        <is>
          <t>Abarrotes</t>
        </is>
      </c>
      <c r="S96" t="inlineStr">
        <is>
          <t>Granos del Pacífico</t>
        </is>
      </c>
      <c r="T96" t="inlineStr">
        <is>
          <t>2234-8890</t>
        </is>
      </c>
      <c r="U96" t="n">
        <v>3.1</v>
      </c>
      <c r="V96" t="n">
        <v>24</v>
      </c>
      <c r="W96" t="n">
        <v>0</v>
      </c>
      <c r="X96">
        <f>IFERROR(U96*V96*(1-W96/100),"")</f>
        <v/>
      </c>
      <c r="Y96">
        <f>IFERROR(ROUND(X96*0.13,2),"")</f>
        <v/>
      </c>
      <c r="Z96">
        <f>IFERROR(X96+Y96,"")</f>
        <v/>
      </c>
      <c r="AA96" t="inlineStr">
        <is>
          <t>Tarjeta</t>
        </is>
      </c>
      <c r="AB96" t="inlineStr">
        <is>
          <t>precio especial autorizado por gerente</t>
        </is>
      </c>
    </row>
    <row r="97">
      <c r="A97" t="inlineStr">
        <is>
          <t>F-10522</t>
        </is>
      </c>
      <c r="B97" t="inlineStr">
        <is>
          <t>18/07/2026</t>
        </is>
      </c>
      <c r="C97" t="inlineStr">
        <is>
          <t>Factura</t>
        </is>
      </c>
      <c r="D97" t="inlineStr">
        <is>
          <t>SS01</t>
        </is>
      </c>
      <c r="E97" t="inlineStr">
        <is>
          <t>San Salvador Centro</t>
        </is>
      </c>
      <c r="F97" t="inlineStr">
        <is>
          <t>4a Calle Poniente #215</t>
        </is>
      </c>
      <c r="G97" t="inlineStr">
        <is>
          <t>San Salvador</t>
        </is>
      </c>
      <c r="H97" t="inlineStr">
        <is>
          <t>San Salvador</t>
        </is>
      </c>
      <c r="I97" t="inlineStr">
        <is>
          <t>Roberto Alfaro</t>
        </is>
      </c>
      <c r="J97" t="inlineStr">
        <is>
          <t>2221-4580</t>
        </is>
      </c>
      <c r="K97" t="inlineStr">
        <is>
          <t>José Martínez</t>
        </is>
      </c>
      <c r="L97" t="inlineStr">
        <is>
          <t>Walter Mejía Castillo</t>
        </is>
      </c>
      <c r="M97" t="inlineStr">
        <is>
          <t>02326285-9</t>
        </is>
      </c>
      <c r="N97" t="inlineStr">
        <is>
          <t>2959-3937</t>
        </is>
      </c>
      <c r="O97" t="inlineStr">
        <is>
          <t>Consumidor final</t>
        </is>
      </c>
      <c r="P97" t="inlineStr">
        <is>
          <t>CAF-001</t>
        </is>
      </c>
      <c r="Q97" t="inlineStr">
        <is>
          <t>Café molido 400g</t>
        </is>
      </c>
      <c r="R97" t="inlineStr">
        <is>
          <t>ABARROTES</t>
        </is>
      </c>
      <c r="S97" t="inlineStr">
        <is>
          <t>Café Volcán S.A.</t>
        </is>
      </c>
      <c r="T97" t="inlineStr">
        <is>
          <t>2510-3344</t>
        </is>
      </c>
      <c r="U97" t="n">
        <v>4.25</v>
      </c>
      <c r="V97" t="n">
        <v>2</v>
      </c>
      <c r="W97" t="n">
        <v>0</v>
      </c>
      <c r="X97">
        <f>IFERROR(U97*V97*(1-W97/100),"")</f>
        <v/>
      </c>
      <c r="Y97">
        <f>IFERROR(ROUND(X97*0.13,2),"")</f>
        <v/>
      </c>
      <c r="Z97">
        <f>IFERROR(X97+Y97,"")</f>
        <v/>
      </c>
      <c r="AA97" t="inlineStr">
        <is>
          <t>Tarjeta</t>
        </is>
      </c>
      <c r="AB97" t="inlineStr"/>
    </row>
    <row r="98">
      <c r="A98" t="inlineStr">
        <is>
          <t>F-10522</t>
        </is>
      </c>
      <c r="B98" s="3" t="n">
        <v>46221</v>
      </c>
      <c r="C98" t="inlineStr">
        <is>
          <t>Factura</t>
        </is>
      </c>
      <c r="D98" t="inlineStr">
        <is>
          <t>SS01</t>
        </is>
      </c>
      <c r="E98" t="inlineStr">
        <is>
          <t xml:space="preserve">san salvador centro </t>
        </is>
      </c>
      <c r="F98" t="inlineStr">
        <is>
          <t>4a Calle Poniente #215</t>
        </is>
      </c>
      <c r="G98" t="inlineStr">
        <is>
          <t>San Salvador</t>
        </is>
      </c>
      <c r="H98" t="inlineStr">
        <is>
          <t>San Salvador</t>
        </is>
      </c>
      <c r="I98" t="inlineStr">
        <is>
          <t>Roberto Alfaro</t>
        </is>
      </c>
      <c r="J98" t="inlineStr">
        <is>
          <t>2221-4580</t>
        </is>
      </c>
      <c r="K98" t="inlineStr">
        <is>
          <t>José Martínez</t>
        </is>
      </c>
      <c r="L98" t="inlineStr">
        <is>
          <t>Walter Mejía Castillo</t>
        </is>
      </c>
      <c r="M98" t="inlineStr">
        <is>
          <t>02326285-9</t>
        </is>
      </c>
      <c r="N98" t="inlineStr">
        <is>
          <t>2959-3937</t>
        </is>
      </c>
      <c r="O98" t="inlineStr">
        <is>
          <t>Consumidor final</t>
        </is>
      </c>
      <c r="P98" t="inlineStr">
        <is>
          <t>CAF-002</t>
        </is>
      </c>
      <c r="Q98" t="inlineStr">
        <is>
          <t>Café en grano 1lb</t>
        </is>
      </c>
      <c r="R98" t="inlineStr">
        <is>
          <t>Abarrotes</t>
        </is>
      </c>
      <c r="S98" t="inlineStr">
        <is>
          <t>Café Volcán S.A.</t>
        </is>
      </c>
      <c r="T98" t="inlineStr">
        <is>
          <t>2510-3344</t>
        </is>
      </c>
      <c r="U98" t="n">
        <v>6.75</v>
      </c>
      <c r="V98" t="n">
        <v>1</v>
      </c>
      <c r="W98" t="n">
        <v>0</v>
      </c>
      <c r="X98">
        <f>IFERROR(U98*V98*(1-W98/100),"")</f>
        <v/>
      </c>
      <c r="Y98">
        <f>IFERROR(ROUND(X98*0.13,2),"")</f>
        <v/>
      </c>
      <c r="Z98">
        <f>IFERROR(X98+Y98,"")</f>
        <v/>
      </c>
      <c r="AA98" t="inlineStr">
        <is>
          <t>Tarjeta</t>
        </is>
      </c>
      <c r="AB98" t="inlineStr">
        <is>
          <t>pagó con billete de $100</t>
        </is>
      </c>
    </row>
    <row r="99">
      <c r="A99" t="inlineStr">
        <is>
          <t>F-10522</t>
        </is>
      </c>
      <c r="B99" t="inlineStr">
        <is>
          <t>18/07/2026</t>
        </is>
      </c>
      <c r="C99" t="inlineStr">
        <is>
          <t>Factura</t>
        </is>
      </c>
      <c r="D99" t="inlineStr">
        <is>
          <t>SS01</t>
        </is>
      </c>
      <c r="E99" t="inlineStr">
        <is>
          <t xml:space="preserve">san salvador centro </t>
        </is>
      </c>
      <c r="F99" t="inlineStr">
        <is>
          <t>4a Calle Poniente #215</t>
        </is>
      </c>
      <c r="G99" t="inlineStr">
        <is>
          <t>San Salvador</t>
        </is>
      </c>
      <c r="H99" t="inlineStr">
        <is>
          <t>San Salvador</t>
        </is>
      </c>
      <c r="I99" t="inlineStr">
        <is>
          <t>Roberto Alfaro</t>
        </is>
      </c>
      <c r="J99" t="inlineStr">
        <is>
          <t>2221-4580</t>
        </is>
      </c>
      <c r="K99" t="inlineStr">
        <is>
          <t>José Martínez</t>
        </is>
      </c>
      <c r="L99" t="inlineStr">
        <is>
          <t>Walter Mejía Castillo</t>
        </is>
      </c>
      <c r="M99" t="inlineStr"/>
      <c r="N99" t="inlineStr">
        <is>
          <t>2959-3937</t>
        </is>
      </c>
      <c r="O99" t="inlineStr">
        <is>
          <t>Consumidor final</t>
        </is>
      </c>
      <c r="P99" t="inlineStr">
        <is>
          <t>FRI-001</t>
        </is>
      </c>
      <c r="Q99" t="inlineStr">
        <is>
          <t>Frijol rojo de seda 2lb</t>
        </is>
      </c>
      <c r="R99" t="inlineStr">
        <is>
          <t>Abarrotes</t>
        </is>
      </c>
      <c r="S99" t="inlineStr">
        <is>
          <t>Granos del Pacífico</t>
        </is>
      </c>
      <c r="T99" t="inlineStr">
        <is>
          <t>2234-8890</t>
        </is>
      </c>
      <c r="U99" t="n">
        <v>2.4</v>
      </c>
      <c r="V99" t="n">
        <v>1</v>
      </c>
      <c r="W99" t="n">
        <v>0</v>
      </c>
      <c r="X99">
        <f>IFERROR(U99*V99*(1-W99/100),"")</f>
        <v/>
      </c>
      <c r="Y99">
        <f>IFERROR(ROUND(X99*0.13,2),"")</f>
        <v/>
      </c>
      <c r="Z99">
        <f>IFERROR(X99+Y99,"")</f>
        <v/>
      </c>
      <c r="AA99" t="inlineStr">
        <is>
          <t>Tarjeta</t>
        </is>
      </c>
      <c r="AB99" t="inlineStr">
        <is>
          <t>entregar en bodega</t>
        </is>
      </c>
    </row>
    <row r="100">
      <c r="A100" t="inlineStr">
        <is>
          <t>F-10525</t>
        </is>
      </c>
      <c r="B100" s="3" t="n">
        <v>46270</v>
      </c>
      <c r="C100" t="inlineStr">
        <is>
          <t>Factura</t>
        </is>
      </c>
      <c r="D100" t="inlineStr">
        <is>
          <t>SS01</t>
        </is>
      </c>
      <c r="E100" t="inlineStr">
        <is>
          <t>San Salvador Centro</t>
        </is>
      </c>
      <c r="F100" t="inlineStr">
        <is>
          <t>4a Calle Poniente #215</t>
        </is>
      </c>
      <c r="G100" t="inlineStr">
        <is>
          <t>San Salvador</t>
        </is>
      </c>
      <c r="H100" t="inlineStr">
        <is>
          <t>San Salvador</t>
        </is>
      </c>
      <c r="I100" t="inlineStr">
        <is>
          <t>Roberto Alfaro</t>
        </is>
      </c>
      <c r="J100" t="inlineStr">
        <is>
          <t>2221-4580</t>
        </is>
      </c>
      <c r="K100" t="inlineStr">
        <is>
          <t>Daniela Orellana</t>
        </is>
      </c>
      <c r="L100" t="inlineStr">
        <is>
          <t>Walter García Alvarado</t>
        </is>
      </c>
      <c r="M100" t="inlineStr">
        <is>
          <t>08409777-4</t>
        </is>
      </c>
      <c r="N100" t="inlineStr">
        <is>
          <t>6398-6837</t>
        </is>
      </c>
      <c r="O100" t="inlineStr">
        <is>
          <t>Consumidor final</t>
        </is>
      </c>
      <c r="P100" t="inlineStr">
        <is>
          <t>BEB-002</t>
        </is>
      </c>
      <c r="Q100" t="inlineStr">
        <is>
          <t>Agua purificada 1 galón</t>
        </is>
      </c>
      <c r="R100" t="inlineStr">
        <is>
          <t>Bebidas</t>
        </is>
      </c>
      <c r="S100" t="inlineStr">
        <is>
          <t>Bebidas Izalco</t>
        </is>
      </c>
      <c r="T100" t="inlineStr">
        <is>
          <t>2450-7700</t>
        </is>
      </c>
      <c r="U100" t="n">
        <v>1.1</v>
      </c>
      <c r="V100" t="n">
        <v>-2</v>
      </c>
      <c r="W100" t="n">
        <v>0</v>
      </c>
      <c r="X100">
        <f>IFERROR(U100*V100*(1-W100/100),"")</f>
        <v/>
      </c>
      <c r="Y100">
        <f>IFERROR(ROUND(X100*0.13,2),"")</f>
        <v/>
      </c>
      <c r="Z100">
        <f>IFERROR(X100+Y100,"")</f>
        <v/>
      </c>
      <c r="AA100" t="inlineStr">
        <is>
          <t>TARJETA</t>
        </is>
      </c>
      <c r="AB100" t="inlineStr">
        <is>
          <t>Llamar al 7788-1234 antes de entregar</t>
        </is>
      </c>
    </row>
    <row r="101">
      <c r="A101" t="inlineStr">
        <is>
          <t>F-10525</t>
        </is>
      </c>
      <c r="B101" s="3" t="n">
        <v>46270</v>
      </c>
      <c r="C101" t="inlineStr">
        <is>
          <t>Factura</t>
        </is>
      </c>
      <c r="D101" t="inlineStr">
        <is>
          <t>SS01</t>
        </is>
      </c>
      <c r="E101" t="inlineStr">
        <is>
          <t>SAN SALVADOR CENTRO</t>
        </is>
      </c>
      <c r="F101" t="inlineStr">
        <is>
          <t>4a Calle Poniente #215</t>
        </is>
      </c>
      <c r="G101" t="inlineStr">
        <is>
          <t>San Salvador</t>
        </is>
      </c>
      <c r="H101" t="inlineStr">
        <is>
          <t>San Salvador</t>
        </is>
      </c>
      <c r="I101" t="inlineStr">
        <is>
          <t>Roberto Alfaro</t>
        </is>
      </c>
      <c r="J101" t="inlineStr">
        <is>
          <t>2221-4580</t>
        </is>
      </c>
      <c r="K101" t="inlineStr">
        <is>
          <t>Daniela Orellana</t>
        </is>
      </c>
      <c r="L101" t="inlineStr">
        <is>
          <t>Walter García Alvarado</t>
        </is>
      </c>
      <c r="M101" t="inlineStr">
        <is>
          <t>08409777-4</t>
        </is>
      </c>
      <c r="N101" t="inlineStr">
        <is>
          <t>6398-6837</t>
        </is>
      </c>
      <c r="O101" t="inlineStr">
        <is>
          <t>Consumidor final</t>
        </is>
      </c>
      <c r="P101" t="inlineStr">
        <is>
          <t>HIG-003</t>
        </is>
      </c>
      <c r="Q101" t="inlineStr">
        <is>
          <t>Jabón de lavar barra</t>
        </is>
      </c>
      <c r="R101" t="inlineStr">
        <is>
          <t>Limpieza</t>
        </is>
      </c>
      <c r="S101" t="inlineStr">
        <is>
          <t>Higiene Total C.A.</t>
        </is>
      </c>
      <c r="T101" t="inlineStr">
        <is>
          <t>2207-5566</t>
        </is>
      </c>
      <c r="U101" t="n">
        <v>0.75</v>
      </c>
      <c r="V101" t="n">
        <v>2</v>
      </c>
      <c r="W101" t="n">
        <v>0</v>
      </c>
      <c r="X101">
        <f>IFERROR(U101*V101*(1-W101/100),"")</f>
        <v/>
      </c>
      <c r="Y101">
        <f>IFERROR(ROUND(X101*0.13,2),"")</f>
        <v/>
      </c>
      <c r="Z101">
        <f>IFERROR(X101+Y101,"")</f>
        <v/>
      </c>
      <c r="AA101" t="inlineStr">
        <is>
          <t>TARJETA</t>
        </is>
      </c>
      <c r="AB101" t="inlineStr"/>
    </row>
    <row r="102">
      <c r="A102" t="inlineStr">
        <is>
          <t>F-10528</t>
        </is>
      </c>
      <c r="B102" s="3" t="n">
        <v>46235</v>
      </c>
      <c r="C102" t="inlineStr">
        <is>
          <t>CCF</t>
        </is>
      </c>
      <c r="D102" t="inlineStr">
        <is>
          <t>LL01</t>
        </is>
      </c>
      <c r="E102" t="inlineStr">
        <is>
          <t>Sta. Tecla</t>
        </is>
      </c>
      <c r="F102" t="inlineStr">
        <is>
          <t>Calle Daniel Hernández #18</t>
        </is>
      </c>
      <c r="G102" t="inlineStr">
        <is>
          <t>Santa Tecla</t>
        </is>
      </c>
      <c r="H102" t="inlineStr">
        <is>
          <t>La Libertad</t>
        </is>
      </c>
      <c r="I102" t="inlineStr">
        <is>
          <t>Óscar Rivas</t>
        </is>
      </c>
      <c r="J102" t="inlineStr">
        <is>
          <t>2228-7731</t>
        </is>
      </c>
      <c r="K102" t="inlineStr">
        <is>
          <t>Luis Escobar</t>
        </is>
      </c>
      <c r="L102" t="inlineStr">
        <is>
          <t>Hotel Brisas del Mar</t>
        </is>
      </c>
      <c r="M102" t="inlineStr">
        <is>
          <t>280004-0</t>
        </is>
      </c>
      <c r="N102" t="inlineStr">
        <is>
          <t>2129-2911</t>
        </is>
      </c>
      <c r="O102" t="inlineStr">
        <is>
          <t>Contribuyente</t>
        </is>
      </c>
      <c r="P102" t="inlineStr">
        <is>
          <t>LAC-002</t>
        </is>
      </c>
      <c r="Q102" t="inlineStr">
        <is>
          <t>Crema 500ml</t>
        </is>
      </c>
      <c r="R102" t="inlineStr">
        <is>
          <t>Lácteos</t>
        </is>
      </c>
      <c r="S102" t="inlineStr">
        <is>
          <t>Lácteos Chalate</t>
        </is>
      </c>
      <c r="T102" t="inlineStr">
        <is>
          <t>2335-1020</t>
        </is>
      </c>
      <c r="U102" t="n">
        <v>2.25</v>
      </c>
      <c r="V102" t="n">
        <v>6</v>
      </c>
      <c r="W102" t="n">
        <v>10</v>
      </c>
      <c r="X102">
        <f>IFERROR(U102*V102*(1-W102/100),"")</f>
        <v/>
      </c>
      <c r="Y102">
        <f>IFERROR(ROUND(X102*0.13,2),"")</f>
        <v/>
      </c>
      <c r="Z102">
        <f>IFERROR(X102+Y102,"")</f>
        <v/>
      </c>
      <c r="AA102" t="inlineStr">
        <is>
          <t>Efectivo</t>
        </is>
      </c>
      <c r="AB102" t="inlineStr"/>
    </row>
    <row r="103">
      <c r="A103" t="inlineStr">
        <is>
          <t>F-10528</t>
        </is>
      </c>
      <c r="B103" s="3" t="n">
        <v>46235</v>
      </c>
      <c r="C103" t="inlineStr">
        <is>
          <t>CCF</t>
        </is>
      </c>
      <c r="D103" t="inlineStr">
        <is>
          <t>LL01</t>
        </is>
      </c>
      <c r="E103" t="inlineStr">
        <is>
          <t>SANTA TECLA</t>
        </is>
      </c>
      <c r="F103" t="inlineStr">
        <is>
          <t>Calle Daniel Hernández #18</t>
        </is>
      </c>
      <c r="G103" t="inlineStr">
        <is>
          <t>Santa Tecla</t>
        </is>
      </c>
      <c r="H103" t="inlineStr">
        <is>
          <t>La Libertad</t>
        </is>
      </c>
      <c r="I103" t="inlineStr">
        <is>
          <t>Óscar Rivas</t>
        </is>
      </c>
      <c r="J103" t="inlineStr">
        <is>
          <t>2228-7731</t>
        </is>
      </c>
      <c r="K103" t="inlineStr">
        <is>
          <t>Luis Escobar</t>
        </is>
      </c>
      <c r="L103" t="inlineStr">
        <is>
          <t>Hotel Brisas del Mar</t>
        </is>
      </c>
      <c r="M103" t="inlineStr">
        <is>
          <t>280004-0</t>
        </is>
      </c>
      <c r="N103" t="inlineStr">
        <is>
          <t>2129-2911</t>
        </is>
      </c>
      <c r="O103" t="inlineStr">
        <is>
          <t>Contribuyente</t>
        </is>
      </c>
      <c r="P103" t="inlineStr">
        <is>
          <t>HAR-001</t>
        </is>
      </c>
      <c r="Q103" t="inlineStr">
        <is>
          <t>Harina de maíz 2lb</t>
        </is>
      </c>
      <c r="R103" t="inlineStr">
        <is>
          <t>Abarrotes</t>
        </is>
      </c>
      <c r="S103" t="inlineStr">
        <is>
          <t>Granos del Pacífico</t>
        </is>
      </c>
      <c r="T103" t="inlineStr">
        <is>
          <t>2234-8890</t>
        </is>
      </c>
      <c r="U103" t="n">
        <v>1.35</v>
      </c>
      <c r="V103" t="n">
        <v>1</v>
      </c>
      <c r="W103" t="n">
        <v>0</v>
      </c>
      <c r="X103">
        <f>IFERROR(U103*V103*(1-W103/100),"")</f>
        <v/>
      </c>
      <c r="Y103">
        <f>IFERROR(ROUND(X103*0.13,2),"")</f>
        <v/>
      </c>
      <c r="Z103">
        <f>IFERROR(X103+Y103,"")</f>
        <v/>
      </c>
      <c r="AA103" t="inlineStr">
        <is>
          <t>Efectivo</t>
        </is>
      </c>
      <c r="AB103" t="inlineStr"/>
    </row>
    <row r="104">
      <c r="A104" t="inlineStr">
        <is>
          <t>F-10528</t>
        </is>
      </c>
      <c r="B104" s="3" t="n">
        <v>46235</v>
      </c>
      <c r="C104" t="inlineStr">
        <is>
          <t>CCF</t>
        </is>
      </c>
      <c r="D104" t="inlineStr">
        <is>
          <t>LL01</t>
        </is>
      </c>
      <c r="E104" t="inlineStr">
        <is>
          <t>Santa Tecla</t>
        </is>
      </c>
      <c r="F104" t="inlineStr">
        <is>
          <t>Calle Daniel Hernández #18</t>
        </is>
      </c>
      <c r="G104" t="inlineStr">
        <is>
          <t>Santa Tecla</t>
        </is>
      </c>
      <c r="H104" t="inlineStr">
        <is>
          <t>La Libertad</t>
        </is>
      </c>
      <c r="I104" t="inlineStr">
        <is>
          <t>Óscar Rivas</t>
        </is>
      </c>
      <c r="J104" t="inlineStr">
        <is>
          <t>2228-7731</t>
        </is>
      </c>
      <c r="K104" t="inlineStr">
        <is>
          <t>Luis Escobar</t>
        </is>
      </c>
      <c r="L104" t="inlineStr">
        <is>
          <t>Hotel Brisas del Mar</t>
        </is>
      </c>
      <c r="M104" t="inlineStr">
        <is>
          <t>280004-0</t>
        </is>
      </c>
      <c r="N104" t="inlineStr">
        <is>
          <t>2129-2911</t>
        </is>
      </c>
      <c r="O104" t="inlineStr">
        <is>
          <t>Contribuyente</t>
        </is>
      </c>
      <c r="P104" t="inlineStr">
        <is>
          <t>HIG-003</t>
        </is>
      </c>
      <c r="Q104" t="inlineStr">
        <is>
          <t>Jabón de lavar barra</t>
        </is>
      </c>
      <c r="R104" t="inlineStr">
        <is>
          <t>Limpieza</t>
        </is>
      </c>
      <c r="S104" t="inlineStr">
        <is>
          <t>Higiene Total C.A.</t>
        </is>
      </c>
      <c r="T104" t="inlineStr">
        <is>
          <t>2207-5566</t>
        </is>
      </c>
      <c r="U104" t="n">
        <v>0.75</v>
      </c>
      <c r="V104" t="n">
        <v>4</v>
      </c>
      <c r="W104" t="n">
        <v>0</v>
      </c>
      <c r="X104">
        <f>IFERROR(U104*V104*(1-W104/100),"")</f>
        <v/>
      </c>
      <c r="Y104">
        <f>IFERROR(ROUND(X104*0.13,2),"")</f>
        <v/>
      </c>
      <c r="Z104">
        <f>IFERROR(X104+Y104,"")</f>
        <v/>
      </c>
      <c r="AA104" t="inlineStr">
        <is>
          <t>Efectivo</t>
        </is>
      </c>
      <c r="AB104" t="inlineStr"/>
    </row>
    <row r="105">
      <c r="A105" t="inlineStr">
        <is>
          <t>F-10528</t>
        </is>
      </c>
      <c r="B105" t="inlineStr">
        <is>
          <t>2026-08-01</t>
        </is>
      </c>
      <c r="C105" t="inlineStr">
        <is>
          <t>CCF</t>
        </is>
      </c>
      <c r="D105" t="inlineStr">
        <is>
          <t>LL01</t>
        </is>
      </c>
      <c r="E105" t="inlineStr">
        <is>
          <t>Santa Tecla</t>
        </is>
      </c>
      <c r="F105" t="inlineStr">
        <is>
          <t>Calle Daniel Hernández #18</t>
        </is>
      </c>
      <c r="G105" t="inlineStr">
        <is>
          <t>Santa Tecla</t>
        </is>
      </c>
      <c r="H105" t="inlineStr">
        <is>
          <t>La Libertad</t>
        </is>
      </c>
      <c r="I105" t="inlineStr">
        <is>
          <t>Óscar Rivas</t>
        </is>
      </c>
      <c r="J105" t="inlineStr">
        <is>
          <t>2228-7731</t>
        </is>
      </c>
      <c r="K105" t="inlineStr">
        <is>
          <t>Luis Escobar</t>
        </is>
      </c>
      <c r="L105" t="inlineStr">
        <is>
          <t>Hotel Brisas del Mar</t>
        </is>
      </c>
      <c r="M105" t="inlineStr">
        <is>
          <t>280004-0</t>
        </is>
      </c>
      <c r="N105" t="inlineStr">
        <is>
          <t>2129-2911</t>
        </is>
      </c>
      <c r="O105" t="inlineStr">
        <is>
          <t>Contribuyente</t>
        </is>
      </c>
      <c r="P105" t="inlineStr">
        <is>
          <t>ARR-001</t>
        </is>
      </c>
      <c r="Q105" t="inlineStr">
        <is>
          <t>Arroz blanco 5lb</t>
        </is>
      </c>
      <c r="R105" t="inlineStr">
        <is>
          <t>Abarrotes</t>
        </is>
      </c>
      <c r="S105" t="inlineStr">
        <is>
          <t>Granos del Pacífico</t>
        </is>
      </c>
      <c r="T105" t="inlineStr">
        <is>
          <t>2234-8890</t>
        </is>
      </c>
      <c r="U105" t="inlineStr">
        <is>
          <t>$3.95</t>
        </is>
      </c>
      <c r="V105" t="n">
        <v>3</v>
      </c>
      <c r="W105" t="n">
        <v>0</v>
      </c>
      <c r="X105">
        <f>IFERROR(U105*V105*(1-W105/100),"")</f>
        <v/>
      </c>
      <c r="Y105">
        <f>IFERROR(ROUND(X105*0.13,2),"")</f>
        <v/>
      </c>
      <c r="Z105">
        <f>IFERROR(X105+Y105,"")</f>
        <v/>
      </c>
      <c r="AA105" t="inlineStr">
        <is>
          <t>Efectivo</t>
        </is>
      </c>
      <c r="AB105" t="inlineStr"/>
    </row>
    <row r="106">
      <c r="A106" t="inlineStr">
        <is>
          <t>F-10529</t>
        </is>
      </c>
      <c r="B106" s="3" t="n">
        <v>46279</v>
      </c>
      <c r="C106" t="inlineStr">
        <is>
          <t>factura</t>
        </is>
      </c>
      <c r="D106" t="inlineStr">
        <is>
          <t>SS03</t>
        </is>
      </c>
      <c r="E106" t="inlineStr">
        <is>
          <t>Soyapango</t>
        </is>
      </c>
      <c r="F106" t="inlineStr">
        <is>
          <t>Blvd. del Ejército km 4</t>
        </is>
      </c>
      <c r="G106" t="inlineStr">
        <is>
          <t>Soyapango</t>
        </is>
      </c>
      <c r="H106" t="inlineStr">
        <is>
          <t>San Salvador</t>
        </is>
      </c>
      <c r="I106" t="inlineStr">
        <is>
          <t>Karla Henríquez</t>
        </is>
      </c>
      <c r="J106" t="inlineStr">
        <is>
          <t>2277-3402</t>
        </is>
      </c>
      <c r="K106" t="inlineStr">
        <is>
          <t>Carlos Molina</t>
        </is>
      </c>
      <c r="L106" t="inlineStr">
        <is>
          <t>Rosa Flores Cornejo</t>
        </is>
      </c>
      <c r="M106" t="inlineStr">
        <is>
          <t>00476760-8</t>
        </is>
      </c>
      <c r="N106" t="inlineStr">
        <is>
          <t>7668-7502</t>
        </is>
      </c>
      <c r="O106" t="inlineStr">
        <is>
          <t>Consumidor final</t>
        </is>
      </c>
      <c r="P106" t="inlineStr">
        <is>
          <t>HIG-001</t>
        </is>
      </c>
      <c r="Q106" t="inlineStr">
        <is>
          <t>Detergente 1kg</t>
        </is>
      </c>
      <c r="R106" t="inlineStr">
        <is>
          <t>limpieza</t>
        </is>
      </c>
      <c r="S106" t="inlineStr">
        <is>
          <t>Higiene Total C.A.</t>
        </is>
      </c>
      <c r="T106" t="inlineStr">
        <is>
          <t>2207-5566</t>
        </is>
      </c>
      <c r="U106" t="n">
        <v>3.45</v>
      </c>
      <c r="V106" t="n">
        <v>6</v>
      </c>
      <c r="W106" t="n">
        <v>0</v>
      </c>
      <c r="X106">
        <f>IFERROR(U106*V106*(1-W106/100),"")</f>
        <v/>
      </c>
      <c r="Y106">
        <f>IFERROR(ROUND(X106*0.13,2),"")</f>
        <v/>
      </c>
      <c r="Z106">
        <f>IFERROR(X106+Y106,"")</f>
        <v/>
      </c>
      <c r="AA106" t="inlineStr">
        <is>
          <t>Tarjeta</t>
        </is>
      </c>
      <c r="AB106" t="inlineStr"/>
    </row>
    <row r="107">
      <c r="A107" t="inlineStr">
        <is>
          <t>F-10529</t>
        </is>
      </c>
      <c r="B107" s="3" t="n">
        <v>46279</v>
      </c>
      <c r="C107" t="inlineStr">
        <is>
          <t>factura</t>
        </is>
      </c>
      <c r="D107" t="inlineStr">
        <is>
          <t>SS03</t>
        </is>
      </c>
      <c r="E107" t="inlineStr">
        <is>
          <t xml:space="preserve">SOYAPANGO </t>
        </is>
      </c>
      <c r="F107" t="inlineStr">
        <is>
          <t>Blvd. del Ejército km 4</t>
        </is>
      </c>
      <c r="G107" t="inlineStr">
        <is>
          <t>Soyapango</t>
        </is>
      </c>
      <c r="H107" t="inlineStr">
        <is>
          <t>San Salvador</t>
        </is>
      </c>
      <c r="I107" t="inlineStr">
        <is>
          <t>Karla Henríquez</t>
        </is>
      </c>
      <c r="J107" t="inlineStr">
        <is>
          <t>2277-3402</t>
        </is>
      </c>
      <c r="K107" t="inlineStr">
        <is>
          <t>Carlos Molina</t>
        </is>
      </c>
      <c r="L107" t="inlineStr">
        <is>
          <t>Rosa Flores Cornejo</t>
        </is>
      </c>
      <c r="M107" t="inlineStr">
        <is>
          <t>00476760-8</t>
        </is>
      </c>
      <c r="N107" t="inlineStr">
        <is>
          <t>7668-7502</t>
        </is>
      </c>
      <c r="O107" t="inlineStr">
        <is>
          <t>Consumidor final</t>
        </is>
      </c>
      <c r="P107" t="inlineStr">
        <is>
          <t>CAF-002</t>
        </is>
      </c>
      <c r="Q107" t="inlineStr">
        <is>
          <t>Café en grano 1lb</t>
        </is>
      </c>
      <c r="R107" t="inlineStr">
        <is>
          <t>Abarrotes</t>
        </is>
      </c>
      <c r="S107" t="inlineStr">
        <is>
          <t>Café Volcán S.A.</t>
        </is>
      </c>
      <c r="T107" t="inlineStr">
        <is>
          <t>2510-3344</t>
        </is>
      </c>
      <c r="U107" t="n">
        <v>6.75</v>
      </c>
      <c r="V107" t="n">
        <v>-4</v>
      </c>
      <c r="W107" t="n">
        <v>0</v>
      </c>
      <c r="X107">
        <f>IFERROR(U107*V107*(1-W107/100),"")</f>
        <v/>
      </c>
      <c r="Y107">
        <f>IFERROR(ROUND(X107*0.13,2),"")</f>
        <v/>
      </c>
      <c r="Z107">
        <f>IFERROR(X107+Y107,"")</f>
        <v/>
      </c>
      <c r="AA107" t="inlineStr">
        <is>
          <t>Tarjeta</t>
        </is>
      </c>
      <c r="AB107" t="inlineStr"/>
    </row>
    <row r="108">
      <c r="A108" t="inlineStr">
        <is>
          <t>F-10532</t>
        </is>
      </c>
      <c r="B108" t="inlineStr">
        <is>
          <t>2026-08-29</t>
        </is>
      </c>
      <c r="C108" t="inlineStr">
        <is>
          <t>Factura</t>
        </is>
      </c>
      <c r="D108" t="inlineStr">
        <is>
          <t>SM01</t>
        </is>
      </c>
      <c r="E108" t="inlineStr">
        <is>
          <t>SAN MIGUEL</t>
        </is>
      </c>
      <c r="F108" t="inlineStr">
        <is>
          <t>Av. Roosevelt Sur #7</t>
        </is>
      </c>
      <c r="G108" t="inlineStr">
        <is>
          <t>San Miguel</t>
        </is>
      </c>
      <c r="H108" t="inlineStr">
        <is>
          <t>San Miguel</t>
        </is>
      </c>
      <c r="I108" t="inlineStr">
        <is>
          <t>Iris Portillo</t>
        </is>
      </c>
      <c r="J108" t="inlineStr">
        <is>
          <t>2661-5076</t>
        </is>
      </c>
      <c r="K108" t="inlineStr">
        <is>
          <t>Paola Cruz</t>
        </is>
      </c>
      <c r="L108" t="inlineStr">
        <is>
          <t>René Flores García</t>
        </is>
      </c>
      <c r="M108" t="inlineStr">
        <is>
          <t>08499785-5</t>
        </is>
      </c>
      <c r="N108" t="inlineStr">
        <is>
          <t>6702-2047</t>
        </is>
      </c>
      <c r="O108" t="inlineStr">
        <is>
          <t>Consumidor final</t>
        </is>
      </c>
      <c r="P108" t="inlineStr">
        <is>
          <t>CAF-001</t>
        </is>
      </c>
      <c r="Q108" t="inlineStr">
        <is>
          <t>Café molido 400g</t>
        </is>
      </c>
      <c r="R108" t="inlineStr">
        <is>
          <t>abarrotes</t>
        </is>
      </c>
      <c r="S108" t="inlineStr">
        <is>
          <t>Café Volcán S.A.</t>
        </is>
      </c>
      <c r="T108" t="inlineStr">
        <is>
          <t>2510-3344</t>
        </is>
      </c>
      <c r="U108" t="n">
        <v>4.25</v>
      </c>
      <c r="V108" t="n">
        <v>12</v>
      </c>
      <c r="W108" t="n">
        <v>0</v>
      </c>
      <c r="X108">
        <f>IFERROR(U108*V108*(1-W108/100),"")</f>
        <v/>
      </c>
      <c r="Y108">
        <f>IFERROR(ROUND(X108*0.13,2),"")</f>
        <v/>
      </c>
      <c r="Z108">
        <f>IFERROR(X108+Y108,"")</f>
        <v/>
      </c>
      <c r="AA108" t="inlineStr">
        <is>
          <t>Efectivo</t>
        </is>
      </c>
      <c r="AB108" t="inlineStr"/>
    </row>
    <row r="109">
      <c r="A109" t="inlineStr">
        <is>
          <t>F-10532</t>
        </is>
      </c>
      <c r="B109" s="3" t="n">
        <v>46263</v>
      </c>
      <c r="C109" t="inlineStr">
        <is>
          <t>Factura</t>
        </is>
      </c>
      <c r="D109" t="inlineStr">
        <is>
          <t>SM01</t>
        </is>
      </c>
      <c r="E109" t="inlineStr">
        <is>
          <t>S. Miguel</t>
        </is>
      </c>
      <c r="F109" t="inlineStr">
        <is>
          <t>Av. Roosevelt Sur #7</t>
        </is>
      </c>
      <c r="G109" t="inlineStr">
        <is>
          <t>San Miguel</t>
        </is>
      </c>
      <c r="H109" t="inlineStr">
        <is>
          <t>San Miguel</t>
        </is>
      </c>
      <c r="I109" t="inlineStr">
        <is>
          <t>Iris Portillo</t>
        </is>
      </c>
      <c r="J109" t="inlineStr">
        <is>
          <t>2661-5076</t>
        </is>
      </c>
      <c r="K109" t="inlineStr">
        <is>
          <t>Paola Cruz</t>
        </is>
      </c>
      <c r="L109" t="inlineStr">
        <is>
          <t>René Flores García</t>
        </is>
      </c>
      <c r="M109" t="inlineStr">
        <is>
          <t>08499785-5</t>
        </is>
      </c>
      <c r="N109" t="inlineStr">
        <is>
          <t>6702-2047</t>
        </is>
      </c>
      <c r="O109" t="inlineStr">
        <is>
          <t>Consumidor final</t>
        </is>
      </c>
      <c r="P109" t="inlineStr">
        <is>
          <t>BEB-003</t>
        </is>
      </c>
      <c r="Q109" t="inlineStr">
        <is>
          <t>Horchata en polvo 400g</t>
        </is>
      </c>
      <c r="R109" t="inlineStr">
        <is>
          <t>Abarrotes</t>
        </is>
      </c>
      <c r="S109" t="inlineStr">
        <is>
          <t>Bebidas Izalco</t>
        </is>
      </c>
      <c r="T109" t="inlineStr">
        <is>
          <t>2450-7700</t>
        </is>
      </c>
      <c r="U109" t="n">
        <v>2.6</v>
      </c>
      <c r="V109" t="n">
        <v>1</v>
      </c>
      <c r="W109" t="n">
        <v>0</v>
      </c>
      <c r="X109">
        <f>IFERROR(U109*V109*(1-W109/100),"")</f>
        <v/>
      </c>
      <c r="Y109">
        <f>IFERROR(ROUND(X109*0.13,2),"")</f>
        <v/>
      </c>
      <c r="Z109">
        <f>IFERROR(X109+Y109,"")</f>
        <v/>
      </c>
      <c r="AA109" t="inlineStr">
        <is>
          <t>Efectivo</t>
        </is>
      </c>
      <c r="AB109" t="inlineStr"/>
    </row>
    <row r="110">
      <c r="A110" t="inlineStr">
        <is>
          <t>F-10532</t>
        </is>
      </c>
      <c r="B110" s="3" t="n">
        <v>46263</v>
      </c>
      <c r="C110" t="inlineStr">
        <is>
          <t>Factura</t>
        </is>
      </c>
      <c r="D110" t="inlineStr">
        <is>
          <t>SM01</t>
        </is>
      </c>
      <c r="E110" t="inlineStr">
        <is>
          <t>S. Miguel</t>
        </is>
      </c>
      <c r="F110" t="inlineStr">
        <is>
          <t>Av. Roosevelt Sur #7</t>
        </is>
      </c>
      <c r="G110" t="inlineStr">
        <is>
          <t>San Miguel</t>
        </is>
      </c>
      <c r="H110" t="inlineStr">
        <is>
          <t>San Miguel</t>
        </is>
      </c>
      <c r="I110" t="inlineStr">
        <is>
          <t>Iris Portillo</t>
        </is>
      </c>
      <c r="J110" t="inlineStr">
        <is>
          <t>2661-5076</t>
        </is>
      </c>
      <c r="K110" t="inlineStr">
        <is>
          <t>Paola Cruz</t>
        </is>
      </c>
      <c r="L110" t="inlineStr">
        <is>
          <t>René Flores García</t>
        </is>
      </c>
      <c r="M110" t="inlineStr">
        <is>
          <t>08499785-5</t>
        </is>
      </c>
      <c r="N110" t="inlineStr">
        <is>
          <t>6702-2047</t>
        </is>
      </c>
      <c r="O110" t="inlineStr">
        <is>
          <t>Consumidor final</t>
        </is>
      </c>
      <c r="P110" t="inlineStr">
        <is>
          <t>HAR-001</t>
        </is>
      </c>
      <c r="Q110" t="inlineStr">
        <is>
          <t>Harina de maíz 2lb</t>
        </is>
      </c>
      <c r="R110" t="inlineStr">
        <is>
          <t>Abarrotes</t>
        </is>
      </c>
      <c r="S110" t="inlineStr">
        <is>
          <t>Granos del Pacífico</t>
        </is>
      </c>
      <c r="T110" t="inlineStr">
        <is>
          <t>2234-8890</t>
        </is>
      </c>
      <c r="U110" t="n">
        <v>1.35</v>
      </c>
      <c r="V110" t="n">
        <v>6</v>
      </c>
      <c r="W110" t="n">
        <v>0</v>
      </c>
      <c r="X110">
        <f>IFERROR(U110*V110*(1-W110/100),"")</f>
        <v/>
      </c>
      <c r="Y110">
        <f>IFERROR(ROUND(X110*0.13,2),"")</f>
        <v/>
      </c>
      <c r="Z110">
        <f>IFERROR(X110+Y110,"")</f>
        <v/>
      </c>
      <c r="AA110" t="inlineStr">
        <is>
          <t>Efectivo</t>
        </is>
      </c>
      <c r="AB110" t="inlineStr">
        <is>
          <t>pagó con billete de $100</t>
        </is>
      </c>
    </row>
    <row r="111">
      <c r="A111" t="inlineStr">
        <is>
          <t>F-10532</t>
        </is>
      </c>
      <c r="B111" s="3" t="n">
        <v>46263</v>
      </c>
      <c r="C111" t="inlineStr">
        <is>
          <t>Factura</t>
        </is>
      </c>
      <c r="D111" t="inlineStr">
        <is>
          <t>SM01</t>
        </is>
      </c>
      <c r="E111" t="inlineStr">
        <is>
          <t>SAN MIGUEL</t>
        </is>
      </c>
      <c r="F111" t="inlineStr">
        <is>
          <t>Av. Roosevelt Sur #7</t>
        </is>
      </c>
      <c r="G111" t="inlineStr">
        <is>
          <t>San Miguel</t>
        </is>
      </c>
      <c r="H111" t="inlineStr">
        <is>
          <t>San Miguel</t>
        </is>
      </c>
      <c r="I111" t="inlineStr">
        <is>
          <t>Iris Portillo</t>
        </is>
      </c>
      <c r="J111" t="inlineStr">
        <is>
          <t>2661-5076</t>
        </is>
      </c>
      <c r="K111" t="inlineStr">
        <is>
          <t>Paola Cruz</t>
        </is>
      </c>
      <c r="L111" t="inlineStr">
        <is>
          <t>René Flores García</t>
        </is>
      </c>
      <c r="M111" t="inlineStr"/>
      <c r="N111" t="inlineStr">
        <is>
          <t>6702-2047</t>
        </is>
      </c>
      <c r="O111" t="inlineStr">
        <is>
          <t>Consumidor final</t>
        </is>
      </c>
      <c r="P111" t="inlineStr">
        <is>
          <t>LAC-003</t>
        </is>
      </c>
      <c r="Q111" t="inlineStr">
        <is>
          <t>Leche entera 1L</t>
        </is>
      </c>
      <c r="R111" t="inlineStr">
        <is>
          <t>Lácteos</t>
        </is>
      </c>
      <c r="S111" t="inlineStr">
        <is>
          <t>Lácteos Chalate</t>
        </is>
      </c>
      <c r="T111" t="inlineStr">
        <is>
          <t>7120-4455</t>
        </is>
      </c>
      <c r="U111" t="n">
        <v>1.2</v>
      </c>
      <c r="V111" t="n">
        <v>2</v>
      </c>
      <c r="W111" t="n">
        <v>0</v>
      </c>
      <c r="X111">
        <f>IFERROR(U111*V111*(1-W111/100),"")</f>
        <v/>
      </c>
      <c r="Y111">
        <f>IFERROR(ROUND(X111*0.13,2),"")</f>
        <v/>
      </c>
      <c r="Z111">
        <f>IFERROR(X111+Y111,"")</f>
        <v/>
      </c>
      <c r="AA111" t="inlineStr">
        <is>
          <t>Efectivo</t>
        </is>
      </c>
      <c r="AB111" t="inlineStr"/>
    </row>
    <row r="112">
      <c r="A112" t="inlineStr">
        <is>
          <t>F-10533</t>
        </is>
      </c>
      <c r="B112" t="inlineStr">
        <is>
          <t>2026-09-11</t>
        </is>
      </c>
      <c r="C112" t="inlineStr">
        <is>
          <t>FCF</t>
        </is>
      </c>
      <c r="D112" t="inlineStr">
        <is>
          <t>LL01</t>
        </is>
      </c>
      <c r="E112" t="inlineStr">
        <is>
          <t>Sta. Tecla</t>
        </is>
      </c>
      <c r="F112" t="inlineStr">
        <is>
          <t>Calle Daniel Hernández #18</t>
        </is>
      </c>
      <c r="G112" t="inlineStr">
        <is>
          <t>Santa Tecla</t>
        </is>
      </c>
      <c r="H112" t="inlineStr">
        <is>
          <t>La Libertad</t>
        </is>
      </c>
      <c r="I112" t="inlineStr">
        <is>
          <t>Óscar Rivas</t>
        </is>
      </c>
      <c r="J112" t="inlineStr">
        <is>
          <t>2228-7731</t>
        </is>
      </c>
      <c r="K112" t="inlineStr">
        <is>
          <t>Andrea Pineda</t>
        </is>
      </c>
      <c r="L112" t="inlineStr">
        <is>
          <t>José Cornejo Hernández</t>
        </is>
      </c>
      <c r="M112" t="inlineStr">
        <is>
          <t>07580296-3</t>
        </is>
      </c>
      <c r="N112" t="inlineStr">
        <is>
          <t>6828-1335</t>
        </is>
      </c>
      <c r="O112" t="inlineStr">
        <is>
          <t>Consumidor final</t>
        </is>
      </c>
      <c r="P112" t="inlineStr">
        <is>
          <t>HIG-001</t>
        </is>
      </c>
      <c r="Q112" t="inlineStr">
        <is>
          <t>Detergente 1kg</t>
        </is>
      </c>
      <c r="R112" t="inlineStr">
        <is>
          <t>Limpieza</t>
        </is>
      </c>
      <c r="S112" t="inlineStr">
        <is>
          <t>Higiene Total C.A.</t>
        </is>
      </c>
      <c r="T112" t="inlineStr">
        <is>
          <t>2207-5566</t>
        </is>
      </c>
      <c r="U112" t="n">
        <v>3.45</v>
      </c>
      <c r="V112" t="n">
        <v>24</v>
      </c>
      <c r="W112" t="n">
        <v>0</v>
      </c>
      <c r="X112">
        <f>IFERROR(U112*V112*(1-W112/100),"")</f>
        <v/>
      </c>
      <c r="Y112">
        <f>IFERROR(ROUND(X112*0.13,2),"")</f>
        <v/>
      </c>
      <c r="Z112">
        <f>IFERROR(X112+Y112,"")</f>
        <v/>
      </c>
      <c r="AA112" t="inlineStr">
        <is>
          <t>Tarjeta</t>
        </is>
      </c>
      <c r="AB112" t="inlineStr">
        <is>
          <t>precio especial autorizado por gerente</t>
        </is>
      </c>
    </row>
    <row r="113">
      <c r="A113" t="inlineStr">
        <is>
          <t>F-10533</t>
        </is>
      </c>
      <c r="B113" s="3" t="n">
        <v>46276</v>
      </c>
      <c r="C113" t="inlineStr">
        <is>
          <t>FCF</t>
        </is>
      </c>
      <c r="D113" t="inlineStr">
        <is>
          <t>LL01</t>
        </is>
      </c>
      <c r="E113" t="inlineStr">
        <is>
          <t>Sta. Tecla</t>
        </is>
      </c>
      <c r="F113" t="inlineStr">
        <is>
          <t>Calle Daniel Hernández #18</t>
        </is>
      </c>
      <c r="G113" t="inlineStr">
        <is>
          <t>Santa Tecla</t>
        </is>
      </c>
      <c r="H113" t="inlineStr">
        <is>
          <t>La Libertad</t>
        </is>
      </c>
      <c r="I113" t="inlineStr">
        <is>
          <t>Óscar Rivas</t>
        </is>
      </c>
      <c r="J113" t="inlineStr">
        <is>
          <t>2228-7731</t>
        </is>
      </c>
      <c r="K113" t="inlineStr">
        <is>
          <t>Andrea Pineda</t>
        </is>
      </c>
      <c r="L113" t="inlineStr">
        <is>
          <t>José Cornejo Hernández</t>
        </is>
      </c>
      <c r="M113" t="inlineStr">
        <is>
          <t>07580296-3</t>
        </is>
      </c>
      <c r="N113" t="inlineStr">
        <is>
          <t>6828-1335</t>
        </is>
      </c>
      <c r="O113" t="inlineStr">
        <is>
          <t>Consumidor final</t>
        </is>
      </c>
      <c r="P113" t="inlineStr">
        <is>
          <t>ARR-001</t>
        </is>
      </c>
      <c r="Q113" t="inlineStr">
        <is>
          <t>Arroz blanco 5lb</t>
        </is>
      </c>
      <c r="R113" t="inlineStr">
        <is>
          <t>Abarrotes</t>
        </is>
      </c>
      <c r="S113" t="inlineStr">
        <is>
          <t>Granos del Pacífico</t>
        </is>
      </c>
      <c r="T113" t="inlineStr">
        <is>
          <t>2234-8890</t>
        </is>
      </c>
      <c r="U113" t="n">
        <v>3.95</v>
      </c>
      <c r="V113" t="n">
        <v>1</v>
      </c>
      <c r="W113" t="n">
        <v>0</v>
      </c>
      <c r="X113">
        <f>IFERROR(U113*V113*(1-W113/100),"")</f>
        <v/>
      </c>
      <c r="Y113">
        <f>IFERROR(ROUND(X113*0.13,2),"")</f>
        <v/>
      </c>
      <c r="Z113">
        <f>IFERROR(X113+Y113,"")</f>
        <v/>
      </c>
      <c r="AA113" t="inlineStr">
        <is>
          <t>Tarjeta</t>
        </is>
      </c>
      <c r="AB113" t="inlineStr"/>
    </row>
    <row r="114">
      <c r="A114" t="inlineStr">
        <is>
          <t>F-10533</t>
        </is>
      </c>
      <c r="B114" s="3" t="n">
        <v>46276</v>
      </c>
      <c r="C114" t="inlineStr">
        <is>
          <t>FCF</t>
        </is>
      </c>
      <c r="D114" t="inlineStr">
        <is>
          <t>LL01</t>
        </is>
      </c>
      <c r="E114" t="inlineStr">
        <is>
          <t>Sta. Tecla</t>
        </is>
      </c>
      <c r="F114" t="inlineStr">
        <is>
          <t>Calle Daniel Hernández #18</t>
        </is>
      </c>
      <c r="G114" t="inlineStr">
        <is>
          <t>Santa Tecla</t>
        </is>
      </c>
      <c r="H114" t="inlineStr">
        <is>
          <t>La Libertad</t>
        </is>
      </c>
      <c r="I114" t="inlineStr">
        <is>
          <t>Óscar Rivas</t>
        </is>
      </c>
      <c r="J114" t="inlineStr">
        <is>
          <t>2228-7731</t>
        </is>
      </c>
      <c r="K114" t="inlineStr">
        <is>
          <t>Andrea Pineda</t>
        </is>
      </c>
      <c r="L114" t="inlineStr">
        <is>
          <t>José Cornejo Hernández</t>
        </is>
      </c>
      <c r="M114" t="inlineStr">
        <is>
          <t>07580296-3</t>
        </is>
      </c>
      <c r="N114" t="inlineStr">
        <is>
          <t>6828-1335</t>
        </is>
      </c>
      <c r="O114" t="inlineStr">
        <is>
          <t>Consumidor final</t>
        </is>
      </c>
      <c r="P114" t="inlineStr">
        <is>
          <t>PAN-002</t>
        </is>
      </c>
      <c r="Q114" t="inlineStr">
        <is>
          <t>Semita alta</t>
        </is>
      </c>
      <c r="R114" t="inlineStr">
        <is>
          <t>Panadería</t>
        </is>
      </c>
      <c r="S114" t="inlineStr">
        <is>
          <t>Panificadora Ilopango</t>
        </is>
      </c>
      <c r="T114" t="inlineStr">
        <is>
          <t>2295-0081</t>
        </is>
      </c>
      <c r="U114" t="n">
        <v>1.75</v>
      </c>
      <c r="V114" t="n">
        <v>4</v>
      </c>
      <c r="W114" t="n">
        <v>0</v>
      </c>
      <c r="X114">
        <f>IFERROR(U114*V114*(1-W114/100),"")</f>
        <v/>
      </c>
      <c r="Y114">
        <f>IFERROR(ROUND(X114*0.13,2),"")</f>
        <v/>
      </c>
      <c r="Z114">
        <f>IFERROR(X114+Y114,"")</f>
        <v/>
      </c>
      <c r="AA114" t="inlineStr">
        <is>
          <t>Tarjeta</t>
        </is>
      </c>
      <c r="AB114" t="inlineStr">
        <is>
          <t>entregar en bodega</t>
        </is>
      </c>
    </row>
    <row r="115">
      <c r="A115" t="inlineStr">
        <is>
          <t>F-10533</t>
        </is>
      </c>
      <c r="B115" s="3" t="n">
        <v>46276</v>
      </c>
      <c r="C115" t="inlineStr">
        <is>
          <t>FCF</t>
        </is>
      </c>
      <c r="D115" t="inlineStr">
        <is>
          <t>LL01</t>
        </is>
      </c>
      <c r="E115" t="inlineStr">
        <is>
          <t>Sta. Tecla</t>
        </is>
      </c>
      <c r="F115" t="inlineStr">
        <is>
          <t>Calle Daniel Hernández #18</t>
        </is>
      </c>
      <c r="G115" t="inlineStr">
        <is>
          <t>Santa Tecla</t>
        </is>
      </c>
      <c r="H115" t="inlineStr">
        <is>
          <t>La Libertad</t>
        </is>
      </c>
      <c r="I115" t="inlineStr">
        <is>
          <t>Óscar Rivas</t>
        </is>
      </c>
      <c r="J115" t="inlineStr">
        <is>
          <t>2228-7731</t>
        </is>
      </c>
      <c r="K115" t="inlineStr">
        <is>
          <t>Andrea Pineda</t>
        </is>
      </c>
      <c r="L115" t="inlineStr">
        <is>
          <t>José Cornejo Hernández</t>
        </is>
      </c>
      <c r="M115" t="inlineStr">
        <is>
          <t>07580296-3</t>
        </is>
      </c>
      <c r="N115" t="inlineStr">
        <is>
          <t>6828-1335</t>
        </is>
      </c>
      <c r="O115" t="inlineStr">
        <is>
          <t>Consumidor final</t>
        </is>
      </c>
      <c r="P115" t="inlineStr">
        <is>
          <t>PAN-003</t>
        </is>
      </c>
      <c r="Q115" t="inlineStr">
        <is>
          <t>Quesadilla salvadoreña</t>
        </is>
      </c>
      <c r="R115" t="inlineStr">
        <is>
          <t>Panadería</t>
        </is>
      </c>
      <c r="S115" t="inlineStr">
        <is>
          <t>Panificadora Ilopango</t>
        </is>
      </c>
      <c r="T115" t="inlineStr">
        <is>
          <t>2295-0081</t>
        </is>
      </c>
      <c r="U115" t="n">
        <v>2.5</v>
      </c>
      <c r="V115" t="n">
        <v>1</v>
      </c>
      <c r="W115" t="n">
        <v>0</v>
      </c>
      <c r="X115">
        <f>IFERROR(U115*V115*(1-W115/100),"")</f>
        <v/>
      </c>
      <c r="Y115">
        <f>IFERROR(ROUND(X115*0.13,2),"")</f>
        <v/>
      </c>
      <c r="Z115">
        <f>IFERROR(X115+Y115,"")</f>
        <v/>
      </c>
      <c r="AA115" t="inlineStr">
        <is>
          <t>Tarjeta</t>
        </is>
      </c>
      <c r="AB115" t="inlineStr">
        <is>
          <t>Llamar al 7788-1234 antes de entregar</t>
        </is>
      </c>
    </row>
    <row r="116">
      <c r="A116" t="inlineStr">
        <is>
          <t>F-10535</t>
        </is>
      </c>
      <c r="B116" s="3" t="n">
        <v>46255</v>
      </c>
      <c r="C116" t="inlineStr">
        <is>
          <t>Factura</t>
        </is>
      </c>
      <c r="D116" t="inlineStr">
        <is>
          <t>US01</t>
        </is>
      </c>
      <c r="E116" t="inlineStr">
        <is>
          <t>Usulután</t>
        </is>
      </c>
      <c r="F116" t="inlineStr">
        <is>
          <t>2a Av. Norte #9</t>
        </is>
      </c>
      <c r="G116" t="inlineStr">
        <is>
          <t>Usulután</t>
        </is>
      </c>
      <c r="H116" t="inlineStr">
        <is>
          <t>Usulután</t>
        </is>
      </c>
      <c r="I116" t="inlineStr">
        <is>
          <t>Nelson Fuentes</t>
        </is>
      </c>
      <c r="J116" t="inlineStr">
        <is>
          <t>2662-8810</t>
        </is>
      </c>
      <c r="K116" t="inlineStr">
        <is>
          <t>Miguel Bonilla</t>
        </is>
      </c>
      <c r="L116" t="inlineStr">
        <is>
          <t>Mario Lemus Flores</t>
        </is>
      </c>
      <c r="M116" t="inlineStr">
        <is>
          <t>05465836-8</t>
        </is>
      </c>
      <c r="N116" t="inlineStr">
        <is>
          <t>6555-2967</t>
        </is>
      </c>
      <c r="O116" t="inlineStr">
        <is>
          <t>Consumidor final</t>
        </is>
      </c>
      <c r="P116" t="inlineStr">
        <is>
          <t>PAN-002</t>
        </is>
      </c>
      <c r="Q116" t="inlineStr">
        <is>
          <t>Semita alta</t>
        </is>
      </c>
      <c r="R116" t="inlineStr">
        <is>
          <t>Panadería</t>
        </is>
      </c>
      <c r="S116" t="inlineStr">
        <is>
          <t>Panificadora Ilopango</t>
        </is>
      </c>
      <c r="T116" t="inlineStr">
        <is>
          <t>2295-0081</t>
        </is>
      </c>
      <c r="U116" t="n">
        <v>1.75</v>
      </c>
      <c r="V116" t="n">
        <v>2</v>
      </c>
      <c r="W116" t="n">
        <v>0</v>
      </c>
      <c r="X116">
        <f>IFERROR(U116*V116*(1-W116/100),"")</f>
        <v/>
      </c>
      <c r="Y116">
        <f>IFERROR(ROUND(X116*0.13,2),"")</f>
        <v/>
      </c>
      <c r="Z116">
        <f>IFERROR(X116+Y116,"")</f>
        <v/>
      </c>
      <c r="AA116" t="inlineStr">
        <is>
          <t>Efectivo</t>
        </is>
      </c>
      <c r="AB116" t="inlineStr"/>
    </row>
    <row r="117">
      <c r="A117" t="inlineStr">
        <is>
          <t>F-10535</t>
        </is>
      </c>
      <c r="B117" s="3" t="n">
        <v>46255</v>
      </c>
      <c r="C117" t="inlineStr">
        <is>
          <t>Factura</t>
        </is>
      </c>
      <c r="D117" t="inlineStr">
        <is>
          <t>US01</t>
        </is>
      </c>
      <c r="E117" t="inlineStr">
        <is>
          <t>Usulután</t>
        </is>
      </c>
      <c r="F117" t="inlineStr">
        <is>
          <t>2a Av. Norte #9</t>
        </is>
      </c>
      <c r="G117" t="inlineStr">
        <is>
          <t>Usulután</t>
        </is>
      </c>
      <c r="H117" t="inlineStr">
        <is>
          <t>Usulután</t>
        </is>
      </c>
      <c r="I117" t="inlineStr">
        <is>
          <t>Nelson Fuentes</t>
        </is>
      </c>
      <c r="J117" t="inlineStr">
        <is>
          <t>2662-8810</t>
        </is>
      </c>
      <c r="K117" t="inlineStr">
        <is>
          <t>Miguel Bonilla</t>
        </is>
      </c>
      <c r="L117" t="inlineStr">
        <is>
          <t>Mario Lemus Flores</t>
        </is>
      </c>
      <c r="M117" t="inlineStr"/>
      <c r="N117" t="inlineStr">
        <is>
          <t>6555-2967</t>
        </is>
      </c>
      <c r="O117" t="inlineStr">
        <is>
          <t>Consumidor final</t>
        </is>
      </c>
      <c r="P117" t="inlineStr">
        <is>
          <t>LAC-003</t>
        </is>
      </c>
      <c r="Q117" t="inlineStr">
        <is>
          <t>Leche entera 1L</t>
        </is>
      </c>
      <c r="R117" t="inlineStr">
        <is>
          <t>Lácteos</t>
        </is>
      </c>
      <c r="S117" t="inlineStr">
        <is>
          <t>Lácteos Chalate</t>
        </is>
      </c>
      <c r="T117" t="inlineStr">
        <is>
          <t>2335-1020</t>
        </is>
      </c>
      <c r="U117" t="inlineStr">
        <is>
          <t>1,20</t>
        </is>
      </c>
      <c r="V117" t="n">
        <v>4</v>
      </c>
      <c r="W117" t="n">
        <v>0</v>
      </c>
      <c r="X117">
        <f>IFERROR(U117*V117*(1-W117/100),"")</f>
        <v/>
      </c>
      <c r="Y117">
        <f>IFERROR(ROUND(X117*0.13,2),"")</f>
        <v/>
      </c>
      <c r="Z117">
        <f>IFERROR(X117+Y117,"")</f>
        <v/>
      </c>
      <c r="AA117" t="inlineStr">
        <is>
          <t>Efectivo</t>
        </is>
      </c>
      <c r="AB117" t="inlineStr">
        <is>
          <t>Llamar al 7788-1234 antes de entregar</t>
        </is>
      </c>
    </row>
    <row r="118">
      <c r="A118" t="inlineStr">
        <is>
          <t>F-10537</t>
        </is>
      </c>
      <c r="B118" s="3" t="n">
        <v>46214</v>
      </c>
      <c r="C118" t="inlineStr">
        <is>
          <t>Factura</t>
        </is>
      </c>
      <c r="D118" t="inlineStr">
        <is>
          <t>SS02</t>
        </is>
      </c>
      <c r="E118" t="inlineStr">
        <is>
          <t>Col. Escalón</t>
        </is>
      </c>
      <c r="F118" t="inlineStr">
        <is>
          <t>Paseo General Escalón #3910</t>
        </is>
      </c>
      <c r="G118" t="inlineStr">
        <is>
          <t>San Salvador</t>
        </is>
      </c>
      <c r="H118" t="inlineStr">
        <is>
          <t>San Salvador</t>
        </is>
      </c>
      <c r="I118" t="inlineStr">
        <is>
          <t>Claudia Menjívar</t>
        </is>
      </c>
      <c r="J118" t="inlineStr">
        <is>
          <t>2264-1190</t>
        </is>
      </c>
      <c r="K118" t="inlineStr">
        <is>
          <t>Fátima Rosales</t>
        </is>
      </c>
      <c r="L118" t="inlineStr">
        <is>
          <t>María Castillo Martínez</t>
        </is>
      </c>
      <c r="M118" t="inlineStr">
        <is>
          <t>09352468-8</t>
        </is>
      </c>
      <c r="N118" t="inlineStr">
        <is>
          <t>6394-8494</t>
        </is>
      </c>
      <c r="O118" t="inlineStr">
        <is>
          <t>Consumidor final</t>
        </is>
      </c>
      <c r="P118" t="inlineStr">
        <is>
          <t>BEB-003</t>
        </is>
      </c>
      <c r="Q118" t="inlineStr">
        <is>
          <t>Horchata en polvo 400g</t>
        </is>
      </c>
      <c r="R118" t="inlineStr">
        <is>
          <t>Abarrotes</t>
        </is>
      </c>
      <c r="S118" t="inlineStr">
        <is>
          <t>Bebidas Izalco</t>
        </is>
      </c>
      <c r="T118" t="inlineStr">
        <is>
          <t>2450-7700</t>
        </is>
      </c>
      <c r="U118" t="n">
        <v>2.6</v>
      </c>
      <c r="V118" t="n">
        <v>12</v>
      </c>
      <c r="W118" t="n">
        <v>0</v>
      </c>
      <c r="X118">
        <f>IFERROR(U118*V118*(1-W118/100),"")</f>
        <v/>
      </c>
      <c r="Y118">
        <f>IFERROR(ROUND(X118*0.13,2),"")</f>
        <v/>
      </c>
      <c r="Z118">
        <f>IFERROR(X118+Y118,"")</f>
        <v/>
      </c>
      <c r="AA118" t="inlineStr">
        <is>
          <t>efectivo</t>
        </is>
      </c>
      <c r="AB118" t="inlineStr">
        <is>
          <t>Cliente frecuente</t>
        </is>
      </c>
    </row>
    <row r="119">
      <c r="A119" t="inlineStr">
        <is>
          <t>F-10540</t>
        </is>
      </c>
      <c r="B119" t="inlineStr">
        <is>
          <t>29-Aug-26</t>
        </is>
      </c>
      <c r="C119" t="inlineStr">
        <is>
          <t>CCF</t>
        </is>
      </c>
      <c r="D119" t="inlineStr">
        <is>
          <t>SO01</t>
        </is>
      </c>
      <c r="E119" t="inlineStr">
        <is>
          <t>Sonsonate</t>
        </is>
      </c>
      <c r="F119" t="inlineStr">
        <is>
          <t>Calle Obispo Marroquín #3</t>
        </is>
      </c>
      <c r="G119" t="inlineStr">
        <is>
          <t>Sonsonate</t>
        </is>
      </c>
      <c r="H119" t="inlineStr">
        <is>
          <t>Sonsonate</t>
        </is>
      </c>
      <c r="I119" t="inlineStr">
        <is>
          <t>Ernesto Chávez</t>
        </is>
      </c>
      <c r="J119" t="inlineStr">
        <is>
          <t>2451-2288</t>
        </is>
      </c>
      <c r="K119" t="inlineStr">
        <is>
          <t>Ricardo Funes</t>
        </is>
      </c>
      <c r="L119" t="inlineStr">
        <is>
          <t>HOTEL BRISAS DEL MAR</t>
        </is>
      </c>
      <c r="M119" t="inlineStr">
        <is>
          <t>280004-0</t>
        </is>
      </c>
      <c r="N119" t="inlineStr">
        <is>
          <t>2129-2911</t>
        </is>
      </c>
      <c r="O119" t="inlineStr">
        <is>
          <t>Contribuyente</t>
        </is>
      </c>
      <c r="P119" t="inlineStr">
        <is>
          <t>PAN-001</t>
        </is>
      </c>
      <c r="Q119" t="inlineStr">
        <is>
          <t>Pan francés bolsa 10u</t>
        </is>
      </c>
      <c r="R119" t="inlineStr">
        <is>
          <t>Panaderia</t>
        </is>
      </c>
      <c r="S119" t="inlineStr">
        <is>
          <t>Panificadora Ilopango</t>
        </is>
      </c>
      <c r="T119" t="inlineStr">
        <is>
          <t>2295-0081</t>
        </is>
      </c>
      <c r="U119" t="n">
        <v>1</v>
      </c>
      <c r="V119" t="n">
        <v>2</v>
      </c>
      <c r="W119" t="n">
        <v>5</v>
      </c>
      <c r="X119">
        <f>IFERROR(U119*V119*(1-W119/100),"")</f>
        <v/>
      </c>
      <c r="Y119">
        <f>IFERROR(ROUND(X119*0.13,2),"")</f>
        <v/>
      </c>
      <c r="Z119">
        <f>IFERROR(X119+Y119,"")</f>
        <v/>
      </c>
      <c r="AA119" t="inlineStr">
        <is>
          <t>TARJETA</t>
        </is>
      </c>
      <c r="AB119" t="inlineStr"/>
    </row>
    <row r="120">
      <c r="A120" t="inlineStr">
        <is>
          <t>F-10540</t>
        </is>
      </c>
      <c r="B120" s="3" t="n">
        <v>46263</v>
      </c>
      <c r="C120" t="inlineStr">
        <is>
          <t>CCF</t>
        </is>
      </c>
      <c r="D120" t="inlineStr">
        <is>
          <t>SO01</t>
        </is>
      </c>
      <c r="E120" t="inlineStr">
        <is>
          <t>SONSONATE</t>
        </is>
      </c>
      <c r="F120" t="inlineStr">
        <is>
          <t>Calle Obispo Marroquín #3</t>
        </is>
      </c>
      <c r="G120" t="inlineStr">
        <is>
          <t>Sonsonate</t>
        </is>
      </c>
      <c r="H120" t="inlineStr">
        <is>
          <t>Sonsonate</t>
        </is>
      </c>
      <c r="I120" t="inlineStr">
        <is>
          <t>Ernesto Chávez</t>
        </is>
      </c>
      <c r="J120" t="inlineStr">
        <is>
          <t>2451-2288</t>
        </is>
      </c>
      <c r="K120" t="inlineStr">
        <is>
          <t>Ricardo Funes</t>
        </is>
      </c>
      <c r="L120" t="inlineStr">
        <is>
          <t>Hotel Brisas del Mar</t>
        </is>
      </c>
      <c r="M120" t="inlineStr">
        <is>
          <t>280004-0</t>
        </is>
      </c>
      <c r="N120" t="inlineStr">
        <is>
          <t>2129-2911</t>
        </is>
      </c>
      <c r="O120" t="inlineStr">
        <is>
          <t>Contribuyente</t>
        </is>
      </c>
      <c r="P120" t="inlineStr">
        <is>
          <t>CAF-002</t>
        </is>
      </c>
      <c r="Q120" t="inlineStr">
        <is>
          <t>Café en grano 1lb</t>
        </is>
      </c>
      <c r="R120" t="inlineStr">
        <is>
          <t>Abarrotes</t>
        </is>
      </c>
      <c r="S120" t="inlineStr">
        <is>
          <t>Café Volcán S.A.</t>
        </is>
      </c>
      <c r="T120" t="inlineStr">
        <is>
          <t>2510-3344</t>
        </is>
      </c>
      <c r="U120" t="n">
        <v>6.75</v>
      </c>
      <c r="V120" t="n">
        <v>6</v>
      </c>
      <c r="W120" t="n">
        <v>5</v>
      </c>
      <c r="X120">
        <f>IFERROR(U120*V120*(1-W120/100),"")</f>
        <v/>
      </c>
      <c r="Y120">
        <f>IFERROR(ROUND(X120*0.13,2),"")</f>
        <v/>
      </c>
      <c r="Z120">
        <f>IFERROR(X120+Y120,"")</f>
        <v/>
      </c>
      <c r="AA120" t="inlineStr">
        <is>
          <t>TARJETA</t>
        </is>
      </c>
      <c r="AB120" t="inlineStr">
        <is>
          <t>pagó con billete de $100</t>
        </is>
      </c>
    </row>
    <row r="121">
      <c r="A121" t="inlineStr">
        <is>
          <t>F-10542</t>
        </is>
      </c>
      <c r="B121" s="3" t="n">
        <v>46215</v>
      </c>
      <c r="C121" t="inlineStr">
        <is>
          <t>Factura</t>
        </is>
      </c>
      <c r="D121" t="inlineStr">
        <is>
          <t>SS01</t>
        </is>
      </c>
      <c r="E121" t="inlineStr">
        <is>
          <t>San Salvador Centro</t>
        </is>
      </c>
      <c r="F121" t="inlineStr">
        <is>
          <t>4a Calle Poniente #215</t>
        </is>
      </c>
      <c r="G121" t="inlineStr">
        <is>
          <t>San Salvador</t>
        </is>
      </c>
      <c r="H121" t="inlineStr">
        <is>
          <t>San Salvador</t>
        </is>
      </c>
      <c r="I121" t="inlineStr">
        <is>
          <t>Roberto Alfaro</t>
        </is>
      </c>
      <c r="J121" t="inlineStr">
        <is>
          <t>2221-4580</t>
        </is>
      </c>
      <c r="K121" t="inlineStr">
        <is>
          <t>José Martínez</t>
        </is>
      </c>
      <c r="L121" t="inlineStr">
        <is>
          <t>Ana Pérez Rivera</t>
        </is>
      </c>
      <c r="M121" t="inlineStr">
        <is>
          <t>00820199-8</t>
        </is>
      </c>
      <c r="N121" t="inlineStr">
        <is>
          <t>7205-8035</t>
        </is>
      </c>
      <c r="O121" t="inlineStr">
        <is>
          <t>Consumidor final</t>
        </is>
      </c>
      <c r="P121" t="inlineStr">
        <is>
          <t>PAN-001</t>
        </is>
      </c>
      <c r="Q121" t="inlineStr">
        <is>
          <t>Pan francés bolsa 10u</t>
        </is>
      </c>
      <c r="R121" t="inlineStr">
        <is>
          <t>Panaderia</t>
        </is>
      </c>
      <c r="S121" t="inlineStr">
        <is>
          <t>Panificadora Ilopango</t>
        </is>
      </c>
      <c r="T121" t="inlineStr">
        <is>
          <t>2295-0081</t>
        </is>
      </c>
      <c r="U121" t="inlineStr">
        <is>
          <t>$1.00</t>
        </is>
      </c>
      <c r="V121" t="n">
        <v>1</v>
      </c>
      <c r="W121" t="n">
        <v>0</v>
      </c>
      <c r="X121">
        <f>IFERROR(U121*V121*(1-W121/100),"")</f>
        <v/>
      </c>
      <c r="Y121">
        <f>IFERROR(ROUND(X121*0.13,2),"")</f>
        <v/>
      </c>
      <c r="Z121">
        <f>IFERROR(X121+Y121,"")</f>
        <v/>
      </c>
      <c r="AA121" t="inlineStr">
        <is>
          <t>Efectivo</t>
        </is>
      </c>
      <c r="AB121" t="inlineStr"/>
    </row>
    <row r="122">
      <c r="A122" t="inlineStr">
        <is>
          <t>F-10544</t>
        </is>
      </c>
      <c r="B122" t="inlineStr">
        <is>
          <t>10/07/2026</t>
        </is>
      </c>
      <c r="C122" t="inlineStr">
        <is>
          <t>FCF</t>
        </is>
      </c>
      <c r="D122" t="inlineStr">
        <is>
          <t>SO01</t>
        </is>
      </c>
      <c r="E122" t="inlineStr">
        <is>
          <t>SONSONATE</t>
        </is>
      </c>
      <c r="F122" t="inlineStr">
        <is>
          <t>Calle Obispo Marroquín #3</t>
        </is>
      </c>
      <c r="G122" t="inlineStr">
        <is>
          <t>Sonsonate</t>
        </is>
      </c>
      <c r="H122" t="inlineStr">
        <is>
          <t>Sonsonate</t>
        </is>
      </c>
      <c r="I122" t="inlineStr">
        <is>
          <t>Ernesto Chávez</t>
        </is>
      </c>
      <c r="J122" t="inlineStr">
        <is>
          <t>2451-2288</t>
        </is>
      </c>
      <c r="K122" t="inlineStr">
        <is>
          <t>Ricardo Funes</t>
        </is>
      </c>
      <c r="L122" t="inlineStr">
        <is>
          <t>Mario Martínez Sorto</t>
        </is>
      </c>
      <c r="M122" t="inlineStr">
        <is>
          <t>02686393-2</t>
        </is>
      </c>
      <c r="N122" t="inlineStr">
        <is>
          <t>7413-9318</t>
        </is>
      </c>
      <c r="O122" t="inlineStr">
        <is>
          <t>Consumidor final</t>
        </is>
      </c>
      <c r="P122" t="inlineStr">
        <is>
          <t>PAN-003</t>
        </is>
      </c>
      <c r="Q122" t="inlineStr">
        <is>
          <t>Quesadilla salvadoreña</t>
        </is>
      </c>
      <c r="R122" t="inlineStr">
        <is>
          <t>PANADERIA</t>
        </is>
      </c>
      <c r="S122" t="inlineStr">
        <is>
          <t>Panificadora Ilopango</t>
        </is>
      </c>
      <c r="T122" t="inlineStr">
        <is>
          <t>2295-0081</t>
        </is>
      </c>
      <c r="U122" t="n">
        <v>2.5</v>
      </c>
      <c r="V122" t="n">
        <v>-2</v>
      </c>
      <c r="W122" t="n">
        <v>0</v>
      </c>
      <c r="X122">
        <f>IFERROR(U122*V122*(1-W122/100),"")</f>
        <v/>
      </c>
      <c r="Y122">
        <f>IFERROR(ROUND(X122*0.13,2),"")</f>
        <v/>
      </c>
      <c r="Z122">
        <f>IFERROR(X122+Y122,"")</f>
        <v/>
      </c>
      <c r="AA122" t="inlineStr">
        <is>
          <t>Tarjeta</t>
        </is>
      </c>
      <c r="AB122" t="inlineStr"/>
    </row>
    <row r="123">
      <c r="A123" t="inlineStr">
        <is>
          <t>F-10546</t>
        </is>
      </c>
      <c r="B123" s="3" t="n">
        <v>46233</v>
      </c>
      <c r="C123" t="inlineStr">
        <is>
          <t>Factura</t>
        </is>
      </c>
      <c r="D123" t="inlineStr">
        <is>
          <t>SS03</t>
        </is>
      </c>
      <c r="E123" t="inlineStr">
        <is>
          <t xml:space="preserve">SOYAPANGO </t>
        </is>
      </c>
      <c r="F123" t="inlineStr">
        <is>
          <t>Blvd. del Ejército km 4</t>
        </is>
      </c>
      <c r="G123" t="inlineStr">
        <is>
          <t>Soyapango</t>
        </is>
      </c>
      <c r="H123" t="inlineStr">
        <is>
          <t>San Salvador</t>
        </is>
      </c>
      <c r="I123" t="inlineStr">
        <is>
          <t>Karla Henríquez</t>
        </is>
      </c>
      <c r="J123" t="inlineStr">
        <is>
          <t>2277-3402</t>
        </is>
      </c>
      <c r="K123" t="inlineStr">
        <is>
          <t>Carlos Molina</t>
        </is>
      </c>
      <c r="L123" t="inlineStr">
        <is>
          <t>Patricia García Martínez</t>
        </is>
      </c>
      <c r="M123" t="inlineStr">
        <is>
          <t>02380558-6</t>
        </is>
      </c>
      <c r="N123" t="inlineStr">
        <is>
          <t>6660-5283</t>
        </is>
      </c>
      <c r="O123" t="inlineStr">
        <is>
          <t>Consumidor final</t>
        </is>
      </c>
      <c r="P123" t="inlineStr">
        <is>
          <t>HIG-001</t>
        </is>
      </c>
      <c r="Q123" t="inlineStr">
        <is>
          <t>Detergente 1kg</t>
        </is>
      </c>
      <c r="R123" t="inlineStr">
        <is>
          <t>Limpieza</t>
        </is>
      </c>
      <c r="S123" t="inlineStr">
        <is>
          <t>Higiene Total C.A.</t>
        </is>
      </c>
      <c r="T123" t="inlineStr">
        <is>
          <t>2207-5566</t>
        </is>
      </c>
      <c r="U123" t="n">
        <v>3.45</v>
      </c>
      <c r="V123" t="n">
        <v>4</v>
      </c>
      <c r="W123" t="n">
        <v>0</v>
      </c>
      <c r="X123">
        <f>IFERROR(U123*V123*(1-W123/100),"")</f>
        <v/>
      </c>
      <c r="Y123">
        <f>IFERROR(ROUND(X123*0.13,2),"")</f>
        <v/>
      </c>
      <c r="Z123">
        <f>IFERROR(X123+Y123,"")</f>
        <v/>
      </c>
      <c r="AA123" t="inlineStr">
        <is>
          <t>Efectivo</t>
        </is>
      </c>
      <c r="AB123" t="inlineStr">
        <is>
          <t>Cliente frecuente</t>
        </is>
      </c>
    </row>
    <row r="124">
      <c r="A124" t="inlineStr">
        <is>
          <t>F-10546</t>
        </is>
      </c>
      <c r="B124" s="4" t="n">
        <v>46233</v>
      </c>
      <c r="C124" t="inlineStr">
        <is>
          <t>Factura</t>
        </is>
      </c>
      <c r="D124" t="inlineStr">
        <is>
          <t>SS03</t>
        </is>
      </c>
      <c r="E124" t="inlineStr">
        <is>
          <t xml:space="preserve">SOYAPANGO </t>
        </is>
      </c>
      <c r="F124" t="inlineStr">
        <is>
          <t>Blvd. del Ejército km 4</t>
        </is>
      </c>
      <c r="G124" t="inlineStr">
        <is>
          <t>Soyapango</t>
        </is>
      </c>
      <c r="H124" t="inlineStr">
        <is>
          <t>San Salvador</t>
        </is>
      </c>
      <c r="I124" t="inlineStr">
        <is>
          <t>Karla Henríquez</t>
        </is>
      </c>
      <c r="J124" t="inlineStr">
        <is>
          <t>2277-3402</t>
        </is>
      </c>
      <c r="K124" t="inlineStr">
        <is>
          <t>Carlos Molina</t>
        </is>
      </c>
      <c r="L124" t="inlineStr">
        <is>
          <t>Patricia García Martínez</t>
        </is>
      </c>
      <c r="M124" t="inlineStr">
        <is>
          <t>02380558-6</t>
        </is>
      </c>
      <c r="N124" t="inlineStr">
        <is>
          <t>6660-5283</t>
        </is>
      </c>
      <c r="O124" t="inlineStr">
        <is>
          <t>Consumidor final</t>
        </is>
      </c>
      <c r="P124" t="inlineStr">
        <is>
          <t>HIG-001</t>
        </is>
      </c>
      <c r="Q124" t="inlineStr">
        <is>
          <t>Detergente 1kg</t>
        </is>
      </c>
      <c r="R124" t="inlineStr">
        <is>
          <t>Limpieza</t>
        </is>
      </c>
      <c r="S124" t="inlineStr">
        <is>
          <t>Higiene Total C.A.</t>
        </is>
      </c>
      <c r="T124" t="inlineStr">
        <is>
          <t>2207-5566</t>
        </is>
      </c>
      <c r="U124" t="n">
        <v>3.45</v>
      </c>
      <c r="V124" t="n">
        <v>4</v>
      </c>
      <c r="W124" t="n">
        <v>0</v>
      </c>
      <c r="X124">
        <f>IFERROR(U124*V124*(1-W124/100),"")</f>
        <v/>
      </c>
      <c r="Y124">
        <f>IFERROR(ROUND(X124*0.13,2),"")</f>
        <v/>
      </c>
      <c r="Z124">
        <f>IFERROR(X124+Y124,"")</f>
        <v/>
      </c>
      <c r="AA124" t="inlineStr">
        <is>
          <t>Efectivo</t>
        </is>
      </c>
      <c r="AB124" t="inlineStr">
        <is>
          <t>Cliente frecuente</t>
        </is>
      </c>
    </row>
    <row r="125">
      <c r="A125" t="inlineStr">
        <is>
          <t>F-10546</t>
        </is>
      </c>
      <c r="B125" t="inlineStr">
        <is>
          <t>2026-07-30</t>
        </is>
      </c>
      <c r="C125" t="inlineStr">
        <is>
          <t>Factura</t>
        </is>
      </c>
      <c r="D125" t="inlineStr">
        <is>
          <t>SS03</t>
        </is>
      </c>
      <c r="E125" t="inlineStr">
        <is>
          <t xml:space="preserve">SOYAPANGO </t>
        </is>
      </c>
      <c r="F125" t="inlineStr">
        <is>
          <t>Blvd. del Ejército km 4</t>
        </is>
      </c>
      <c r="G125" t="inlineStr">
        <is>
          <t>Soyapango</t>
        </is>
      </c>
      <c r="H125" t="inlineStr">
        <is>
          <t>San Salvador</t>
        </is>
      </c>
      <c r="I125" t="inlineStr">
        <is>
          <t>Karla Henríquez</t>
        </is>
      </c>
      <c r="J125" t="inlineStr">
        <is>
          <t>2277-3402</t>
        </is>
      </c>
      <c r="K125" t="inlineStr">
        <is>
          <t>Carlos Molina</t>
        </is>
      </c>
      <c r="L125" t="inlineStr">
        <is>
          <t>Patricia García Martínez</t>
        </is>
      </c>
      <c r="M125" t="inlineStr"/>
      <c r="N125" t="inlineStr">
        <is>
          <t>6660-5283</t>
        </is>
      </c>
      <c r="O125" t="inlineStr">
        <is>
          <t>Consumidor final</t>
        </is>
      </c>
      <c r="P125" t="inlineStr">
        <is>
          <t>FRI-001</t>
        </is>
      </c>
      <c r="Q125" t="inlineStr">
        <is>
          <t>Frijol rojo de seda 2lb</t>
        </is>
      </c>
      <c r="R125" t="inlineStr">
        <is>
          <t>Abarrotes</t>
        </is>
      </c>
      <c r="S125" t="inlineStr">
        <is>
          <t>Granos del Pacífico</t>
        </is>
      </c>
      <c r="T125" t="inlineStr">
        <is>
          <t>2234-8890</t>
        </is>
      </c>
      <c r="U125" t="n">
        <v>2.4</v>
      </c>
      <c r="V125" t="n">
        <v>2</v>
      </c>
      <c r="W125" t="n">
        <v>0</v>
      </c>
      <c r="X125">
        <f>IFERROR(U125*V125*(1-W125/100),"")</f>
        <v/>
      </c>
      <c r="Y125">
        <f>IFERROR(ROUND(X125*0.13,2),"")</f>
        <v/>
      </c>
      <c r="Z125">
        <f>IFERROR(X125+Y125,"")</f>
        <v/>
      </c>
      <c r="AA125" t="inlineStr">
        <is>
          <t>Efectivo</t>
        </is>
      </c>
      <c r="AB125" t="inlineStr"/>
    </row>
    <row r="126">
      <c r="A126" t="inlineStr">
        <is>
          <t>F-10546</t>
        </is>
      </c>
      <c r="B126" t="inlineStr">
        <is>
          <t>30/07/2026</t>
        </is>
      </c>
      <c r="C126" t="inlineStr">
        <is>
          <t>Factura</t>
        </is>
      </c>
      <c r="D126" t="inlineStr">
        <is>
          <t>SS03</t>
        </is>
      </c>
      <c r="E126" t="inlineStr">
        <is>
          <t>Soyapango</t>
        </is>
      </c>
      <c r="F126" t="inlineStr">
        <is>
          <t>Blvd. del Ejército km 4</t>
        </is>
      </c>
      <c r="G126" t="inlineStr">
        <is>
          <t>Soyapango</t>
        </is>
      </c>
      <c r="H126" t="inlineStr">
        <is>
          <t>San Salvador</t>
        </is>
      </c>
      <c r="I126" t="inlineStr">
        <is>
          <t>Karla Henríquez</t>
        </is>
      </c>
      <c r="J126" t="inlineStr">
        <is>
          <t>2277-3402</t>
        </is>
      </c>
      <c r="K126" t="inlineStr">
        <is>
          <t>Carlos Molina</t>
        </is>
      </c>
      <c r="L126" t="inlineStr">
        <is>
          <t>Patricia García Martínez</t>
        </is>
      </c>
      <c r="M126" t="inlineStr">
        <is>
          <t>02380558-6</t>
        </is>
      </c>
      <c r="N126" t="inlineStr">
        <is>
          <t>6660-5283</t>
        </is>
      </c>
      <c r="O126" t="inlineStr">
        <is>
          <t>Consumidor final</t>
        </is>
      </c>
      <c r="P126" t="inlineStr">
        <is>
          <t>HIG-003</t>
        </is>
      </c>
      <c r="Q126" t="inlineStr">
        <is>
          <t>Jabón de lavar barra</t>
        </is>
      </c>
      <c r="R126" t="inlineStr">
        <is>
          <t>Limpieza</t>
        </is>
      </c>
      <c r="S126" t="inlineStr">
        <is>
          <t>Higiene Total C.A.</t>
        </is>
      </c>
      <c r="T126" t="inlineStr">
        <is>
          <t>2207-5566</t>
        </is>
      </c>
      <c r="U126" t="inlineStr">
        <is>
          <t>0,75</t>
        </is>
      </c>
      <c r="V126" t="n">
        <v>12</v>
      </c>
      <c r="W126" t="n">
        <v>0</v>
      </c>
      <c r="X126">
        <f>IFERROR(U126*V126*(1-W126/100),"")</f>
        <v/>
      </c>
      <c r="Y126">
        <f>IFERROR(ROUND(X126*0.13,2),"")</f>
        <v/>
      </c>
      <c r="Z126">
        <f>IFERROR(X126+Y126,"")</f>
        <v/>
      </c>
      <c r="AA126" t="inlineStr">
        <is>
          <t>Efectivo</t>
        </is>
      </c>
      <c r="AB126" t="inlineStr"/>
    </row>
    <row r="127">
      <c r="A127" t="inlineStr">
        <is>
          <t>F-10546</t>
        </is>
      </c>
      <c r="B127" s="3" t="n">
        <v>46233</v>
      </c>
      <c r="C127" t="inlineStr">
        <is>
          <t>Factura</t>
        </is>
      </c>
      <c r="D127" t="inlineStr">
        <is>
          <t>SS03</t>
        </is>
      </c>
      <c r="E127" t="inlineStr">
        <is>
          <t xml:space="preserve">SOYAPANGO </t>
        </is>
      </c>
      <c r="F127" t="inlineStr">
        <is>
          <t>Blvd. del Ejército km 4</t>
        </is>
      </c>
      <c r="G127" t="inlineStr">
        <is>
          <t>Soyapango</t>
        </is>
      </c>
      <c r="H127" t="inlineStr">
        <is>
          <t>San Salvador</t>
        </is>
      </c>
      <c r="I127" t="inlineStr">
        <is>
          <t>Karla Henríquez</t>
        </is>
      </c>
      <c r="J127" t="inlineStr">
        <is>
          <t>2277-3402</t>
        </is>
      </c>
      <c r="K127" t="inlineStr">
        <is>
          <t>Carlos Molina</t>
        </is>
      </c>
      <c r="L127" t="inlineStr">
        <is>
          <t>Patricia García Martínez</t>
        </is>
      </c>
      <c r="M127" t="inlineStr">
        <is>
          <t>02380558-6</t>
        </is>
      </c>
      <c r="N127" t="inlineStr">
        <is>
          <t>6660-5283</t>
        </is>
      </c>
      <c r="O127" t="inlineStr">
        <is>
          <t>Consumidor final</t>
        </is>
      </c>
      <c r="P127" t="inlineStr">
        <is>
          <t>BEB-002</t>
        </is>
      </c>
      <c r="Q127" t="inlineStr">
        <is>
          <t>Agua purificada 1 galón</t>
        </is>
      </c>
      <c r="R127" t="inlineStr">
        <is>
          <t>Bebidas</t>
        </is>
      </c>
      <c r="S127" t="inlineStr">
        <is>
          <t>Bebidas Izalco</t>
        </is>
      </c>
      <c r="T127" t="inlineStr">
        <is>
          <t>2450-7700</t>
        </is>
      </c>
      <c r="U127" t="n">
        <v>1.1</v>
      </c>
      <c r="V127" t="n">
        <v>1</v>
      </c>
      <c r="W127" t="n">
        <v>0</v>
      </c>
      <c r="X127">
        <f>IFERROR(U127*V127*(1-W127/100),"")</f>
        <v/>
      </c>
      <c r="Y127">
        <f>IFERROR(ROUND(X127*0.13,2),"")</f>
        <v/>
      </c>
      <c r="Z127">
        <f>IFERROR(X127+Y127,"")</f>
        <v/>
      </c>
      <c r="AA127" t="inlineStr">
        <is>
          <t>Efectivo</t>
        </is>
      </c>
      <c r="AB127" t="inlineStr"/>
    </row>
    <row r="128">
      <c r="A128" t="inlineStr">
        <is>
          <t>F-10549</t>
        </is>
      </c>
      <c r="B128" s="3" t="n">
        <v>46226</v>
      </c>
      <c r="C128" t="inlineStr">
        <is>
          <t>FCF</t>
        </is>
      </c>
      <c r="D128" t="inlineStr">
        <is>
          <t>SS01</t>
        </is>
      </c>
      <c r="E128" t="inlineStr">
        <is>
          <t>San Salvador Centro</t>
        </is>
      </c>
      <c r="F128" t="inlineStr">
        <is>
          <t>4a Calle Poniente #215</t>
        </is>
      </c>
      <c r="G128" t="inlineStr">
        <is>
          <t>San Salvador</t>
        </is>
      </c>
      <c r="H128" t="inlineStr">
        <is>
          <t>San Salvador</t>
        </is>
      </c>
      <c r="I128" t="inlineStr">
        <is>
          <t>Roberto Alfaro</t>
        </is>
      </c>
      <c r="J128" t="inlineStr">
        <is>
          <t>2221-4580</t>
        </is>
      </c>
      <c r="K128" t="inlineStr">
        <is>
          <t>José Martínez</t>
        </is>
      </c>
      <c r="L128" t="inlineStr">
        <is>
          <t>Mario Martínez Sorto</t>
        </is>
      </c>
      <c r="M128" t="inlineStr">
        <is>
          <t>02686393-2</t>
        </is>
      </c>
      <c r="N128" t="inlineStr">
        <is>
          <t>7413-9318</t>
        </is>
      </c>
      <c r="O128" t="inlineStr">
        <is>
          <t>Consumidor final</t>
        </is>
      </c>
      <c r="P128" t="inlineStr">
        <is>
          <t>HIG-001</t>
        </is>
      </c>
      <c r="Q128" t="inlineStr">
        <is>
          <t>Detergente 1kg</t>
        </is>
      </c>
      <c r="R128" t="inlineStr">
        <is>
          <t>Limpieza</t>
        </is>
      </c>
      <c r="S128" t="inlineStr">
        <is>
          <t>Higiene Total C.A.</t>
        </is>
      </c>
      <c r="T128" t="inlineStr">
        <is>
          <t>2207-5566</t>
        </is>
      </c>
      <c r="U128" t="n">
        <v>3.45</v>
      </c>
      <c r="V128" t="n">
        <v>4</v>
      </c>
      <c r="W128" t="n">
        <v>0</v>
      </c>
      <c r="X128">
        <f>IFERROR(U128*V128*(1-W128/100),"")</f>
        <v/>
      </c>
      <c r="Y128">
        <f>IFERROR(ROUND(X128*0.13,2),"")</f>
        <v/>
      </c>
      <c r="Z128">
        <f>IFERROR(X128+Y128,"")</f>
        <v/>
      </c>
      <c r="AA128" t="inlineStr">
        <is>
          <t>Tarjeta</t>
        </is>
      </c>
      <c r="AB128" t="inlineStr">
        <is>
          <t>entregar en bodega</t>
        </is>
      </c>
    </row>
    <row r="129">
      <c r="A129" t="inlineStr">
        <is>
          <t>10549</t>
        </is>
      </c>
      <c r="B129" t="inlineStr">
        <is>
          <t>23/07/2026</t>
        </is>
      </c>
      <c r="C129" t="inlineStr">
        <is>
          <t>FCF</t>
        </is>
      </c>
      <c r="D129" t="inlineStr"/>
      <c r="E129" t="inlineStr">
        <is>
          <t>S.S. Centro</t>
        </is>
      </c>
      <c r="F129" t="inlineStr">
        <is>
          <t>4a Calle Poniente #215</t>
        </is>
      </c>
      <c r="G129" t="inlineStr">
        <is>
          <t>San Salvador</t>
        </is>
      </c>
      <c r="H129" t="inlineStr">
        <is>
          <t>San Salvador</t>
        </is>
      </c>
      <c r="I129" t="inlineStr">
        <is>
          <t>Roberto Alfaro</t>
        </is>
      </c>
      <c r="J129" t="inlineStr">
        <is>
          <t>2221-4580</t>
        </is>
      </c>
      <c r="K129" t="inlineStr">
        <is>
          <t>José Martínez</t>
        </is>
      </c>
      <c r="L129" t="inlineStr">
        <is>
          <t>Mario Martínez Sorto</t>
        </is>
      </c>
      <c r="M129" t="inlineStr">
        <is>
          <t>02686393-2</t>
        </is>
      </c>
      <c r="N129" t="inlineStr">
        <is>
          <t>7413-9318</t>
        </is>
      </c>
      <c r="O129" t="inlineStr">
        <is>
          <t>Consumidor final</t>
        </is>
      </c>
      <c r="P129" t="inlineStr">
        <is>
          <t>LAC-003</t>
        </is>
      </c>
      <c r="Q129" t="inlineStr">
        <is>
          <t>Leche entera 1L</t>
        </is>
      </c>
      <c r="R129" t="inlineStr">
        <is>
          <t>Lácteos</t>
        </is>
      </c>
      <c r="S129" t="inlineStr">
        <is>
          <t>Lácteos Chalate</t>
        </is>
      </c>
      <c r="T129" t="inlineStr">
        <is>
          <t>2335-1020</t>
        </is>
      </c>
      <c r="U129" t="n">
        <v>1.2</v>
      </c>
      <c r="V129" t="n">
        <v>2</v>
      </c>
      <c r="W129" t="n">
        <v>0</v>
      </c>
      <c r="X129">
        <f>IFERROR(U129*V129*(1-W129/100),"")</f>
        <v/>
      </c>
      <c r="Y129">
        <f>IFERROR(ROUND(X129*0.13,2),"")</f>
        <v/>
      </c>
      <c r="Z129">
        <f>IFERROR(X129+Y129,"")</f>
        <v/>
      </c>
      <c r="AA129" t="inlineStr">
        <is>
          <t>Tarjeta</t>
        </is>
      </c>
      <c r="AB129" t="inlineStr">
        <is>
          <t>entregar en bodega</t>
        </is>
      </c>
    </row>
    <row r="130">
      <c r="A130" t="inlineStr">
        <is>
          <t>F-10549</t>
        </is>
      </c>
      <c r="B130" t="inlineStr">
        <is>
          <t>23/07/2026</t>
        </is>
      </c>
      <c r="C130" t="inlineStr">
        <is>
          <t>FCF</t>
        </is>
      </c>
      <c r="D130" t="inlineStr"/>
      <c r="E130" t="inlineStr">
        <is>
          <t xml:space="preserve">san salvador centro </t>
        </is>
      </c>
      <c r="F130" t="inlineStr">
        <is>
          <t>4a Calle Poniente #215</t>
        </is>
      </c>
      <c r="G130" t="inlineStr">
        <is>
          <t>San Salvador</t>
        </is>
      </c>
      <c r="H130" t="inlineStr">
        <is>
          <t>San Salvador</t>
        </is>
      </c>
      <c r="I130" t="inlineStr">
        <is>
          <t>Roberto Alfaro</t>
        </is>
      </c>
      <c r="J130" t="inlineStr">
        <is>
          <t>2221-4580</t>
        </is>
      </c>
      <c r="K130" t="inlineStr">
        <is>
          <t>José Martínez</t>
        </is>
      </c>
      <c r="L130" t="inlineStr">
        <is>
          <t>Mario Martínez Sorto</t>
        </is>
      </c>
      <c r="M130" t="inlineStr">
        <is>
          <t>02686393-2</t>
        </is>
      </c>
      <c r="N130" t="inlineStr">
        <is>
          <t>7413-9318</t>
        </is>
      </c>
      <c r="O130" t="inlineStr">
        <is>
          <t>Consumidor final</t>
        </is>
      </c>
      <c r="P130" t="inlineStr">
        <is>
          <t>HAR-001</t>
        </is>
      </c>
      <c r="Q130" t="inlineStr">
        <is>
          <t>Harina de maíz 2lb</t>
        </is>
      </c>
      <c r="R130" t="inlineStr">
        <is>
          <t>Abarrotes</t>
        </is>
      </c>
      <c r="S130" t="inlineStr">
        <is>
          <t>Granos del Pacífico</t>
        </is>
      </c>
      <c r="T130" t="inlineStr">
        <is>
          <t>2234-8890</t>
        </is>
      </c>
      <c r="U130" t="n">
        <v>1.35</v>
      </c>
      <c r="V130" t="n">
        <v>3</v>
      </c>
      <c r="W130" t="n">
        <v>0</v>
      </c>
      <c r="X130">
        <f>IFERROR(U130*V130*(1-W130/100),"")</f>
        <v/>
      </c>
      <c r="Y130">
        <f>IFERROR(ROUND(X130*0.13,2),"")</f>
        <v/>
      </c>
      <c r="Z130">
        <f>IFERROR(X130+Y130,"")</f>
        <v/>
      </c>
      <c r="AA130" t="inlineStr">
        <is>
          <t>Tarjeta</t>
        </is>
      </c>
      <c r="AB130" t="inlineStr"/>
    </row>
    <row r="131">
      <c r="A131" t="inlineStr">
        <is>
          <t>F-10551</t>
        </is>
      </c>
      <c r="B131" s="3" t="n">
        <v>46215</v>
      </c>
      <c r="C131" t="inlineStr">
        <is>
          <t>Factura</t>
        </is>
      </c>
      <c r="D131" t="inlineStr">
        <is>
          <t>SS01</t>
        </is>
      </c>
      <c r="E131" t="inlineStr">
        <is>
          <t>S.S. Centro</t>
        </is>
      </c>
      <c r="F131" t="inlineStr">
        <is>
          <t>4a Calle Poniente #215</t>
        </is>
      </c>
      <c r="G131" t="inlineStr">
        <is>
          <t>San Salvador</t>
        </is>
      </c>
      <c r="H131" t="inlineStr">
        <is>
          <t>San Salvador</t>
        </is>
      </c>
      <c r="I131" t="inlineStr">
        <is>
          <t>Roberto Alfaro</t>
        </is>
      </c>
      <c r="J131" t="inlineStr">
        <is>
          <t>2221-4580</t>
        </is>
      </c>
      <c r="K131" t="inlineStr">
        <is>
          <t>José Martínez</t>
        </is>
      </c>
      <c r="L131" t="inlineStr">
        <is>
          <t>Edwin Rivera Guevara</t>
        </is>
      </c>
      <c r="M131" t="inlineStr">
        <is>
          <t>03840762-1</t>
        </is>
      </c>
      <c r="N131" t="inlineStr">
        <is>
          <t>7817-8484</t>
        </is>
      </c>
      <c r="O131" t="inlineStr">
        <is>
          <t>Consumidor final</t>
        </is>
      </c>
      <c r="P131" t="inlineStr">
        <is>
          <t>AZU-001</t>
        </is>
      </c>
      <c r="Q131" t="inlineStr">
        <is>
          <t>Azúcar blanca 2.5kg</t>
        </is>
      </c>
      <c r="R131" t="inlineStr">
        <is>
          <t>Abarrotes</t>
        </is>
      </c>
      <c r="S131" t="inlineStr">
        <is>
          <t>Granos del Pacífico</t>
        </is>
      </c>
      <c r="T131" t="inlineStr">
        <is>
          <t>2234-8890</t>
        </is>
      </c>
      <c r="U131" t="n">
        <v>3.1</v>
      </c>
      <c r="V131" t="n">
        <v>6</v>
      </c>
      <c r="W131" t="n">
        <v>0</v>
      </c>
      <c r="X131">
        <f>IFERROR(U131*V131*(1-W131/100),"")</f>
        <v/>
      </c>
      <c r="Y131">
        <f>IFERROR(ROUND(X131*0.13,2),"")</f>
        <v/>
      </c>
      <c r="Z131">
        <f>IFERROR(X131+Y131,"")</f>
        <v/>
      </c>
      <c r="AA131" t="inlineStr">
        <is>
          <t>Bitcoin</t>
        </is>
      </c>
      <c r="AB131" t="inlineStr"/>
    </row>
    <row r="132">
      <c r="A132" t="inlineStr">
        <is>
          <t>F-10551</t>
        </is>
      </c>
      <c r="B132" s="3" t="n">
        <v>46215</v>
      </c>
      <c r="C132" t="inlineStr">
        <is>
          <t>Factura</t>
        </is>
      </c>
      <c r="D132" t="inlineStr">
        <is>
          <t>SS01</t>
        </is>
      </c>
      <c r="E132" t="inlineStr">
        <is>
          <t>San Salvador Centro</t>
        </is>
      </c>
      <c r="F132" t="inlineStr">
        <is>
          <t>4a Calle Poniente #215</t>
        </is>
      </c>
      <c r="G132" t="inlineStr">
        <is>
          <t>San Salvador</t>
        </is>
      </c>
      <c r="H132" t="inlineStr">
        <is>
          <t>San Salvador</t>
        </is>
      </c>
      <c r="I132" t="inlineStr">
        <is>
          <t>Roberto Alfaro</t>
        </is>
      </c>
      <c r="J132" t="inlineStr">
        <is>
          <t>2221-4580</t>
        </is>
      </c>
      <c r="K132" t="inlineStr">
        <is>
          <t>José Martínez</t>
        </is>
      </c>
      <c r="L132" t="inlineStr">
        <is>
          <t>Edwin Rivera Guevara</t>
        </is>
      </c>
      <c r="M132" t="inlineStr">
        <is>
          <t>03840762-1</t>
        </is>
      </c>
      <c r="N132" t="inlineStr">
        <is>
          <t>7817-8484</t>
        </is>
      </c>
      <c r="O132" t="inlineStr">
        <is>
          <t>Consumidor final</t>
        </is>
      </c>
      <c r="P132" t="inlineStr">
        <is>
          <t>BEB-002</t>
        </is>
      </c>
      <c r="Q132" t="inlineStr">
        <is>
          <t>Agua purificada 1 galón</t>
        </is>
      </c>
      <c r="R132" t="inlineStr">
        <is>
          <t>Bebidas</t>
        </is>
      </c>
      <c r="S132" t="inlineStr">
        <is>
          <t>Bebidas Izalco</t>
        </is>
      </c>
      <c r="T132" t="inlineStr">
        <is>
          <t>2450-7700</t>
        </is>
      </c>
      <c r="U132" t="n">
        <v>1.1</v>
      </c>
      <c r="V132" t="n">
        <v>6</v>
      </c>
      <c r="W132" t="n">
        <v>0</v>
      </c>
      <c r="X132">
        <f>IFERROR(U132*V132*(1-W132/100),"")</f>
        <v/>
      </c>
      <c r="Y132">
        <f>IFERROR(ROUND(X132*0.13,2),"")</f>
        <v/>
      </c>
      <c r="Z132">
        <f>IFERROR(X132+Y132,"")</f>
        <v/>
      </c>
      <c r="AA132" t="inlineStr">
        <is>
          <t>Bitcoin</t>
        </is>
      </c>
      <c r="AB132" t="inlineStr">
        <is>
          <t>Llamar al 7788-1234 antes de entregar</t>
        </is>
      </c>
    </row>
    <row r="133">
      <c r="A133" t="inlineStr">
        <is>
          <t>F-10551</t>
        </is>
      </c>
      <c r="B133" s="3" t="n">
        <v>46215</v>
      </c>
      <c r="C133" t="inlineStr">
        <is>
          <t>Factura</t>
        </is>
      </c>
      <c r="D133" t="inlineStr">
        <is>
          <t>SS01</t>
        </is>
      </c>
      <c r="E133" t="inlineStr">
        <is>
          <t>San Salvador Centro</t>
        </is>
      </c>
      <c r="F133" t="inlineStr">
        <is>
          <t>4a Calle Poniente #215</t>
        </is>
      </c>
      <c r="G133" t="inlineStr">
        <is>
          <t>San Salvador</t>
        </is>
      </c>
      <c r="H133" t="inlineStr">
        <is>
          <t>San Salvador</t>
        </is>
      </c>
      <c r="I133" t="inlineStr">
        <is>
          <t>Roberto Alfaro</t>
        </is>
      </c>
      <c r="J133" t="inlineStr">
        <is>
          <t>2221-4580</t>
        </is>
      </c>
      <c r="K133" t="inlineStr">
        <is>
          <t>José Martínez</t>
        </is>
      </c>
      <c r="L133" t="inlineStr">
        <is>
          <t>Edwin Rivera Guevara</t>
        </is>
      </c>
      <c r="M133" t="inlineStr">
        <is>
          <t>03840762-1</t>
        </is>
      </c>
      <c r="N133" t="inlineStr">
        <is>
          <t>7817-8484</t>
        </is>
      </c>
      <c r="O133" t="inlineStr">
        <is>
          <t>Consumidor final</t>
        </is>
      </c>
      <c r="P133" t="inlineStr">
        <is>
          <t>HAR-001</t>
        </is>
      </c>
      <c r="Q133" t="inlineStr">
        <is>
          <t>Harina de maíz 2lb</t>
        </is>
      </c>
      <c r="R133" t="inlineStr">
        <is>
          <t>Abarrotes</t>
        </is>
      </c>
      <c r="S133" t="inlineStr">
        <is>
          <t>Granos del Pacífico</t>
        </is>
      </c>
      <c r="T133" t="inlineStr">
        <is>
          <t>2234-8890</t>
        </is>
      </c>
      <c r="U133" t="n">
        <v>1.35</v>
      </c>
      <c r="V133" t="n">
        <v>6</v>
      </c>
      <c r="W133" t="n">
        <v>0</v>
      </c>
      <c r="X133">
        <f>IFERROR(U133*V133*(1-W133/100),"")</f>
        <v/>
      </c>
      <c r="Y133">
        <f>IFERROR(ROUND(X133*0.13,2),"")</f>
        <v/>
      </c>
      <c r="Z133">
        <f>IFERROR(X133+Y133,"")</f>
        <v/>
      </c>
      <c r="AA133" t="inlineStr">
        <is>
          <t>Bitcoin</t>
        </is>
      </c>
      <c r="AB133" t="inlineStr">
        <is>
          <t>Cliente frecuente</t>
        </is>
      </c>
    </row>
    <row r="134">
      <c r="A134" t="inlineStr">
        <is>
          <t>F-10551</t>
        </is>
      </c>
      <c r="B134" s="3" t="n">
        <v>46215</v>
      </c>
      <c r="C134" t="inlineStr">
        <is>
          <t>Factura</t>
        </is>
      </c>
      <c r="D134" t="inlineStr">
        <is>
          <t>SS01</t>
        </is>
      </c>
      <c r="E134" t="inlineStr">
        <is>
          <t>S.S. Centro</t>
        </is>
      </c>
      <c r="F134" t="inlineStr">
        <is>
          <t>4a Calle Poniente #215</t>
        </is>
      </c>
      <c r="G134" t="inlineStr">
        <is>
          <t>San Salvador</t>
        </is>
      </c>
      <c r="H134" t="inlineStr">
        <is>
          <t>San Salvador</t>
        </is>
      </c>
      <c r="I134" t="inlineStr">
        <is>
          <t>Roberto Alfaro</t>
        </is>
      </c>
      <c r="J134" t="inlineStr">
        <is>
          <t>2221-4580</t>
        </is>
      </c>
      <c r="K134" t="inlineStr">
        <is>
          <t>José Martínez</t>
        </is>
      </c>
      <c r="L134" t="inlineStr">
        <is>
          <t>Edwin Rivera Guevara</t>
        </is>
      </c>
      <c r="M134" t="inlineStr">
        <is>
          <t>03840762-1</t>
        </is>
      </c>
      <c r="N134" t="inlineStr">
        <is>
          <t>7817-8484</t>
        </is>
      </c>
      <c r="O134" t="inlineStr">
        <is>
          <t>Consumidor final</t>
        </is>
      </c>
      <c r="P134" t="inlineStr">
        <is>
          <t>LAC-002</t>
        </is>
      </c>
      <c r="Q134" t="inlineStr">
        <is>
          <t>Crema 500ml</t>
        </is>
      </c>
      <c r="R134" t="inlineStr">
        <is>
          <t>Lácteos</t>
        </is>
      </c>
      <c r="S134" t="inlineStr">
        <is>
          <t>Lácteos Chalate</t>
        </is>
      </c>
      <c r="T134" t="inlineStr">
        <is>
          <t>2335-1020</t>
        </is>
      </c>
      <c r="U134" t="n">
        <v>2.25</v>
      </c>
      <c r="V134" t="n">
        <v>3</v>
      </c>
      <c r="W134" t="n">
        <v>0</v>
      </c>
      <c r="X134">
        <f>IFERROR(U134*V134*(1-W134/100),"")</f>
        <v/>
      </c>
      <c r="Y134">
        <f>IFERROR(ROUND(X134*0.13,2),"")</f>
        <v/>
      </c>
      <c r="Z134">
        <f>IFERROR(X134+Y134,"")</f>
        <v/>
      </c>
      <c r="AA134" t="inlineStr">
        <is>
          <t>Bitcoin</t>
        </is>
      </c>
      <c r="AB134" t="inlineStr"/>
    </row>
    <row r="135">
      <c r="A135" t="inlineStr">
        <is>
          <t>F-10554</t>
        </is>
      </c>
      <c r="B135" s="3" t="n">
        <v>46218</v>
      </c>
      <c r="C135" t="inlineStr">
        <is>
          <t>Factura</t>
        </is>
      </c>
      <c r="D135" t="inlineStr">
        <is>
          <t>SS01</t>
        </is>
      </c>
      <c r="E135" t="inlineStr">
        <is>
          <t>San Salvador Centro</t>
        </is>
      </c>
      <c r="F135" t="inlineStr">
        <is>
          <t>4a Calle Poniente #215</t>
        </is>
      </c>
      <c r="G135" t="inlineStr">
        <is>
          <t>San Salvador</t>
        </is>
      </c>
      <c r="H135" t="inlineStr">
        <is>
          <t>San Salvador</t>
        </is>
      </c>
      <c r="I135" t="inlineStr">
        <is>
          <t>Roberto Alfaro</t>
        </is>
      </c>
      <c r="J135" t="inlineStr">
        <is>
          <t>2221-4580</t>
        </is>
      </c>
      <c r="K135" t="inlineStr">
        <is>
          <t>Daniela Orellana</t>
        </is>
      </c>
      <c r="L135" t="inlineStr">
        <is>
          <t>Rosa Flores Cornejo</t>
        </is>
      </c>
      <c r="M135" t="inlineStr">
        <is>
          <t>00476760-8</t>
        </is>
      </c>
      <c r="N135" t="inlineStr">
        <is>
          <t>7668-7502</t>
        </is>
      </c>
      <c r="O135" t="inlineStr">
        <is>
          <t>Consumidor final</t>
        </is>
      </c>
      <c r="P135" t="inlineStr">
        <is>
          <t>PAN-002</t>
        </is>
      </c>
      <c r="Q135" t="inlineStr">
        <is>
          <t>Semita alta</t>
        </is>
      </c>
      <c r="R135" t="inlineStr">
        <is>
          <t>Panadería</t>
        </is>
      </c>
      <c r="S135" t="inlineStr">
        <is>
          <t>Panificadora Ilopango</t>
        </is>
      </c>
      <c r="T135" t="inlineStr">
        <is>
          <t>2295-0081</t>
        </is>
      </c>
      <c r="U135" t="n">
        <v>1.75</v>
      </c>
      <c r="V135" t="n">
        <v>3</v>
      </c>
      <c r="W135" t="n">
        <v>0</v>
      </c>
      <c r="X135">
        <f>IFERROR(U135*V135*(1-W135/100),"")</f>
        <v/>
      </c>
      <c r="Y135">
        <f>IFERROR(ROUND(X135*0.13,2),"")</f>
        <v/>
      </c>
      <c r="Z135">
        <f>IFERROR(X135+Y135,"")</f>
        <v/>
      </c>
      <c r="AA135" t="inlineStr">
        <is>
          <t>Tarjeta</t>
        </is>
      </c>
      <c r="AB135" t="inlineStr">
        <is>
          <t>pagó con billete de $100</t>
        </is>
      </c>
    </row>
    <row r="136">
      <c r="A136" t="inlineStr">
        <is>
          <t>F-10554</t>
        </is>
      </c>
      <c r="B136" s="3" t="n">
        <v>46218</v>
      </c>
      <c r="C136" t="inlineStr">
        <is>
          <t>Factura</t>
        </is>
      </c>
      <c r="D136" t="inlineStr">
        <is>
          <t>SS01</t>
        </is>
      </c>
      <c r="E136" t="inlineStr">
        <is>
          <t>SAN SALVADOR CENTRO</t>
        </is>
      </c>
      <c r="F136" t="inlineStr">
        <is>
          <t>4a Calle Poniente #215</t>
        </is>
      </c>
      <c r="G136" t="inlineStr">
        <is>
          <t>San Salvador</t>
        </is>
      </c>
      <c r="H136" t="inlineStr">
        <is>
          <t>San Salvador</t>
        </is>
      </c>
      <c r="I136" t="inlineStr">
        <is>
          <t>Roberto Alfaro</t>
        </is>
      </c>
      <c r="J136" t="inlineStr">
        <is>
          <t>2221-4580</t>
        </is>
      </c>
      <c r="K136" t="inlineStr">
        <is>
          <t>Daniela Orellana</t>
        </is>
      </c>
      <c r="L136" t="inlineStr">
        <is>
          <t>Rosa Flores Cornejo</t>
        </is>
      </c>
      <c r="M136" t="inlineStr">
        <is>
          <t>00476760-8</t>
        </is>
      </c>
      <c r="N136" t="inlineStr">
        <is>
          <t>7668-7502</t>
        </is>
      </c>
      <c r="O136" t="inlineStr">
        <is>
          <t>Consumidor final</t>
        </is>
      </c>
      <c r="P136" t="inlineStr">
        <is>
          <t>BEB-003</t>
        </is>
      </c>
      <c r="Q136" t="inlineStr">
        <is>
          <t>Horchata en polvo 400g</t>
        </is>
      </c>
      <c r="R136" t="inlineStr">
        <is>
          <t>Bebidas</t>
        </is>
      </c>
      <c r="S136" t="inlineStr">
        <is>
          <t>Bebidas Izalco</t>
        </is>
      </c>
      <c r="T136" t="inlineStr">
        <is>
          <t>2450-7700</t>
        </is>
      </c>
      <c r="U136" t="n">
        <v>2.6</v>
      </c>
      <c r="V136" t="n">
        <v>24</v>
      </c>
      <c r="W136" t="n">
        <v>0</v>
      </c>
      <c r="X136">
        <f>IFERROR(U136*V136*(1-W136/100),"")</f>
        <v/>
      </c>
      <c r="Y136">
        <f>IFERROR(ROUND(X136*0.13,2),"")</f>
        <v/>
      </c>
      <c r="Z136">
        <f>IFERROR(X136+Y136,"")</f>
        <v/>
      </c>
      <c r="AA136" t="inlineStr">
        <is>
          <t>Tarjeta</t>
        </is>
      </c>
      <c r="AB136" t="inlineStr"/>
    </row>
    <row r="137">
      <c r="A137" t="inlineStr">
        <is>
          <t>F-10554</t>
        </is>
      </c>
      <c r="B137" s="3" t="n">
        <v>46218</v>
      </c>
      <c r="C137" t="inlineStr">
        <is>
          <t>Factura</t>
        </is>
      </c>
      <c r="D137" t="inlineStr">
        <is>
          <t>SS01</t>
        </is>
      </c>
      <c r="E137" t="inlineStr">
        <is>
          <t xml:space="preserve">san salvador centro </t>
        </is>
      </c>
      <c r="F137" t="inlineStr">
        <is>
          <t>4a Calle Poniente #215</t>
        </is>
      </c>
      <c r="G137" t="inlineStr">
        <is>
          <t>San Salvador</t>
        </is>
      </c>
      <c r="H137" t="inlineStr">
        <is>
          <t>San Salvador</t>
        </is>
      </c>
      <c r="I137" t="inlineStr">
        <is>
          <t>Roberto Alfaro</t>
        </is>
      </c>
      <c r="J137" t="inlineStr">
        <is>
          <t>2221-4580</t>
        </is>
      </c>
      <c r="K137" t="inlineStr">
        <is>
          <t>Daniela Orellana</t>
        </is>
      </c>
      <c r="L137" t="inlineStr">
        <is>
          <t>Rosa Flores Cornejo</t>
        </is>
      </c>
      <c r="M137" t="inlineStr">
        <is>
          <t>00476760-8</t>
        </is>
      </c>
      <c r="N137" t="inlineStr">
        <is>
          <t>7668-7502</t>
        </is>
      </c>
      <c r="O137" t="inlineStr">
        <is>
          <t>Consumidor final</t>
        </is>
      </c>
      <c r="P137" t="inlineStr">
        <is>
          <t>FRI-001</t>
        </is>
      </c>
      <c r="Q137" t="inlineStr">
        <is>
          <t>Frijol rojo de seda 2lb</t>
        </is>
      </c>
      <c r="R137" t="inlineStr">
        <is>
          <t>Abarrotes</t>
        </is>
      </c>
      <c r="S137" t="inlineStr">
        <is>
          <t>Granos del Pacífico</t>
        </is>
      </c>
      <c r="T137" t="inlineStr">
        <is>
          <t>2234-8890</t>
        </is>
      </c>
      <c r="U137" t="inlineStr">
        <is>
          <t>$2.40</t>
        </is>
      </c>
      <c r="V137" t="n">
        <v>6</v>
      </c>
      <c r="W137" t="n">
        <v>0</v>
      </c>
      <c r="X137">
        <f>IFERROR(U137*V137*(1-W137/100),"")</f>
        <v/>
      </c>
      <c r="Y137">
        <f>IFERROR(ROUND(X137*0.13,2),"")</f>
        <v/>
      </c>
      <c r="Z137">
        <f>IFERROR(X137+Y137,"")</f>
        <v/>
      </c>
      <c r="AA137" t="inlineStr">
        <is>
          <t>Tarjeta</t>
        </is>
      </c>
      <c r="AB137" t="inlineStr">
        <is>
          <t>pagó con billete de $100</t>
        </is>
      </c>
    </row>
    <row r="138">
      <c r="A138" t="inlineStr">
        <is>
          <t>F-10557</t>
        </is>
      </c>
      <c r="B138" s="3" t="n">
        <v>46291</v>
      </c>
      <c r="C138" t="inlineStr">
        <is>
          <t>Factura</t>
        </is>
      </c>
      <c r="D138" t="inlineStr">
        <is>
          <t>SS03</t>
        </is>
      </c>
      <c r="E138" t="inlineStr">
        <is>
          <t xml:space="preserve">SOYAPANGO </t>
        </is>
      </c>
      <c r="F138" t="inlineStr">
        <is>
          <t>Blvd. del Ejército km 4</t>
        </is>
      </c>
      <c r="G138" t="inlineStr">
        <is>
          <t>Soyapango</t>
        </is>
      </c>
      <c r="H138" t="inlineStr">
        <is>
          <t>San Salvador</t>
        </is>
      </c>
      <c r="I138" t="inlineStr">
        <is>
          <t>Karla Henríquez</t>
        </is>
      </c>
      <c r="J138" t="inlineStr">
        <is>
          <t>2277-3402</t>
        </is>
      </c>
      <c r="K138" t="inlineStr">
        <is>
          <t>Carlos Molina</t>
        </is>
      </c>
      <c r="L138" t="inlineStr">
        <is>
          <t>Patricia Argueta Mejía</t>
        </is>
      </c>
      <c r="M138" t="inlineStr">
        <is>
          <t>01586554-3</t>
        </is>
      </c>
      <c r="N138" t="inlineStr">
        <is>
          <t>2105-2525</t>
        </is>
      </c>
      <c r="O138" t="inlineStr">
        <is>
          <t>Consumidor final</t>
        </is>
      </c>
      <c r="P138" t="inlineStr">
        <is>
          <t>BEB-001</t>
        </is>
      </c>
      <c r="Q138" t="inlineStr">
        <is>
          <t>Gaseosa 2.5L</t>
        </is>
      </c>
      <c r="R138" t="inlineStr">
        <is>
          <t>bebidas</t>
        </is>
      </c>
      <c r="S138" t="inlineStr">
        <is>
          <t>Bebidas Izalco</t>
        </is>
      </c>
      <c r="T138" t="inlineStr">
        <is>
          <t>2450-7700</t>
        </is>
      </c>
      <c r="U138" t="n">
        <v>1.95</v>
      </c>
      <c r="V138" t="n">
        <v>1</v>
      </c>
      <c r="W138" t="n">
        <v>0</v>
      </c>
      <c r="X138">
        <f>IFERROR(U138*V138*(1-W138/100),"")</f>
        <v/>
      </c>
      <c r="Y138">
        <f>IFERROR(ROUND(X138*0.13,2),"")</f>
        <v/>
      </c>
      <c r="Z138">
        <f>IFERROR(X138+Y138,"")</f>
        <v/>
      </c>
      <c r="AA138" t="inlineStr">
        <is>
          <t>Efectivo</t>
        </is>
      </c>
      <c r="AB138" t="inlineStr">
        <is>
          <t>entregar en bodega</t>
        </is>
      </c>
    </row>
    <row r="139">
      <c r="A139" t="inlineStr">
        <is>
          <t>F-10557</t>
        </is>
      </c>
      <c r="B139" s="3" t="n">
        <v>46291</v>
      </c>
      <c r="C139" t="inlineStr">
        <is>
          <t>Factura</t>
        </is>
      </c>
      <c r="D139" t="inlineStr">
        <is>
          <t>SS03</t>
        </is>
      </c>
      <c r="E139" t="inlineStr">
        <is>
          <t>soyapango</t>
        </is>
      </c>
      <c r="F139" t="inlineStr">
        <is>
          <t>Blvd. del Ejército km 4</t>
        </is>
      </c>
      <c r="G139" t="inlineStr">
        <is>
          <t>Soyapango</t>
        </is>
      </c>
      <c r="H139" t="inlineStr">
        <is>
          <t>San Salvador</t>
        </is>
      </c>
      <c r="I139" t="inlineStr">
        <is>
          <t>Karla Henríquez</t>
        </is>
      </c>
      <c r="J139" t="inlineStr">
        <is>
          <t>2277-3402</t>
        </is>
      </c>
      <c r="K139" t="inlineStr">
        <is>
          <t>Carlos Molina</t>
        </is>
      </c>
      <c r="L139" t="inlineStr">
        <is>
          <t>Patricia Argueta Mejía</t>
        </is>
      </c>
      <c r="M139" t="inlineStr">
        <is>
          <t>01586554-3</t>
        </is>
      </c>
      <c r="N139" t="inlineStr">
        <is>
          <t>2105-2525</t>
        </is>
      </c>
      <c r="O139" t="inlineStr">
        <is>
          <t>Consumidor final</t>
        </is>
      </c>
      <c r="P139" t="inlineStr">
        <is>
          <t>HAR-001</t>
        </is>
      </c>
      <c r="Q139" t="inlineStr">
        <is>
          <t>Harina de maíz 2lb</t>
        </is>
      </c>
      <c r="R139" t="inlineStr">
        <is>
          <t>Abarrotes</t>
        </is>
      </c>
      <c r="S139" t="inlineStr">
        <is>
          <t>Granos del Pacífico</t>
        </is>
      </c>
      <c r="T139" t="inlineStr">
        <is>
          <t>2234-8890</t>
        </is>
      </c>
      <c r="U139" t="n">
        <v>1.35</v>
      </c>
      <c r="V139" t="n">
        <v>2</v>
      </c>
      <c r="W139" t="n">
        <v>0</v>
      </c>
      <c r="X139">
        <f>IFERROR(U139*V139*(1-W139/100),"")</f>
        <v/>
      </c>
      <c r="Y139">
        <f>IFERROR(ROUND(X139*0.13,2),"")</f>
        <v/>
      </c>
      <c r="Z139">
        <f>IFERROR(X139+Y139,"")</f>
        <v/>
      </c>
      <c r="AA139" t="inlineStr">
        <is>
          <t>Efectivo</t>
        </is>
      </c>
      <c r="AB139" t="inlineStr"/>
    </row>
    <row r="140">
      <c r="A140" t="inlineStr">
        <is>
          <t>F-10559</t>
        </is>
      </c>
      <c r="B140" t="inlineStr">
        <is>
          <t>07/09/2026</t>
        </is>
      </c>
      <c r="C140" t="inlineStr">
        <is>
          <t>Factura</t>
        </is>
      </c>
      <c r="D140" t="inlineStr">
        <is>
          <t>SS01</t>
        </is>
      </c>
      <c r="E140" t="inlineStr">
        <is>
          <t>San Salvador Centro</t>
        </is>
      </c>
      <c r="F140" t="inlineStr">
        <is>
          <t>4a Calle Poniente #215</t>
        </is>
      </c>
      <c r="G140" t="inlineStr">
        <is>
          <t>San Salvador</t>
        </is>
      </c>
      <c r="H140" t="inlineStr">
        <is>
          <t>San Salvador</t>
        </is>
      </c>
      <c r="I140" t="inlineStr">
        <is>
          <t>Roberto Alfaro</t>
        </is>
      </c>
      <c r="J140" t="inlineStr">
        <is>
          <t>2221-4580</t>
        </is>
      </c>
      <c r="K140" t="inlineStr">
        <is>
          <t>José Martínez</t>
        </is>
      </c>
      <c r="L140" t="inlineStr">
        <is>
          <t>Carmen Quintanilla Mejía</t>
        </is>
      </c>
      <c r="M140" t="inlineStr">
        <is>
          <t>05832730-5</t>
        </is>
      </c>
      <c r="N140" t="inlineStr">
        <is>
          <t>6863-9414</t>
        </is>
      </c>
      <c r="O140" t="inlineStr">
        <is>
          <t>Consumidor final</t>
        </is>
      </c>
      <c r="P140" t="inlineStr">
        <is>
          <t>LAC-002</t>
        </is>
      </c>
      <c r="Q140" t="inlineStr">
        <is>
          <t>Crema 500ml</t>
        </is>
      </c>
      <c r="R140" t="inlineStr">
        <is>
          <t>Lácteos</t>
        </is>
      </c>
      <c r="S140" t="inlineStr">
        <is>
          <t>Lácteos Chalate</t>
        </is>
      </c>
      <c r="T140" t="inlineStr">
        <is>
          <t>7120-4455</t>
        </is>
      </c>
      <c r="U140" t="inlineStr">
        <is>
          <t>$2.25</t>
        </is>
      </c>
      <c r="V140" t="n">
        <v>6</v>
      </c>
      <c r="W140" t="n">
        <v>0</v>
      </c>
      <c r="X140">
        <f>IFERROR(U140*V140*(1-W140/100),"")</f>
        <v/>
      </c>
      <c r="Y140">
        <f>IFERROR(ROUND(X140*0.13,2),"")</f>
        <v/>
      </c>
      <c r="Z140">
        <f>IFERROR(X140+Y140,"")</f>
        <v/>
      </c>
      <c r="AA140" t="inlineStr">
        <is>
          <t>Transferencia</t>
        </is>
      </c>
      <c r="AB140" t="inlineStr">
        <is>
          <t>precio especial autorizado por gerente</t>
        </is>
      </c>
    </row>
    <row r="141">
      <c r="A141" t="inlineStr">
        <is>
          <t>F-10562</t>
        </is>
      </c>
      <c r="B141" t="inlineStr">
        <is>
          <t>30/08/2026</t>
        </is>
      </c>
      <c r="C141" t="inlineStr">
        <is>
          <t>FCF</t>
        </is>
      </c>
      <c r="D141" t="inlineStr">
        <is>
          <t>SM01</t>
        </is>
      </c>
      <c r="E141" t="inlineStr">
        <is>
          <t>San Miguel</t>
        </is>
      </c>
      <c r="F141" t="inlineStr">
        <is>
          <t>Av. Roosevelt Sur #7</t>
        </is>
      </c>
      <c r="G141" t="inlineStr">
        <is>
          <t>San Miguel</t>
        </is>
      </c>
      <c r="H141" t="inlineStr">
        <is>
          <t>San Miguel</t>
        </is>
      </c>
      <c r="I141" t="inlineStr">
        <is>
          <t>Iris Portillo</t>
        </is>
      </c>
      <c r="J141" t="inlineStr">
        <is>
          <t>2661-5076</t>
        </is>
      </c>
      <c r="K141" t="inlineStr">
        <is>
          <t>Paola Cruz</t>
        </is>
      </c>
      <c r="L141" t="inlineStr">
        <is>
          <t>Douglas Pérez Guevara</t>
        </is>
      </c>
      <c r="M141" t="inlineStr">
        <is>
          <t>09863904-2</t>
        </is>
      </c>
      <c r="N141" t="inlineStr">
        <is>
          <t>7997-9269</t>
        </is>
      </c>
      <c r="O141" t="inlineStr">
        <is>
          <t>Consumidor final</t>
        </is>
      </c>
      <c r="P141" t="inlineStr">
        <is>
          <t>CAF-001</t>
        </is>
      </c>
      <c r="Q141" t="inlineStr">
        <is>
          <t>Café molido 400g</t>
        </is>
      </c>
      <c r="R141" t="inlineStr">
        <is>
          <t>ABARROTES</t>
        </is>
      </c>
      <c r="S141" t="inlineStr">
        <is>
          <t>Café Volcán S.A.</t>
        </is>
      </c>
      <c r="T141" t="inlineStr">
        <is>
          <t>2510-3344</t>
        </is>
      </c>
      <c r="U141" t="n">
        <v>4.25</v>
      </c>
      <c r="V141" t="n">
        <v>1</v>
      </c>
      <c r="W141" t="n">
        <v>0</v>
      </c>
      <c r="X141">
        <f>IFERROR(U141*V141*(1-W141/100),"")</f>
        <v/>
      </c>
      <c r="Y141">
        <f>IFERROR(ROUND(X141*0.13,2),"")</f>
        <v/>
      </c>
      <c r="Z141">
        <f>IFERROR(X141+Y141,"")</f>
        <v/>
      </c>
      <c r="AA141" t="inlineStr">
        <is>
          <t>Efectivo</t>
        </is>
      </c>
      <c r="AB141" t="inlineStr"/>
    </row>
    <row r="142">
      <c r="A142" t="inlineStr">
        <is>
          <t>F-10562</t>
        </is>
      </c>
      <c r="B142" s="3" t="n">
        <v>46264</v>
      </c>
      <c r="C142" t="inlineStr">
        <is>
          <t>FCF</t>
        </is>
      </c>
      <c r="D142" t="inlineStr">
        <is>
          <t>SM01</t>
        </is>
      </c>
      <c r="E142" t="inlineStr">
        <is>
          <t>SAN MIGUEL</t>
        </is>
      </c>
      <c r="F142" t="inlineStr">
        <is>
          <t>Av. Roosevelt Sur #7</t>
        </is>
      </c>
      <c r="G142" t="inlineStr">
        <is>
          <t>San Miguel</t>
        </is>
      </c>
      <c r="H142" t="inlineStr">
        <is>
          <t>San Miguel</t>
        </is>
      </c>
      <c r="I142" t="inlineStr">
        <is>
          <t>Iris Portillo</t>
        </is>
      </c>
      <c r="J142" t="inlineStr">
        <is>
          <t>2661-5076</t>
        </is>
      </c>
      <c r="K142" t="inlineStr">
        <is>
          <t>Paola Cruz</t>
        </is>
      </c>
      <c r="L142" t="inlineStr">
        <is>
          <t>Douglas Pérez Guevara</t>
        </is>
      </c>
      <c r="M142" t="inlineStr">
        <is>
          <t>09863904-2</t>
        </is>
      </c>
      <c r="N142" t="inlineStr">
        <is>
          <t>7997-9269</t>
        </is>
      </c>
      <c r="O142" t="inlineStr">
        <is>
          <t>Consumidor final</t>
        </is>
      </c>
      <c r="P142" t="inlineStr">
        <is>
          <t>PAN-002</t>
        </is>
      </c>
      <c r="Q142" t="inlineStr">
        <is>
          <t>Semita alta</t>
        </is>
      </c>
      <c r="R142" t="inlineStr">
        <is>
          <t>Panadería</t>
        </is>
      </c>
      <c r="S142" t="inlineStr">
        <is>
          <t>Panificadora Ilopango</t>
        </is>
      </c>
      <c r="T142" t="inlineStr">
        <is>
          <t>2295-0081</t>
        </is>
      </c>
      <c r="U142" t="n">
        <v>1.75</v>
      </c>
      <c r="V142" t="n">
        <v>2</v>
      </c>
      <c r="W142" t="n">
        <v>0</v>
      </c>
      <c r="X142">
        <f>IFERROR(U142*V142*(1-W142/100),"")</f>
        <v/>
      </c>
      <c r="Y142">
        <f>IFERROR(ROUND(X142*0.13,2),"")</f>
        <v/>
      </c>
      <c r="Z142">
        <f>IFERROR(X142+Y142,"")</f>
        <v/>
      </c>
      <c r="AA142" t="inlineStr">
        <is>
          <t>Efectivo</t>
        </is>
      </c>
      <c r="AB142" t="inlineStr">
        <is>
          <t>entregar en bodega</t>
        </is>
      </c>
    </row>
    <row r="143">
      <c r="A143" t="inlineStr">
        <is>
          <t>F-10564</t>
        </is>
      </c>
      <c r="B143" t="inlineStr">
        <is>
          <t>2026-07-19</t>
        </is>
      </c>
      <c r="C143" t="inlineStr">
        <is>
          <t>Factura</t>
        </is>
      </c>
      <c r="D143" t="inlineStr">
        <is>
          <t>LL01</t>
        </is>
      </c>
      <c r="E143" t="inlineStr">
        <is>
          <t>SANTA TECLA</t>
        </is>
      </c>
      <c r="F143" t="inlineStr">
        <is>
          <t>Calle Daniel Hernández #18</t>
        </is>
      </c>
      <c r="G143" t="inlineStr">
        <is>
          <t>Santa Tecla</t>
        </is>
      </c>
      <c r="H143" t="inlineStr">
        <is>
          <t>La Libertad</t>
        </is>
      </c>
      <c r="I143" t="inlineStr">
        <is>
          <t>Óscar Rivas</t>
        </is>
      </c>
      <c r="J143" t="inlineStr">
        <is>
          <t>2228-7731</t>
        </is>
      </c>
      <c r="K143" t="inlineStr">
        <is>
          <t>Luis Escobar</t>
        </is>
      </c>
      <c r="L143" t="inlineStr">
        <is>
          <t>Patricia Argueta Mejía</t>
        </is>
      </c>
      <c r="M143" t="inlineStr">
        <is>
          <t>01586554-3</t>
        </is>
      </c>
      <c r="N143" t="inlineStr">
        <is>
          <t>2105-2525</t>
        </is>
      </c>
      <c r="O143" t="inlineStr">
        <is>
          <t>Consumidor final</t>
        </is>
      </c>
      <c r="P143" t="inlineStr">
        <is>
          <t>HIG-001</t>
        </is>
      </c>
      <c r="Q143" t="inlineStr">
        <is>
          <t>Detergente 1kg</t>
        </is>
      </c>
      <c r="R143" t="inlineStr">
        <is>
          <t>Limpieza</t>
        </is>
      </c>
      <c r="S143" t="inlineStr">
        <is>
          <t>Higiene Total C.A.</t>
        </is>
      </c>
      <c r="T143" t="inlineStr">
        <is>
          <t>2207-5566</t>
        </is>
      </c>
      <c r="U143" t="inlineStr">
        <is>
          <t>$3.45</t>
        </is>
      </c>
      <c r="V143" t="n">
        <v>4</v>
      </c>
      <c r="W143" t="n">
        <v>0</v>
      </c>
      <c r="X143">
        <f>IFERROR(U143*V143*(1-W143/100),"")</f>
        <v/>
      </c>
      <c r="Y143">
        <f>IFERROR(ROUND(X143*0.13,2),"")</f>
        <v/>
      </c>
      <c r="Z143">
        <f>IFERROR(X143+Y143,"")</f>
        <v/>
      </c>
      <c r="AA143" t="inlineStr">
        <is>
          <t>Tarjeta</t>
        </is>
      </c>
      <c r="AB143" t="inlineStr"/>
    </row>
    <row r="144">
      <c r="A144" t="inlineStr">
        <is>
          <t>F-10564</t>
        </is>
      </c>
      <c r="B144" s="3" t="n">
        <v>46222</v>
      </c>
      <c r="C144" t="inlineStr">
        <is>
          <t>Factura</t>
        </is>
      </c>
      <c r="D144" t="inlineStr">
        <is>
          <t>LL01</t>
        </is>
      </c>
      <c r="E144" t="inlineStr">
        <is>
          <t>Sta. Tecla</t>
        </is>
      </c>
      <c r="F144" t="inlineStr">
        <is>
          <t>Calle Daniel Hernández #18</t>
        </is>
      </c>
      <c r="G144" t="inlineStr">
        <is>
          <t>Santa Tecla</t>
        </is>
      </c>
      <c r="H144" t="inlineStr">
        <is>
          <t>La Libertad</t>
        </is>
      </c>
      <c r="I144" t="inlineStr">
        <is>
          <t>Óscar Rivas</t>
        </is>
      </c>
      <c r="J144" t="inlineStr">
        <is>
          <t>2228-7731</t>
        </is>
      </c>
      <c r="K144" t="inlineStr">
        <is>
          <t>Luis Escobar</t>
        </is>
      </c>
      <c r="L144" t="inlineStr">
        <is>
          <t>Patricia Argueta Mejía</t>
        </is>
      </c>
      <c r="M144" t="inlineStr">
        <is>
          <t>01586554-3</t>
        </is>
      </c>
      <c r="N144" t="inlineStr">
        <is>
          <t>2105-2525</t>
        </is>
      </c>
      <c r="O144" t="inlineStr">
        <is>
          <t>Consumidor final</t>
        </is>
      </c>
      <c r="P144" t="inlineStr">
        <is>
          <t>CAF-001</t>
        </is>
      </c>
      <c r="Q144" t="inlineStr">
        <is>
          <t>Café molido 400g</t>
        </is>
      </c>
      <c r="R144" t="inlineStr">
        <is>
          <t>Abarrotes</t>
        </is>
      </c>
      <c r="S144" t="inlineStr">
        <is>
          <t>Café Volcán S.A.</t>
        </is>
      </c>
      <c r="T144" t="inlineStr">
        <is>
          <t>2510-3344</t>
        </is>
      </c>
      <c r="U144" t="inlineStr">
        <is>
          <t>$4.25</t>
        </is>
      </c>
      <c r="V144" t="n">
        <v>4</v>
      </c>
      <c r="W144" t="n">
        <v>0</v>
      </c>
      <c r="X144">
        <f>IFERROR(U144*V144*(1-W144/100),"")</f>
        <v/>
      </c>
      <c r="Y144">
        <f>IFERROR(ROUND(X144*0.13,2),"")</f>
        <v/>
      </c>
      <c r="Z144">
        <f>IFERROR(X144+Y144,"")</f>
        <v/>
      </c>
      <c r="AA144" t="inlineStr">
        <is>
          <t>Tarjeta</t>
        </is>
      </c>
      <c r="AB144" t="inlineStr"/>
    </row>
    <row r="145">
      <c r="A145" t="inlineStr">
        <is>
          <t>F-10566</t>
        </is>
      </c>
      <c r="B145" t="inlineStr">
        <is>
          <t>14/09/2026</t>
        </is>
      </c>
      <c r="C145" t="inlineStr">
        <is>
          <t>Factura</t>
        </is>
      </c>
      <c r="D145" t="inlineStr">
        <is>
          <t>SS01</t>
        </is>
      </c>
      <c r="E145" t="inlineStr">
        <is>
          <t>SAN SALVADOR CENTRO</t>
        </is>
      </c>
      <c r="F145" t="inlineStr">
        <is>
          <t>4a Calle Poniente #215</t>
        </is>
      </c>
      <c r="G145" t="inlineStr">
        <is>
          <t>San Salvador</t>
        </is>
      </c>
      <c r="H145" t="inlineStr">
        <is>
          <t>San Salvador</t>
        </is>
      </c>
      <c r="I145" t="inlineStr">
        <is>
          <t>Roberto Alfaro</t>
        </is>
      </c>
      <c r="J145" t="inlineStr">
        <is>
          <t>2221-4580</t>
        </is>
      </c>
      <c r="K145" t="inlineStr">
        <is>
          <t>Daniela Orellana</t>
        </is>
      </c>
      <c r="L145" t="inlineStr">
        <is>
          <t>Silvia Mejía Sorto</t>
        </is>
      </c>
      <c r="M145" t="inlineStr">
        <is>
          <t>08942439-6</t>
        </is>
      </c>
      <c r="N145" t="inlineStr">
        <is>
          <t>2492-5995</t>
        </is>
      </c>
      <c r="O145" t="inlineStr">
        <is>
          <t>Consumidor final</t>
        </is>
      </c>
      <c r="P145" t="inlineStr">
        <is>
          <t>LAC-003</t>
        </is>
      </c>
      <c r="Q145" t="inlineStr">
        <is>
          <t>Leche entera 1L</t>
        </is>
      </c>
      <c r="R145" t="inlineStr">
        <is>
          <t>Lácteos</t>
        </is>
      </c>
      <c r="S145" t="inlineStr">
        <is>
          <t>Lácteos Chalate</t>
        </is>
      </c>
      <c r="T145" t="inlineStr">
        <is>
          <t>2335-1020</t>
        </is>
      </c>
      <c r="U145" t="n">
        <v>1.2</v>
      </c>
      <c r="V145" t="n">
        <v>1</v>
      </c>
      <c r="W145" t="n">
        <v>0</v>
      </c>
      <c r="X145">
        <f>IFERROR(U145*V145*(1-W145/100),"")</f>
        <v/>
      </c>
      <c r="Y145">
        <f>IFERROR(ROUND(X145*0.13,2),"")</f>
        <v/>
      </c>
      <c r="Z145">
        <f>IFERROR(X145+Y145,"")</f>
        <v/>
      </c>
      <c r="AA145" t="inlineStr">
        <is>
          <t>Transferencia</t>
        </is>
      </c>
      <c r="AB145" t="inlineStr"/>
    </row>
    <row r="146">
      <c r="A146" t="inlineStr">
        <is>
          <t>F-10566</t>
        </is>
      </c>
      <c r="B146" t="inlineStr">
        <is>
          <t>14-Sep-26</t>
        </is>
      </c>
      <c r="C146" t="inlineStr">
        <is>
          <t>Factura</t>
        </is>
      </c>
      <c r="D146" t="inlineStr">
        <is>
          <t>SS01</t>
        </is>
      </c>
      <c r="E146" t="inlineStr">
        <is>
          <t>S.S. Centro</t>
        </is>
      </c>
      <c r="F146" t="inlineStr">
        <is>
          <t>4a Calle Poniente #215</t>
        </is>
      </c>
      <c r="G146" t="inlineStr">
        <is>
          <t>San Salvador</t>
        </is>
      </c>
      <c r="H146" t="inlineStr">
        <is>
          <t>San Salvador</t>
        </is>
      </c>
      <c r="I146" t="inlineStr">
        <is>
          <t>Roberto Alfaro</t>
        </is>
      </c>
      <c r="J146" t="inlineStr">
        <is>
          <t>2221-4580</t>
        </is>
      </c>
      <c r="K146" t="inlineStr">
        <is>
          <t>Daniela Orellana</t>
        </is>
      </c>
      <c r="L146" t="inlineStr">
        <is>
          <t>Silvia Mejía Sorto</t>
        </is>
      </c>
      <c r="M146" t="inlineStr">
        <is>
          <t>08942439-6</t>
        </is>
      </c>
      <c r="N146" t="inlineStr">
        <is>
          <t>2492-5995</t>
        </is>
      </c>
      <c r="O146" t="inlineStr">
        <is>
          <t>Consumidor final</t>
        </is>
      </c>
      <c r="P146" t="inlineStr">
        <is>
          <t>HIG-003</t>
        </is>
      </c>
      <c r="Q146" t="inlineStr">
        <is>
          <t>Jabón de lavar barra</t>
        </is>
      </c>
      <c r="R146" t="inlineStr">
        <is>
          <t>Limpieza</t>
        </is>
      </c>
      <c r="S146" t="inlineStr">
        <is>
          <t>Higiene Total C.A.</t>
        </is>
      </c>
      <c r="T146" t="inlineStr">
        <is>
          <t>2207-5566</t>
        </is>
      </c>
      <c r="U146" t="n">
        <v>0.75</v>
      </c>
      <c r="V146" t="n">
        <v>6</v>
      </c>
      <c r="W146" t="n">
        <v>0</v>
      </c>
      <c r="X146">
        <f>IFERROR(U146*V146*(1-W146/100),"")</f>
        <v/>
      </c>
      <c r="Y146">
        <f>IFERROR(ROUND(X146*0.13,2),"")</f>
        <v/>
      </c>
      <c r="Z146">
        <f>IFERROR(X146+Y146,"")</f>
        <v/>
      </c>
      <c r="AA146" t="inlineStr">
        <is>
          <t>Transferencia</t>
        </is>
      </c>
      <c r="AB146" t="inlineStr">
        <is>
          <t>pagó con billete de $100</t>
        </is>
      </c>
    </row>
    <row r="147">
      <c r="A147" t="inlineStr">
        <is>
          <t>F-10566</t>
        </is>
      </c>
      <c r="B147" t="inlineStr">
        <is>
          <t>2026-09-14</t>
        </is>
      </c>
      <c r="C147" t="inlineStr">
        <is>
          <t>Factura</t>
        </is>
      </c>
      <c r="D147" t="inlineStr">
        <is>
          <t>SS01</t>
        </is>
      </c>
      <c r="E147" t="inlineStr">
        <is>
          <t>S.S. Centro</t>
        </is>
      </c>
      <c r="F147" t="inlineStr">
        <is>
          <t>4a Calle Poniente #215</t>
        </is>
      </c>
      <c r="G147" t="inlineStr">
        <is>
          <t>San Salvador</t>
        </is>
      </c>
      <c r="H147" t="inlineStr">
        <is>
          <t>San Salvador</t>
        </is>
      </c>
      <c r="I147" t="inlineStr">
        <is>
          <t>Roberto Alfaro</t>
        </is>
      </c>
      <c r="J147" t="inlineStr">
        <is>
          <t>2221-4580</t>
        </is>
      </c>
      <c r="K147" t="inlineStr">
        <is>
          <t>Daniela Orellana</t>
        </is>
      </c>
      <c r="L147" t="inlineStr">
        <is>
          <t>Silvia Mejía Sorto</t>
        </is>
      </c>
      <c r="M147" t="inlineStr">
        <is>
          <t>08942439-6</t>
        </is>
      </c>
      <c r="N147" t="inlineStr">
        <is>
          <t>2492-5995</t>
        </is>
      </c>
      <c r="O147" t="inlineStr">
        <is>
          <t>Consumidor final</t>
        </is>
      </c>
      <c r="P147" t="inlineStr">
        <is>
          <t>PAN-002</t>
        </is>
      </c>
      <c r="Q147" t="inlineStr">
        <is>
          <t>Semita alta</t>
        </is>
      </c>
      <c r="R147" t="inlineStr">
        <is>
          <t>Panadería</t>
        </is>
      </c>
      <c r="S147" t="inlineStr">
        <is>
          <t>Panificadora Ilopango</t>
        </is>
      </c>
      <c r="T147" t="inlineStr">
        <is>
          <t>2295-0081</t>
        </is>
      </c>
      <c r="U147" t="n">
        <v>1.75</v>
      </c>
      <c r="V147" t="n">
        <v>1</v>
      </c>
      <c r="W147" t="n">
        <v>0</v>
      </c>
      <c r="X147">
        <f>IFERROR(U147*V147*(1-W147/100),"")</f>
        <v/>
      </c>
      <c r="Y147">
        <f>IFERROR(ROUND(X147*0.13,2),"")</f>
        <v/>
      </c>
      <c r="Z147">
        <f>IFERROR(X147+Y147,"")</f>
        <v/>
      </c>
      <c r="AA147" t="inlineStr">
        <is>
          <t>Transferencia</t>
        </is>
      </c>
      <c r="AB147" t="inlineStr"/>
    </row>
    <row r="148">
      <c r="A148" t="inlineStr">
        <is>
          <t>F-10566</t>
        </is>
      </c>
      <c r="B148" s="3" t="n">
        <v>46279</v>
      </c>
      <c r="C148" t="inlineStr">
        <is>
          <t>Factura</t>
        </is>
      </c>
      <c r="D148" t="inlineStr">
        <is>
          <t>SS01</t>
        </is>
      </c>
      <c r="E148" t="inlineStr">
        <is>
          <t>S.S. Centro</t>
        </is>
      </c>
      <c r="F148" t="inlineStr">
        <is>
          <t>4a Calle Poniente #215</t>
        </is>
      </c>
      <c r="G148" t="inlineStr">
        <is>
          <t>San Salvador</t>
        </is>
      </c>
      <c r="H148" t="inlineStr">
        <is>
          <t>San Salvador</t>
        </is>
      </c>
      <c r="I148" t="inlineStr">
        <is>
          <t>Roberto Alfaro</t>
        </is>
      </c>
      <c r="J148" t="inlineStr">
        <is>
          <t>2221-4580</t>
        </is>
      </c>
      <c r="K148" t="inlineStr">
        <is>
          <t>Daniela Orellana</t>
        </is>
      </c>
      <c r="L148" t="inlineStr">
        <is>
          <t>Silvia Mejía Sorto</t>
        </is>
      </c>
      <c r="M148" t="inlineStr">
        <is>
          <t>08942439-6</t>
        </is>
      </c>
      <c r="N148" t="inlineStr">
        <is>
          <t>2492-5995</t>
        </is>
      </c>
      <c r="O148" t="inlineStr">
        <is>
          <t>Consumidor final</t>
        </is>
      </c>
      <c r="P148" t="inlineStr">
        <is>
          <t>BEB-003</t>
        </is>
      </c>
      <c r="Q148" t="inlineStr">
        <is>
          <t>Horchata en polvo 400g</t>
        </is>
      </c>
      <c r="R148" t="inlineStr">
        <is>
          <t>Abarrotes</t>
        </is>
      </c>
      <c r="S148" t="inlineStr">
        <is>
          <t>Bebidas Izalco</t>
        </is>
      </c>
      <c r="T148" t="inlineStr">
        <is>
          <t>2450-7700</t>
        </is>
      </c>
      <c r="U148" t="n">
        <v>2.6</v>
      </c>
      <c r="V148" t="n">
        <v>2</v>
      </c>
      <c r="W148" t="n">
        <v>0</v>
      </c>
      <c r="X148">
        <f>IFERROR(U148*V148*(1-W148/100),"")</f>
        <v/>
      </c>
      <c r="Y148">
        <f>IFERROR(ROUND(X148*0.13,2),"")</f>
        <v/>
      </c>
      <c r="Z148">
        <f>IFERROR(X148+Y148,"")</f>
        <v/>
      </c>
      <c r="AA148" t="inlineStr">
        <is>
          <t>Transferencia</t>
        </is>
      </c>
      <c r="AB148" t="inlineStr"/>
    </row>
    <row r="149">
      <c r="A149" t="inlineStr">
        <is>
          <t>F-10568</t>
        </is>
      </c>
      <c r="B149" s="3" t="n">
        <v>46236</v>
      </c>
      <c r="C149" t="inlineStr">
        <is>
          <t>factura</t>
        </is>
      </c>
      <c r="D149" t="inlineStr">
        <is>
          <t>LL01</t>
        </is>
      </c>
      <c r="E149" t="inlineStr">
        <is>
          <t>Santa Tecla</t>
        </is>
      </c>
      <c r="F149" t="inlineStr">
        <is>
          <t>Calle Daniel Hernández #18</t>
        </is>
      </c>
      <c r="G149" t="inlineStr">
        <is>
          <t>Santa Tecla</t>
        </is>
      </c>
      <c r="H149" t="inlineStr">
        <is>
          <t>La Libertad</t>
        </is>
      </c>
      <c r="I149" t="inlineStr">
        <is>
          <t>Óscar Rivas</t>
        </is>
      </c>
      <c r="J149" t="inlineStr">
        <is>
          <t>2228-7731</t>
        </is>
      </c>
      <c r="K149" t="inlineStr">
        <is>
          <t>Luis Escobar</t>
        </is>
      </c>
      <c r="L149" t="inlineStr">
        <is>
          <t>José López Pérez</t>
        </is>
      </c>
      <c r="M149" t="inlineStr">
        <is>
          <t>07894436-0</t>
        </is>
      </c>
      <c r="N149" t="inlineStr">
        <is>
          <t>2795-9333</t>
        </is>
      </c>
      <c r="O149" t="inlineStr">
        <is>
          <t>Consumidor final</t>
        </is>
      </c>
      <c r="P149" t="inlineStr">
        <is>
          <t>ARR-001</t>
        </is>
      </c>
      <c r="Q149" t="inlineStr">
        <is>
          <t>Arroz blanco 5lb</t>
        </is>
      </c>
      <c r="R149" t="inlineStr">
        <is>
          <t>Abarrotes</t>
        </is>
      </c>
      <c r="S149" t="inlineStr">
        <is>
          <t>Granos del Pacífico</t>
        </is>
      </c>
      <c r="T149" t="inlineStr">
        <is>
          <t>2234-8890</t>
        </is>
      </c>
      <c r="U149" t="n">
        <v>3.95</v>
      </c>
      <c r="V149" t="n">
        <v>1</v>
      </c>
      <c r="W149" t="n">
        <v>0</v>
      </c>
      <c r="X149">
        <f>IFERROR(U149*V149*(1-W149/100),"")</f>
        <v/>
      </c>
      <c r="Y149">
        <f>IFERROR(ROUND(X149*0.13,2),"")</f>
        <v/>
      </c>
      <c r="Z149">
        <f>IFERROR(X149+Y149,"")</f>
        <v/>
      </c>
      <c r="AA149" t="inlineStr">
        <is>
          <t>Bitcoin</t>
        </is>
      </c>
      <c r="AB149" t="inlineStr">
        <is>
          <t>Cliente frecuente</t>
        </is>
      </c>
    </row>
    <row r="150">
      <c r="A150" t="inlineStr">
        <is>
          <t>F-10568</t>
        </is>
      </c>
      <c r="B150" s="3" t="n">
        <v>46236</v>
      </c>
      <c r="C150" t="inlineStr">
        <is>
          <t>factura</t>
        </is>
      </c>
      <c r="D150" t="inlineStr">
        <is>
          <t>LL01</t>
        </is>
      </c>
      <c r="E150" t="inlineStr">
        <is>
          <t>Sta. Tecla</t>
        </is>
      </c>
      <c r="F150" t="inlineStr">
        <is>
          <t>Calle Daniel Hernández #18</t>
        </is>
      </c>
      <c r="G150" t="inlineStr">
        <is>
          <t>Santa Tecla</t>
        </is>
      </c>
      <c r="H150" t="inlineStr">
        <is>
          <t>La Libertad</t>
        </is>
      </c>
      <c r="I150" t="inlineStr">
        <is>
          <t>Óscar Rivas</t>
        </is>
      </c>
      <c r="J150" t="inlineStr">
        <is>
          <t>2228-7731</t>
        </is>
      </c>
      <c r="K150" t="inlineStr">
        <is>
          <t>Luis Escobar</t>
        </is>
      </c>
      <c r="L150" t="inlineStr">
        <is>
          <t>José López Pérez</t>
        </is>
      </c>
      <c r="M150" t="inlineStr">
        <is>
          <t>07894436-0</t>
        </is>
      </c>
      <c r="N150" t="inlineStr">
        <is>
          <t>2795-9333</t>
        </is>
      </c>
      <c r="O150" t="inlineStr">
        <is>
          <t>Consumidor final</t>
        </is>
      </c>
      <c r="P150" t="inlineStr">
        <is>
          <t>CAF-001</t>
        </is>
      </c>
      <c r="Q150" t="inlineStr">
        <is>
          <t>Café molido 400g</t>
        </is>
      </c>
      <c r="R150" t="inlineStr">
        <is>
          <t>Abarrotes</t>
        </is>
      </c>
      <c r="S150" t="inlineStr">
        <is>
          <t>Café Volcán S.A.</t>
        </is>
      </c>
      <c r="T150" t="inlineStr">
        <is>
          <t>2510-3344</t>
        </is>
      </c>
      <c r="U150" t="inlineStr">
        <is>
          <t>4,25</t>
        </is>
      </c>
      <c r="V150" t="n">
        <v>24</v>
      </c>
      <c r="W150" t="n">
        <v>0</v>
      </c>
      <c r="X150">
        <f>IFERROR(U150*V150*(1-W150/100),"")</f>
        <v/>
      </c>
      <c r="Y150">
        <f>IFERROR(ROUND(X150*0.13,2),"")</f>
        <v/>
      </c>
      <c r="Z150">
        <f>IFERROR(X150+Y150,"")</f>
        <v/>
      </c>
      <c r="AA150" t="inlineStr">
        <is>
          <t>Bitcoin</t>
        </is>
      </c>
      <c r="AB150" t="inlineStr"/>
    </row>
    <row r="151">
      <c r="A151" t="inlineStr">
        <is>
          <t>F-10569</t>
        </is>
      </c>
      <c r="B151" t="inlineStr">
        <is>
          <t>28/07/2026</t>
        </is>
      </c>
      <c r="C151" t="inlineStr">
        <is>
          <t>factura</t>
        </is>
      </c>
      <c r="D151" t="inlineStr">
        <is>
          <t>US01</t>
        </is>
      </c>
      <c r="E151" t="inlineStr">
        <is>
          <t>Usulután</t>
        </is>
      </c>
      <c r="F151" t="inlineStr">
        <is>
          <t>2a Av. Norte #9</t>
        </is>
      </c>
      <c r="G151" t="inlineStr">
        <is>
          <t>Usulután</t>
        </is>
      </c>
      <c r="H151" t="inlineStr">
        <is>
          <t>Usulután</t>
        </is>
      </c>
      <c r="I151" t="inlineStr">
        <is>
          <t>Nelson Fuentes</t>
        </is>
      </c>
      <c r="J151" t="inlineStr">
        <is>
          <t>2662-8810</t>
        </is>
      </c>
      <c r="K151" t="inlineStr">
        <is>
          <t>Miguel Bonilla</t>
        </is>
      </c>
      <c r="L151" t="inlineStr">
        <is>
          <t>René Flores García</t>
        </is>
      </c>
      <c r="M151" t="inlineStr">
        <is>
          <t>08499785-5</t>
        </is>
      </c>
      <c r="N151" t="inlineStr">
        <is>
          <t>6702-2047</t>
        </is>
      </c>
      <c r="O151" t="inlineStr">
        <is>
          <t>Consumidor final</t>
        </is>
      </c>
      <c r="P151" t="inlineStr">
        <is>
          <t>HAR-001</t>
        </is>
      </c>
      <c r="Q151" t="inlineStr">
        <is>
          <t>Harina de maíz 2lb</t>
        </is>
      </c>
      <c r="R151" t="inlineStr">
        <is>
          <t>Abarrotes</t>
        </is>
      </c>
      <c r="S151" t="inlineStr">
        <is>
          <t>Granos del Pacífico</t>
        </is>
      </c>
      <c r="T151" t="inlineStr">
        <is>
          <t>2234-8890</t>
        </is>
      </c>
      <c r="U151" t="n">
        <v>1.35</v>
      </c>
      <c r="V151" t="n">
        <v>1</v>
      </c>
      <c r="W151" t="n">
        <v>0</v>
      </c>
      <c r="X151">
        <f>IFERROR(U151*V151*(1-W151/100),"")</f>
        <v/>
      </c>
      <c r="Y151">
        <f>IFERROR(ROUND(X151*0.13,2),"")</f>
        <v/>
      </c>
      <c r="Z151">
        <f>IFERROR(X151+Y151,"")</f>
        <v/>
      </c>
      <c r="AA151" t="inlineStr">
        <is>
          <t>efectivo</t>
        </is>
      </c>
      <c r="AB151" t="inlineStr">
        <is>
          <t>pagó con billete de $100</t>
        </is>
      </c>
    </row>
    <row r="152">
      <c r="A152" t="inlineStr">
        <is>
          <t>F-10569</t>
        </is>
      </c>
      <c r="B152" t="inlineStr">
        <is>
          <t>28-Jul-26</t>
        </is>
      </c>
      <c r="C152" t="inlineStr">
        <is>
          <t>factura</t>
        </is>
      </c>
      <c r="D152" t="inlineStr">
        <is>
          <t>US01</t>
        </is>
      </c>
      <c r="E152" t="inlineStr">
        <is>
          <t>Usulután</t>
        </is>
      </c>
      <c r="F152" t="inlineStr">
        <is>
          <t>2a Av. Norte #9</t>
        </is>
      </c>
      <c r="G152" t="inlineStr">
        <is>
          <t>Usulután</t>
        </is>
      </c>
      <c r="H152" t="inlineStr">
        <is>
          <t>Usulután</t>
        </is>
      </c>
      <c r="I152" t="inlineStr">
        <is>
          <t>Nelson Fuentes</t>
        </is>
      </c>
      <c r="J152" t="inlineStr">
        <is>
          <t>2662-8810</t>
        </is>
      </c>
      <c r="K152" t="inlineStr">
        <is>
          <t>Miguel Bonilla</t>
        </is>
      </c>
      <c r="L152" t="inlineStr">
        <is>
          <t>René Flores García</t>
        </is>
      </c>
      <c r="M152" t="inlineStr">
        <is>
          <t>08499785-5</t>
        </is>
      </c>
      <c r="N152" t="inlineStr">
        <is>
          <t>6702-2047</t>
        </is>
      </c>
      <c r="O152" t="inlineStr">
        <is>
          <t>Consumidor final</t>
        </is>
      </c>
      <c r="P152" t="inlineStr">
        <is>
          <t>ARR-001</t>
        </is>
      </c>
      <c r="Q152" t="inlineStr">
        <is>
          <t>Arroz blanco 5lb</t>
        </is>
      </c>
      <c r="R152" t="inlineStr">
        <is>
          <t>Granos básicos</t>
        </is>
      </c>
      <c r="S152" t="inlineStr">
        <is>
          <t>Granos del Pacífico</t>
        </is>
      </c>
      <c r="T152" t="inlineStr">
        <is>
          <t>2234-8890</t>
        </is>
      </c>
      <c r="U152" t="n">
        <v>3.95</v>
      </c>
      <c r="V152" t="n">
        <v>4</v>
      </c>
      <c r="W152" t="n">
        <v>0</v>
      </c>
      <c r="X152">
        <f>IFERROR(U152*V152*(1-W152/100),"")</f>
        <v/>
      </c>
      <c r="Y152">
        <f>IFERROR(ROUND(X152*0.13,2),"")</f>
        <v/>
      </c>
      <c r="Z152">
        <f>IFERROR(X152+Y152,"")</f>
        <v/>
      </c>
      <c r="AA152" t="inlineStr">
        <is>
          <t>efectivo</t>
        </is>
      </c>
      <c r="AB152" t="inlineStr"/>
    </row>
    <row r="153">
      <c r="A153" t="inlineStr">
        <is>
          <t>F-10569</t>
        </is>
      </c>
      <c r="B153" s="3" t="n">
        <v>46231</v>
      </c>
      <c r="C153" t="inlineStr">
        <is>
          <t>factura</t>
        </is>
      </c>
      <c r="D153" t="inlineStr">
        <is>
          <t>US01</t>
        </is>
      </c>
      <c r="E153" t="inlineStr">
        <is>
          <t>Usulutan</t>
        </is>
      </c>
      <c r="F153" t="inlineStr">
        <is>
          <t>2a Av. Norte #9</t>
        </is>
      </c>
      <c r="G153" t="inlineStr">
        <is>
          <t>Usulután</t>
        </is>
      </c>
      <c r="H153" t="inlineStr">
        <is>
          <t>Usulután</t>
        </is>
      </c>
      <c r="I153" t="inlineStr">
        <is>
          <t>Nelson Fuentes</t>
        </is>
      </c>
      <c r="J153" t="inlineStr">
        <is>
          <t>2662-8810</t>
        </is>
      </c>
      <c r="K153" t="inlineStr">
        <is>
          <t>Miguel Bonilla</t>
        </is>
      </c>
      <c r="L153" t="inlineStr">
        <is>
          <t>René Flores García</t>
        </is>
      </c>
      <c r="M153" t="inlineStr">
        <is>
          <t>08499785-5</t>
        </is>
      </c>
      <c r="N153" t="inlineStr">
        <is>
          <t>6702-2047</t>
        </is>
      </c>
      <c r="O153" t="inlineStr">
        <is>
          <t>Consumidor final</t>
        </is>
      </c>
      <c r="P153" t="inlineStr">
        <is>
          <t>LAC-002</t>
        </is>
      </c>
      <c r="Q153" t="inlineStr">
        <is>
          <t>Crema 500ml</t>
        </is>
      </c>
      <c r="R153" t="inlineStr">
        <is>
          <t>Lacteos</t>
        </is>
      </c>
      <c r="S153" t="inlineStr">
        <is>
          <t>Lácteos Chalate</t>
        </is>
      </c>
      <c r="T153" t="inlineStr">
        <is>
          <t>2335-1020</t>
        </is>
      </c>
      <c r="U153" t="inlineStr">
        <is>
          <t>2,25</t>
        </is>
      </c>
      <c r="V153" t="n">
        <v>4</v>
      </c>
      <c r="W153" t="n">
        <v>0</v>
      </c>
      <c r="X153">
        <f>IFERROR(U153*V153*(1-W153/100),"")</f>
        <v/>
      </c>
      <c r="Y153">
        <f>IFERROR(ROUND(X153*0.13,2),"")</f>
        <v/>
      </c>
      <c r="Z153">
        <f>IFERROR(X153+Y153,"")</f>
        <v/>
      </c>
      <c r="AA153" t="inlineStr">
        <is>
          <t>efectivo</t>
        </is>
      </c>
      <c r="AB153" t="inlineStr">
        <is>
          <t>Cliente frecuente</t>
        </is>
      </c>
    </row>
    <row r="154">
      <c r="A154" t="inlineStr">
        <is>
          <t>F-10571</t>
        </is>
      </c>
      <c r="B154" t="inlineStr">
        <is>
          <t>17-Jul-26</t>
        </is>
      </c>
      <c r="C154" t="inlineStr">
        <is>
          <t>Factura</t>
        </is>
      </c>
      <c r="D154" t="inlineStr">
        <is>
          <t>SS03</t>
        </is>
      </c>
      <c r="E154" t="inlineStr">
        <is>
          <t xml:space="preserve">SOYAPANGO </t>
        </is>
      </c>
      <c r="F154" t="inlineStr">
        <is>
          <t>Blvd. del Ejército km 4</t>
        </is>
      </c>
      <c r="G154" t="inlineStr">
        <is>
          <t>Soyapango</t>
        </is>
      </c>
      <c r="H154" t="inlineStr">
        <is>
          <t>San Salvador</t>
        </is>
      </c>
      <c r="I154" t="inlineStr">
        <is>
          <t>Karla Henríquez</t>
        </is>
      </c>
      <c r="J154" t="inlineStr">
        <is>
          <t>2277-3402</t>
        </is>
      </c>
      <c r="K154" t="inlineStr">
        <is>
          <t>Marta Gómez</t>
        </is>
      </c>
      <c r="L154" t="inlineStr">
        <is>
          <t>Walter Mejía Castillo</t>
        </is>
      </c>
      <c r="M154" t="inlineStr">
        <is>
          <t>02326285-9</t>
        </is>
      </c>
      <c r="N154" t="inlineStr">
        <is>
          <t>2959-3937</t>
        </is>
      </c>
      <c r="O154" t="inlineStr">
        <is>
          <t>Consumidor final</t>
        </is>
      </c>
      <c r="P154" t="inlineStr">
        <is>
          <t>LAC-003</t>
        </is>
      </c>
      <c r="Q154" t="inlineStr">
        <is>
          <t>Leche entera 1L</t>
        </is>
      </c>
      <c r="R154" t="inlineStr">
        <is>
          <t>Lácteos</t>
        </is>
      </c>
      <c r="S154" t="inlineStr">
        <is>
          <t>Lácteos Chalate</t>
        </is>
      </c>
      <c r="T154" t="inlineStr">
        <is>
          <t>2335-1020</t>
        </is>
      </c>
      <c r="U154" t="n">
        <v>1.2</v>
      </c>
      <c r="V154" t="n">
        <v>24</v>
      </c>
      <c r="W154" t="n">
        <v>0</v>
      </c>
      <c r="X154">
        <f>IFERROR(U154*V154*(1-W154/100),"")</f>
        <v/>
      </c>
      <c r="Y154">
        <f>IFERROR(ROUND(X154*0.13,2),"")</f>
        <v/>
      </c>
      <c r="Z154">
        <f>IFERROR(X154+Y154,"")</f>
        <v/>
      </c>
      <c r="AA154" t="inlineStr">
        <is>
          <t>efectivo</t>
        </is>
      </c>
      <c r="AB154" t="inlineStr"/>
    </row>
    <row r="155">
      <c r="A155" t="inlineStr">
        <is>
          <t>F-10571</t>
        </is>
      </c>
      <c r="B155" s="3" t="n">
        <v>46220</v>
      </c>
      <c r="C155" t="inlineStr">
        <is>
          <t>Factura</t>
        </is>
      </c>
      <c r="D155" t="inlineStr">
        <is>
          <t>SS03</t>
        </is>
      </c>
      <c r="E155" t="inlineStr">
        <is>
          <t>soyapango</t>
        </is>
      </c>
      <c r="F155" t="inlineStr">
        <is>
          <t>Blvd. del Ejército km 4</t>
        </is>
      </c>
      <c r="G155" t="inlineStr">
        <is>
          <t>Soyapango</t>
        </is>
      </c>
      <c r="H155" t="inlineStr">
        <is>
          <t>San Salvador</t>
        </is>
      </c>
      <c r="I155" t="inlineStr">
        <is>
          <t>Karla Henríquez</t>
        </is>
      </c>
      <c r="J155" t="inlineStr">
        <is>
          <t>2277-3402</t>
        </is>
      </c>
      <c r="K155" t="inlineStr">
        <is>
          <t>Marta Gómez</t>
        </is>
      </c>
      <c r="L155" t="inlineStr">
        <is>
          <t>Walter Mejía Castillo</t>
        </is>
      </c>
      <c r="M155" t="inlineStr">
        <is>
          <t>02326285-9</t>
        </is>
      </c>
      <c r="N155" t="inlineStr">
        <is>
          <t>2959-3937</t>
        </is>
      </c>
      <c r="O155" t="inlineStr">
        <is>
          <t>Consumidor final</t>
        </is>
      </c>
      <c r="P155" t="inlineStr">
        <is>
          <t>BEB-003</t>
        </is>
      </c>
      <c r="Q155" t="inlineStr">
        <is>
          <t>Horchata en polvo 400g</t>
        </is>
      </c>
      <c r="R155" t="inlineStr">
        <is>
          <t>Abarrotes</t>
        </is>
      </c>
      <c r="S155" t="inlineStr">
        <is>
          <t>Bebidas Izalco</t>
        </is>
      </c>
      <c r="T155" t="inlineStr">
        <is>
          <t>2450-7700</t>
        </is>
      </c>
      <c r="U155" t="n">
        <v>2.6</v>
      </c>
      <c r="V155" t="n">
        <v>6</v>
      </c>
      <c r="W155" t="n">
        <v>0</v>
      </c>
      <c r="X155">
        <f>IFERROR(U155*V155*(1-W155/100),"")</f>
        <v/>
      </c>
      <c r="Y155">
        <f>IFERROR(ROUND(X155*0.13,2),"")</f>
        <v/>
      </c>
      <c r="Z155">
        <f>IFERROR(X155+Y155,"")</f>
        <v/>
      </c>
      <c r="AA155" t="inlineStr">
        <is>
          <t>efectivo</t>
        </is>
      </c>
      <c r="AB155" t="inlineStr">
        <is>
          <t>precio especial autorizado por gerente</t>
        </is>
      </c>
    </row>
    <row r="156">
      <c r="A156" t="inlineStr">
        <is>
          <t>F-10571</t>
        </is>
      </c>
      <c r="B156" s="3" t="n">
        <v>46220</v>
      </c>
      <c r="C156" t="inlineStr">
        <is>
          <t>Factura</t>
        </is>
      </c>
      <c r="D156" t="inlineStr">
        <is>
          <t>SS03</t>
        </is>
      </c>
      <c r="E156" t="inlineStr">
        <is>
          <t xml:space="preserve">SOYAPANGO </t>
        </is>
      </c>
      <c r="F156" t="inlineStr">
        <is>
          <t>Blvd. del Ejército km 4</t>
        </is>
      </c>
      <c r="G156" t="inlineStr">
        <is>
          <t>Soyapango</t>
        </is>
      </c>
      <c r="H156" t="inlineStr">
        <is>
          <t>San Salvador</t>
        </is>
      </c>
      <c r="I156" t="inlineStr">
        <is>
          <t>Karla Henríquez</t>
        </is>
      </c>
      <c r="J156" t="inlineStr">
        <is>
          <t>2277-3402</t>
        </is>
      </c>
      <c r="K156" t="inlineStr">
        <is>
          <t>Marta Gómez</t>
        </is>
      </c>
      <c r="L156" t="inlineStr">
        <is>
          <t>Walter Mejía Castillo</t>
        </is>
      </c>
      <c r="M156" t="inlineStr">
        <is>
          <t>02326285-9</t>
        </is>
      </c>
      <c r="N156" t="inlineStr">
        <is>
          <t>2959-3937</t>
        </is>
      </c>
      <c r="O156" t="inlineStr">
        <is>
          <t>Consumidor final</t>
        </is>
      </c>
      <c r="P156" t="inlineStr">
        <is>
          <t>HIG-003</t>
        </is>
      </c>
      <c r="Q156" t="inlineStr">
        <is>
          <t>Jabón de lavar barra</t>
        </is>
      </c>
      <c r="R156" t="inlineStr">
        <is>
          <t>Limpieza</t>
        </is>
      </c>
      <c r="S156" t="inlineStr">
        <is>
          <t>Higiene Total C.A.</t>
        </is>
      </c>
      <c r="T156" t="inlineStr">
        <is>
          <t>2207-5566</t>
        </is>
      </c>
      <c r="U156" t="n">
        <v>0.75</v>
      </c>
      <c r="V156" t="n">
        <v>4</v>
      </c>
      <c r="W156" t="n">
        <v>0</v>
      </c>
      <c r="X156">
        <f>IFERROR(U156*V156*(1-W156/100),"")</f>
        <v/>
      </c>
      <c r="Y156">
        <f>IFERROR(ROUND(X156*0.13,2),"")</f>
        <v/>
      </c>
      <c r="Z156">
        <f>IFERROR(X156+Y156,"")</f>
        <v/>
      </c>
      <c r="AA156" t="inlineStr">
        <is>
          <t>efectivo</t>
        </is>
      </c>
      <c r="AB156" t="inlineStr">
        <is>
          <t>Cliente frecuente</t>
        </is>
      </c>
    </row>
    <row r="157">
      <c r="A157" t="inlineStr">
        <is>
          <t>F-10571</t>
        </is>
      </c>
      <c r="B157" s="3" t="n">
        <v>46220</v>
      </c>
      <c r="C157" t="inlineStr">
        <is>
          <t>Factura</t>
        </is>
      </c>
      <c r="D157" t="inlineStr">
        <is>
          <t>SS03</t>
        </is>
      </c>
      <c r="E157" t="inlineStr">
        <is>
          <t xml:space="preserve">SOYAPANGO </t>
        </is>
      </c>
      <c r="F157" t="inlineStr">
        <is>
          <t>Blvd. del Ejército km 4</t>
        </is>
      </c>
      <c r="G157" t="inlineStr">
        <is>
          <t>Soyapango</t>
        </is>
      </c>
      <c r="H157" t="inlineStr">
        <is>
          <t>San Salvador</t>
        </is>
      </c>
      <c r="I157" t="inlineStr">
        <is>
          <t>Karla Henríquez</t>
        </is>
      </c>
      <c r="J157" t="inlineStr">
        <is>
          <t>2277-3402</t>
        </is>
      </c>
      <c r="K157" t="inlineStr">
        <is>
          <t>Marta Gómez</t>
        </is>
      </c>
      <c r="L157" t="inlineStr">
        <is>
          <t>Walter Mejía Castillo</t>
        </is>
      </c>
      <c r="M157" t="inlineStr">
        <is>
          <t>02326285-9</t>
        </is>
      </c>
      <c r="N157" t="inlineStr">
        <is>
          <t>2959-3937</t>
        </is>
      </c>
      <c r="O157" t="inlineStr">
        <is>
          <t>Consumidor final</t>
        </is>
      </c>
      <c r="P157" t="inlineStr">
        <is>
          <t>ARR-001</t>
        </is>
      </c>
      <c r="Q157" t="inlineStr">
        <is>
          <t>Arroz blanco 5lb</t>
        </is>
      </c>
      <c r="R157" t="inlineStr">
        <is>
          <t>Abarrotes</t>
        </is>
      </c>
      <c r="S157" t="inlineStr">
        <is>
          <t>Granos del Pacífico</t>
        </is>
      </c>
      <c r="T157" t="inlineStr">
        <is>
          <t>2234-8890</t>
        </is>
      </c>
      <c r="U157" t="n">
        <v>3.95</v>
      </c>
      <c r="V157" t="n">
        <v>6</v>
      </c>
      <c r="W157" t="n">
        <v>0</v>
      </c>
      <c r="X157">
        <f>IFERROR(U157*V157*(1-W157/100),"")</f>
        <v/>
      </c>
      <c r="Y157">
        <f>IFERROR(ROUND(X157*0.13,2),"")</f>
        <v/>
      </c>
      <c r="Z157">
        <f>IFERROR(X157+Y157,"")</f>
        <v/>
      </c>
      <c r="AA157" t="inlineStr">
        <is>
          <t>efectivo</t>
        </is>
      </c>
      <c r="AB157" t="inlineStr"/>
    </row>
    <row r="158">
      <c r="A158" t="inlineStr">
        <is>
          <t>F-10572</t>
        </is>
      </c>
      <c r="B158" t="inlineStr">
        <is>
          <t>04/09/2026</t>
        </is>
      </c>
      <c r="C158" t="inlineStr">
        <is>
          <t>Factura</t>
        </is>
      </c>
      <c r="D158" t="inlineStr">
        <is>
          <t>SS02</t>
        </is>
      </c>
      <c r="E158" t="inlineStr">
        <is>
          <t>Col. Escalón</t>
        </is>
      </c>
      <c r="F158" t="inlineStr">
        <is>
          <t>Paseo General Escalón #3910</t>
        </is>
      </c>
      <c r="G158" t="inlineStr">
        <is>
          <t>San Salvador</t>
        </is>
      </c>
      <c r="H158" t="inlineStr">
        <is>
          <t>San Salvador</t>
        </is>
      </c>
      <c r="I158" t="inlineStr">
        <is>
          <t>Claudia Menjívar</t>
        </is>
      </c>
      <c r="J158" t="inlineStr">
        <is>
          <t>2264-1190</t>
        </is>
      </c>
      <c r="K158" t="inlineStr">
        <is>
          <t>Fátima Rosales</t>
        </is>
      </c>
      <c r="L158" t="inlineStr">
        <is>
          <t>Xiomara Flores Rivera</t>
        </is>
      </c>
      <c r="M158" t="inlineStr">
        <is>
          <t>09919727-8</t>
        </is>
      </c>
      <c r="N158" t="inlineStr">
        <is>
          <t>2544-6511</t>
        </is>
      </c>
      <c r="O158" t="inlineStr">
        <is>
          <t>Consumidor final</t>
        </is>
      </c>
      <c r="P158" t="inlineStr">
        <is>
          <t>HIG-003</t>
        </is>
      </c>
      <c r="Q158" t="inlineStr">
        <is>
          <t>Jabón de lavar barra</t>
        </is>
      </c>
      <c r="R158" t="inlineStr">
        <is>
          <t>Limpieza</t>
        </is>
      </c>
      <c r="S158" t="inlineStr">
        <is>
          <t>Higiene Total C.A.</t>
        </is>
      </c>
      <c r="T158" t="inlineStr">
        <is>
          <t>2207-5566</t>
        </is>
      </c>
      <c r="U158" t="n">
        <v>0.75</v>
      </c>
      <c r="V158" t="n">
        <v>1</v>
      </c>
      <c r="W158" t="n">
        <v>0</v>
      </c>
      <c r="X158">
        <f>IFERROR(U158*V158*(1-W158/100),"")</f>
        <v/>
      </c>
      <c r="Y158">
        <f>IFERROR(ROUND(X158*0.13,2),"")</f>
        <v/>
      </c>
      <c r="Z158">
        <f>IFERROR(X158+Y158,"")</f>
        <v/>
      </c>
      <c r="AA158" t="inlineStr">
        <is>
          <t>Bitcoin</t>
        </is>
      </c>
      <c r="AB158" t="inlineStr"/>
    </row>
    <row r="159">
      <c r="A159" t="inlineStr">
        <is>
          <t>F-10572</t>
        </is>
      </c>
      <c r="B159" s="3" t="n">
        <v>46269</v>
      </c>
      <c r="C159" t="inlineStr">
        <is>
          <t>Factura</t>
        </is>
      </c>
      <c r="D159" t="inlineStr">
        <is>
          <t>SS02</t>
        </is>
      </c>
      <c r="E159" t="inlineStr">
        <is>
          <t>Escalon</t>
        </is>
      </c>
      <c r="F159" t="inlineStr">
        <is>
          <t>Paseo General Escalón #3910</t>
        </is>
      </c>
      <c r="G159" t="inlineStr">
        <is>
          <t>San Salvador</t>
        </is>
      </c>
      <c r="H159" t="inlineStr">
        <is>
          <t>San Salvador</t>
        </is>
      </c>
      <c r="I159" t="inlineStr">
        <is>
          <t>Claudia Menjívar</t>
        </is>
      </c>
      <c r="J159" t="inlineStr">
        <is>
          <t>2264-1190</t>
        </is>
      </c>
      <c r="K159" t="inlineStr">
        <is>
          <t>Fátima Rosales</t>
        </is>
      </c>
      <c r="L159" t="inlineStr">
        <is>
          <t>Xiomara Flores Rivera</t>
        </is>
      </c>
      <c r="M159" t="inlineStr">
        <is>
          <t>09919727-8</t>
        </is>
      </c>
      <c r="N159" t="inlineStr">
        <is>
          <t>2544-6511</t>
        </is>
      </c>
      <c r="O159" t="inlineStr">
        <is>
          <t>Consumidor final</t>
        </is>
      </c>
      <c r="P159" t="inlineStr">
        <is>
          <t>HIG-001</t>
        </is>
      </c>
      <c r="Q159" t="inlineStr">
        <is>
          <t>Detergente 1kg</t>
        </is>
      </c>
      <c r="R159" t="inlineStr">
        <is>
          <t>limpieza</t>
        </is>
      </c>
      <c r="S159" t="inlineStr">
        <is>
          <t>Higiene Total C.A.</t>
        </is>
      </c>
      <c r="T159" t="inlineStr">
        <is>
          <t>2207-5566</t>
        </is>
      </c>
      <c r="U159" t="inlineStr">
        <is>
          <t>3,45</t>
        </is>
      </c>
      <c r="V159" t="n">
        <v>1</v>
      </c>
      <c r="W159" t="n">
        <v>0</v>
      </c>
      <c r="X159">
        <f>IFERROR(U159*V159*(1-W159/100),"")</f>
        <v/>
      </c>
      <c r="Y159">
        <f>IFERROR(ROUND(X159*0.13,2),"")</f>
        <v/>
      </c>
      <c r="Z159">
        <f>IFERROR(X159+Y159,"")</f>
        <v/>
      </c>
      <c r="AA159" t="inlineStr">
        <is>
          <t>Bitcoin</t>
        </is>
      </c>
      <c r="AB159" t="inlineStr"/>
    </row>
    <row r="160">
      <c r="A160" t="inlineStr">
        <is>
          <t>F-10575</t>
        </is>
      </c>
      <c r="B160" s="3" t="n">
        <v>46267</v>
      </c>
      <c r="C160" t="inlineStr">
        <is>
          <t>Factura</t>
        </is>
      </c>
      <c r="D160" t="inlineStr">
        <is>
          <t>SA01</t>
        </is>
      </c>
      <c r="E160" t="inlineStr">
        <is>
          <t>Santa Ana</t>
        </is>
      </c>
      <c r="F160" t="inlineStr">
        <is>
          <t>Av. Independencia Sur #12</t>
        </is>
      </c>
      <c r="G160" t="inlineStr">
        <is>
          <t>Santa Ana</t>
        </is>
      </c>
      <c r="H160" t="inlineStr">
        <is>
          <t>Santa Ana</t>
        </is>
      </c>
      <c r="I160" t="inlineStr">
        <is>
          <t>Verónica Sandoval</t>
        </is>
      </c>
      <c r="J160" t="inlineStr">
        <is>
          <t>2440-9921</t>
        </is>
      </c>
      <c r="K160" t="inlineStr">
        <is>
          <t>Sofía Cáceres</t>
        </is>
      </c>
      <c r="L160" t="inlineStr">
        <is>
          <t>Sandra Sorto López</t>
        </is>
      </c>
      <c r="M160" t="inlineStr">
        <is>
          <t>00961529-1</t>
        </is>
      </c>
      <c r="N160" t="inlineStr">
        <is>
          <t>2123-6077</t>
        </is>
      </c>
      <c r="O160" t="inlineStr">
        <is>
          <t>Consumidor final</t>
        </is>
      </c>
      <c r="P160" t="inlineStr">
        <is>
          <t>LAC-002</t>
        </is>
      </c>
      <c r="Q160" t="inlineStr">
        <is>
          <t>Crema 500ml</t>
        </is>
      </c>
      <c r="R160" t="inlineStr">
        <is>
          <t>Lacteos</t>
        </is>
      </c>
      <c r="S160" t="inlineStr">
        <is>
          <t>Lácteos Chalate</t>
        </is>
      </c>
      <c r="T160" t="inlineStr">
        <is>
          <t>2335-1020</t>
        </is>
      </c>
      <c r="U160" t="n">
        <v>2.25</v>
      </c>
      <c r="V160" t="n">
        <v>2</v>
      </c>
      <c r="W160" t="n">
        <v>0</v>
      </c>
      <c r="X160">
        <f>IFERROR(U160*V160*(1-W160/100),"")</f>
        <v/>
      </c>
      <c r="Y160">
        <f>IFERROR(ROUND(X160*0.13,2),"")</f>
        <v/>
      </c>
      <c r="Z160">
        <f>IFERROR(X160+Y160,"")</f>
        <v/>
      </c>
      <c r="AA160" t="inlineStr">
        <is>
          <t>Tarjeta</t>
        </is>
      </c>
      <c r="AB160" t="inlineStr">
        <is>
          <t>Cliente frecuente</t>
        </is>
      </c>
    </row>
    <row r="161">
      <c r="A161" t="inlineStr">
        <is>
          <t>F-10575</t>
        </is>
      </c>
      <c r="B161" s="4" t="n">
        <v>46267</v>
      </c>
      <c r="C161" t="inlineStr">
        <is>
          <t>Factura</t>
        </is>
      </c>
      <c r="D161" t="inlineStr">
        <is>
          <t>SA01</t>
        </is>
      </c>
      <c r="E161" t="inlineStr">
        <is>
          <t>Santa Ana</t>
        </is>
      </c>
      <c r="F161" t="inlineStr">
        <is>
          <t>Av. Independencia Sur #12</t>
        </is>
      </c>
      <c r="G161" t="inlineStr">
        <is>
          <t>Santa Ana</t>
        </is>
      </c>
      <c r="H161" t="inlineStr">
        <is>
          <t>Santa Ana</t>
        </is>
      </c>
      <c r="I161" t="inlineStr">
        <is>
          <t>Verónica Sandoval</t>
        </is>
      </c>
      <c r="J161" t="inlineStr">
        <is>
          <t>2440-9921</t>
        </is>
      </c>
      <c r="K161" t="inlineStr">
        <is>
          <t>Sofía Cáceres</t>
        </is>
      </c>
      <c r="L161" t="inlineStr">
        <is>
          <t>Sandra Sorto López</t>
        </is>
      </c>
      <c r="M161" t="inlineStr">
        <is>
          <t>00961529-1</t>
        </is>
      </c>
      <c r="N161" t="inlineStr">
        <is>
          <t>2123-6077</t>
        </is>
      </c>
      <c r="O161" t="inlineStr">
        <is>
          <t>Consumidor final</t>
        </is>
      </c>
      <c r="P161" t="inlineStr">
        <is>
          <t>LAC-002</t>
        </is>
      </c>
      <c r="Q161" t="inlineStr">
        <is>
          <t>Crema 500ml</t>
        </is>
      </c>
      <c r="R161" t="inlineStr">
        <is>
          <t>Lacteos</t>
        </is>
      </c>
      <c r="S161" t="inlineStr">
        <is>
          <t>Lácteos Chalate</t>
        </is>
      </c>
      <c r="T161" t="inlineStr">
        <is>
          <t>2335-1020</t>
        </is>
      </c>
      <c r="U161" t="n">
        <v>2.25</v>
      </c>
      <c r="V161" t="n">
        <v>2</v>
      </c>
      <c r="W161" t="n">
        <v>0</v>
      </c>
      <c r="X161">
        <f>IFERROR(U161*V161*(1-W161/100),"")</f>
        <v/>
      </c>
      <c r="Y161">
        <f>IFERROR(ROUND(X161*0.13,2),"")</f>
        <v/>
      </c>
      <c r="Z161">
        <f>IFERROR(X161+Y161,"")</f>
        <v/>
      </c>
      <c r="AA161" t="inlineStr">
        <is>
          <t>Tarjeta</t>
        </is>
      </c>
      <c r="AB161" t="inlineStr">
        <is>
          <t>Cliente frecuente</t>
        </is>
      </c>
    </row>
    <row r="162">
      <c r="A162" t="inlineStr">
        <is>
          <t>F-10575</t>
        </is>
      </c>
      <c r="B162" s="3" t="n">
        <v>46267</v>
      </c>
      <c r="C162" t="inlineStr">
        <is>
          <t>Factura</t>
        </is>
      </c>
      <c r="D162" t="inlineStr">
        <is>
          <t>SA01</t>
        </is>
      </c>
      <c r="E162" t="inlineStr">
        <is>
          <t>STA ANA</t>
        </is>
      </c>
      <c r="F162" t="inlineStr">
        <is>
          <t>Av. Independencia Sur #12</t>
        </is>
      </c>
      <c r="G162" t="inlineStr">
        <is>
          <t>Santa Ana</t>
        </is>
      </c>
      <c r="H162" t="inlineStr">
        <is>
          <t>Santa Ana</t>
        </is>
      </c>
      <c r="I162" t="inlineStr">
        <is>
          <t>Verónica Sandoval</t>
        </is>
      </c>
      <c r="J162" t="inlineStr">
        <is>
          <t>2440-9921</t>
        </is>
      </c>
      <c r="K162" t="inlineStr">
        <is>
          <t>Sofía Cáceres</t>
        </is>
      </c>
      <c r="L162" t="inlineStr">
        <is>
          <t>Sandra Sorto López</t>
        </is>
      </c>
      <c r="M162" t="inlineStr">
        <is>
          <t>00961529-1</t>
        </is>
      </c>
      <c r="N162" t="inlineStr">
        <is>
          <t>2123-6077</t>
        </is>
      </c>
      <c r="O162" t="inlineStr">
        <is>
          <t>Consumidor final</t>
        </is>
      </c>
      <c r="P162" t="inlineStr">
        <is>
          <t>PAN-002</t>
        </is>
      </c>
      <c r="Q162" t="inlineStr">
        <is>
          <t>Semita alta</t>
        </is>
      </c>
      <c r="R162" t="inlineStr">
        <is>
          <t>Panadería</t>
        </is>
      </c>
      <c r="S162" t="inlineStr">
        <is>
          <t>Panificadora Ilopango</t>
        </is>
      </c>
      <c r="T162" t="inlineStr">
        <is>
          <t>2295-0081</t>
        </is>
      </c>
      <c r="U162" t="n">
        <v>1.75</v>
      </c>
      <c r="V162" t="n">
        <v>3</v>
      </c>
      <c r="W162" t="n">
        <v>0</v>
      </c>
      <c r="X162">
        <f>IFERROR(U162*V162*(1-W162/100),"")</f>
        <v/>
      </c>
      <c r="Y162">
        <f>IFERROR(ROUND(X162*0.13,2),"")</f>
        <v/>
      </c>
      <c r="Z162">
        <f>IFERROR(X162+Y162,"")</f>
        <v/>
      </c>
      <c r="AA162" t="inlineStr">
        <is>
          <t>Tarjeta</t>
        </is>
      </c>
      <c r="AB162" t="inlineStr"/>
    </row>
    <row r="163">
      <c r="A163" t="inlineStr">
        <is>
          <t>F-10575</t>
        </is>
      </c>
      <c r="B163" s="3" t="n">
        <v>46267</v>
      </c>
      <c r="C163" t="inlineStr">
        <is>
          <t>Factura</t>
        </is>
      </c>
      <c r="D163" t="inlineStr">
        <is>
          <t>SA01</t>
        </is>
      </c>
      <c r="E163" t="inlineStr">
        <is>
          <t>Santa Ana</t>
        </is>
      </c>
      <c r="F163" t="inlineStr">
        <is>
          <t>Av. Independencia Sur #12</t>
        </is>
      </c>
      <c r="G163" t="inlineStr">
        <is>
          <t>Santa Ana</t>
        </is>
      </c>
      <c r="H163" t="inlineStr">
        <is>
          <t>Santa Ana</t>
        </is>
      </c>
      <c r="I163" t="inlineStr">
        <is>
          <t>Mauricio Linares</t>
        </is>
      </c>
      <c r="J163" t="inlineStr">
        <is>
          <t>2440-9921</t>
        </is>
      </c>
      <c r="K163" t="inlineStr">
        <is>
          <t>Sofía Cáceres</t>
        </is>
      </c>
      <c r="L163" t="inlineStr">
        <is>
          <t>Sandra Sorto López</t>
        </is>
      </c>
      <c r="M163" t="inlineStr">
        <is>
          <t>00961529-1</t>
        </is>
      </c>
      <c r="N163" t="inlineStr">
        <is>
          <t>2123-6077</t>
        </is>
      </c>
      <c r="O163" t="inlineStr">
        <is>
          <t>Consumidor final</t>
        </is>
      </c>
      <c r="P163" t="inlineStr">
        <is>
          <t>BEB-001</t>
        </is>
      </c>
      <c r="Q163" t="inlineStr">
        <is>
          <t>Gaseosa 2.5L</t>
        </is>
      </c>
      <c r="R163" t="inlineStr">
        <is>
          <t>Bebidas</t>
        </is>
      </c>
      <c r="S163" t="inlineStr">
        <is>
          <t>Bebidas Izalco</t>
        </is>
      </c>
      <c r="T163" t="inlineStr">
        <is>
          <t>2450-7700</t>
        </is>
      </c>
      <c r="U163" t="n">
        <v>1.95</v>
      </c>
      <c r="V163" t="n">
        <v>2</v>
      </c>
      <c r="W163" t="n">
        <v>0</v>
      </c>
      <c r="X163">
        <f>IFERROR(U163*V163*(1-W163/100),"")</f>
        <v/>
      </c>
      <c r="Y163">
        <f>IFERROR(ROUND(X163*0.13,2),"")</f>
        <v/>
      </c>
      <c r="Z163">
        <f>IFERROR(X163+Y163,"")</f>
        <v/>
      </c>
      <c r="AA163" t="inlineStr">
        <is>
          <t>Tarjeta</t>
        </is>
      </c>
      <c r="AB163" t="inlineStr"/>
    </row>
    <row r="164">
      <c r="A164" t="inlineStr">
        <is>
          <t>F-10575</t>
        </is>
      </c>
      <c r="B164" s="3" t="n">
        <v>46267</v>
      </c>
      <c r="C164" t="inlineStr">
        <is>
          <t>Factura</t>
        </is>
      </c>
      <c r="D164" t="inlineStr">
        <is>
          <t>SA01</t>
        </is>
      </c>
      <c r="E164" t="inlineStr">
        <is>
          <t>Santa Ana</t>
        </is>
      </c>
      <c r="F164" t="inlineStr">
        <is>
          <t>Av. Independencia Sur #12</t>
        </is>
      </c>
      <c r="G164" t="inlineStr">
        <is>
          <t>Santa Ana</t>
        </is>
      </c>
      <c r="H164" t="inlineStr">
        <is>
          <t>Santa Ana</t>
        </is>
      </c>
      <c r="I164" t="inlineStr">
        <is>
          <t>Verónica Sandoval</t>
        </is>
      </c>
      <c r="J164" t="inlineStr">
        <is>
          <t>2440-9921</t>
        </is>
      </c>
      <c r="K164" t="inlineStr">
        <is>
          <t>Sofía Cáceres</t>
        </is>
      </c>
      <c r="L164" t="inlineStr">
        <is>
          <t>Sandra Sorto López</t>
        </is>
      </c>
      <c r="M164" t="inlineStr">
        <is>
          <t>00961529-1</t>
        </is>
      </c>
      <c r="N164" t="inlineStr">
        <is>
          <t>2123-6077</t>
        </is>
      </c>
      <c r="O164" t="inlineStr">
        <is>
          <t>Consumidor final</t>
        </is>
      </c>
      <c r="P164" t="inlineStr">
        <is>
          <t>HIG-001</t>
        </is>
      </c>
      <c r="Q164" t="inlineStr">
        <is>
          <t>Detergente 1kg</t>
        </is>
      </c>
      <c r="R164" t="inlineStr">
        <is>
          <t>Limpieza</t>
        </is>
      </c>
      <c r="S164" t="inlineStr">
        <is>
          <t>Higiene Total C.A.</t>
        </is>
      </c>
      <c r="T164" t="inlineStr">
        <is>
          <t>2207-5566</t>
        </is>
      </c>
      <c r="U164" t="n">
        <v>3.45</v>
      </c>
      <c r="V164" t="n">
        <v>24</v>
      </c>
      <c r="W164" t="n">
        <v>0</v>
      </c>
      <c r="X164">
        <f>IFERROR(U164*V164*(1-W164/100),"")</f>
        <v/>
      </c>
      <c r="Y164">
        <f>IFERROR(ROUND(X164*0.13,2),"")</f>
        <v/>
      </c>
      <c r="Z164">
        <f>IFERROR(X164+Y164,"")</f>
        <v/>
      </c>
      <c r="AA164" t="inlineStr">
        <is>
          <t>Tarjeta</t>
        </is>
      </c>
      <c r="AB164" t="inlineStr"/>
    </row>
    <row r="165">
      <c r="A165" t="inlineStr">
        <is>
          <t>F-10578</t>
        </is>
      </c>
      <c r="B165" s="3" t="n">
        <v>46282</v>
      </c>
      <c r="C165" t="inlineStr">
        <is>
          <t>factura</t>
        </is>
      </c>
      <c r="D165" t="inlineStr">
        <is>
          <t>SS03</t>
        </is>
      </c>
      <c r="E165" t="inlineStr">
        <is>
          <t>soyapango</t>
        </is>
      </c>
      <c r="F165" t="inlineStr">
        <is>
          <t>Blvd. del Ejército km 4</t>
        </is>
      </c>
      <c r="G165" t="inlineStr">
        <is>
          <t>Soyapango</t>
        </is>
      </c>
      <c r="H165" t="inlineStr">
        <is>
          <t>San Salvador</t>
        </is>
      </c>
      <c r="I165" t="inlineStr">
        <is>
          <t>Karla Henríquez</t>
        </is>
      </c>
      <c r="J165" t="inlineStr">
        <is>
          <t>2277-3402</t>
        </is>
      </c>
      <c r="K165" t="inlineStr">
        <is>
          <t>Carlos Molina</t>
        </is>
      </c>
      <c r="L165" t="inlineStr">
        <is>
          <t>Mario Sorto Castillo</t>
        </is>
      </c>
      <c r="M165" t="inlineStr">
        <is>
          <t>09824839-0</t>
        </is>
      </c>
      <c r="N165" t="inlineStr">
        <is>
          <t>7450-4234</t>
        </is>
      </c>
      <c r="O165" t="inlineStr">
        <is>
          <t>Consumidor final</t>
        </is>
      </c>
      <c r="P165" t="inlineStr">
        <is>
          <t>HIG-001</t>
        </is>
      </c>
      <c r="Q165" t="inlineStr">
        <is>
          <t>Detergente 1kg</t>
        </is>
      </c>
      <c r="R165" t="inlineStr">
        <is>
          <t>Limpieza</t>
        </is>
      </c>
      <c r="S165" t="inlineStr">
        <is>
          <t>Higiene Total C.A.</t>
        </is>
      </c>
      <c r="T165" t="inlineStr">
        <is>
          <t>2207-5566</t>
        </is>
      </c>
      <c r="U165" t="n">
        <v>3.45</v>
      </c>
      <c r="V165" t="n">
        <v>6</v>
      </c>
      <c r="W165" t="n">
        <v>0</v>
      </c>
      <c r="X165">
        <f>IFERROR(U165*V165*(1-W165/100),"")</f>
        <v/>
      </c>
      <c r="Y165">
        <f>IFERROR(ROUND(X165*0.13,2),"")</f>
        <v/>
      </c>
      <c r="Z165">
        <f>IFERROR(X165+Y165,"")</f>
        <v/>
      </c>
      <c r="AA165" t="inlineStr">
        <is>
          <t>Efectivo</t>
        </is>
      </c>
      <c r="AB165" t="inlineStr">
        <is>
          <t>Llamar al 7788-1234 antes de entregar</t>
        </is>
      </c>
    </row>
    <row r="166">
      <c r="A166" t="inlineStr">
        <is>
          <t>F-10578</t>
        </is>
      </c>
      <c r="B166" s="3" t="n">
        <v>46282</v>
      </c>
      <c r="C166" t="inlineStr">
        <is>
          <t>factura</t>
        </is>
      </c>
      <c r="D166" t="inlineStr">
        <is>
          <t>SS03</t>
        </is>
      </c>
      <c r="E166" t="inlineStr">
        <is>
          <t>Soyapango</t>
        </is>
      </c>
      <c r="F166" t="inlineStr">
        <is>
          <t>Blvd. del Ejército km 4</t>
        </is>
      </c>
      <c r="G166" t="inlineStr">
        <is>
          <t>Soyapango</t>
        </is>
      </c>
      <c r="H166" t="inlineStr">
        <is>
          <t>San Salvador</t>
        </is>
      </c>
      <c r="I166" t="inlineStr">
        <is>
          <t>Karla Henríquez</t>
        </is>
      </c>
      <c r="J166" t="inlineStr">
        <is>
          <t>2277-3402</t>
        </is>
      </c>
      <c r="K166" t="inlineStr">
        <is>
          <t>Carlos Molina</t>
        </is>
      </c>
      <c r="L166" t="inlineStr">
        <is>
          <t>Mario Sorto Castillo</t>
        </is>
      </c>
      <c r="M166" t="inlineStr">
        <is>
          <t>09824839-0</t>
        </is>
      </c>
      <c r="N166" t="inlineStr">
        <is>
          <t>7450-4234</t>
        </is>
      </c>
      <c r="O166" t="inlineStr">
        <is>
          <t>Consumidor final</t>
        </is>
      </c>
      <c r="P166" t="inlineStr">
        <is>
          <t>BEB-003</t>
        </is>
      </c>
      <c r="Q166" t="inlineStr">
        <is>
          <t>Horchata en polvo 400g</t>
        </is>
      </c>
      <c r="R166" t="inlineStr">
        <is>
          <t>Abarrotes</t>
        </is>
      </c>
      <c r="S166" t="inlineStr">
        <is>
          <t>Bebidas Izalco</t>
        </is>
      </c>
      <c r="T166" t="inlineStr">
        <is>
          <t>2450-7700</t>
        </is>
      </c>
      <c r="U166" t="n">
        <v>2.6</v>
      </c>
      <c r="V166" t="n">
        <v>1</v>
      </c>
      <c r="W166" t="n">
        <v>0</v>
      </c>
      <c r="X166">
        <f>IFERROR(U166*V166*(1-W166/100),"")</f>
        <v/>
      </c>
      <c r="Y166">
        <f>IFERROR(ROUND(X166*0.13,2),"")</f>
        <v/>
      </c>
      <c r="Z166">
        <f>IFERROR(X166+Y166,"")</f>
        <v/>
      </c>
      <c r="AA166" t="inlineStr">
        <is>
          <t>Efectivo</t>
        </is>
      </c>
      <c r="AB166" t="inlineStr">
        <is>
          <t>Llamar al 7788-1234 antes de entregar</t>
        </is>
      </c>
    </row>
    <row r="167">
      <c r="A167" t="inlineStr">
        <is>
          <t>F-10578</t>
        </is>
      </c>
      <c r="B167" s="3" t="n">
        <v>46282</v>
      </c>
      <c r="C167" t="inlineStr">
        <is>
          <t>factura</t>
        </is>
      </c>
      <c r="D167" t="inlineStr">
        <is>
          <t>SS03</t>
        </is>
      </c>
      <c r="E167" t="inlineStr">
        <is>
          <t>soyapango</t>
        </is>
      </c>
      <c r="F167" t="inlineStr">
        <is>
          <t>Blvd. del Ejército km 4</t>
        </is>
      </c>
      <c r="G167" t="inlineStr">
        <is>
          <t>Soyapango</t>
        </is>
      </c>
      <c r="H167" t="inlineStr">
        <is>
          <t>San Salvador</t>
        </is>
      </c>
      <c r="I167" t="inlineStr">
        <is>
          <t>Karla Henríquez</t>
        </is>
      </c>
      <c r="J167" t="inlineStr">
        <is>
          <t>2277-3402</t>
        </is>
      </c>
      <c r="K167" t="inlineStr">
        <is>
          <t>Carlos Molina</t>
        </is>
      </c>
      <c r="L167" t="inlineStr">
        <is>
          <t>Mario Sorto Castillo</t>
        </is>
      </c>
      <c r="M167" t="inlineStr">
        <is>
          <t>09824839-0</t>
        </is>
      </c>
      <c r="N167" t="inlineStr">
        <is>
          <t>7450-4234</t>
        </is>
      </c>
      <c r="O167" t="inlineStr">
        <is>
          <t>Consumidor final</t>
        </is>
      </c>
      <c r="P167" t="inlineStr">
        <is>
          <t>LAC-002</t>
        </is>
      </c>
      <c r="Q167" t="inlineStr">
        <is>
          <t>Crema 500ml</t>
        </is>
      </c>
      <c r="R167" t="inlineStr">
        <is>
          <t>Lácteos</t>
        </is>
      </c>
      <c r="S167" t="inlineStr">
        <is>
          <t>Lácteos Chalate</t>
        </is>
      </c>
      <c r="T167" t="inlineStr">
        <is>
          <t>2335-1020</t>
        </is>
      </c>
      <c r="U167" t="n">
        <v>2.25</v>
      </c>
      <c r="V167" t="n">
        <v>1</v>
      </c>
      <c r="W167" t="n">
        <v>0</v>
      </c>
      <c r="X167">
        <f>IFERROR(U167*V167*(1-W167/100),"")</f>
        <v/>
      </c>
      <c r="Y167">
        <f>IFERROR(ROUND(X167*0.13,2),"")</f>
        <v/>
      </c>
      <c r="Z167">
        <f>IFERROR(X167+Y167,"")</f>
        <v/>
      </c>
      <c r="AA167" t="inlineStr">
        <is>
          <t>Efectivo</t>
        </is>
      </c>
      <c r="AB167" t="inlineStr"/>
    </row>
    <row r="168">
      <c r="A168" t="inlineStr">
        <is>
          <t>F-10578</t>
        </is>
      </c>
      <c r="B168" t="inlineStr">
        <is>
          <t>17/09/2026</t>
        </is>
      </c>
      <c r="C168" t="inlineStr">
        <is>
          <t>factura</t>
        </is>
      </c>
      <c r="D168" t="inlineStr">
        <is>
          <t>SS03</t>
        </is>
      </c>
      <c r="E168" t="inlineStr">
        <is>
          <t>Soyapango</t>
        </is>
      </c>
      <c r="F168" t="inlineStr">
        <is>
          <t>Blvd. del Ejército km 4</t>
        </is>
      </c>
      <c r="G168" t="inlineStr">
        <is>
          <t>Soyapango</t>
        </is>
      </c>
      <c r="H168" t="inlineStr">
        <is>
          <t>San Salvador</t>
        </is>
      </c>
      <c r="I168" t="inlineStr">
        <is>
          <t>Karla Henríquez</t>
        </is>
      </c>
      <c r="J168" t="inlineStr">
        <is>
          <t>2277-3402</t>
        </is>
      </c>
      <c r="K168" t="inlineStr">
        <is>
          <t>Carlos Molina</t>
        </is>
      </c>
      <c r="L168" t="inlineStr">
        <is>
          <t>Mario Sorto Castillo</t>
        </is>
      </c>
      <c r="M168" t="inlineStr">
        <is>
          <t>09824839-0</t>
        </is>
      </c>
      <c r="N168" t="inlineStr">
        <is>
          <t>7450-4234</t>
        </is>
      </c>
      <c r="O168" t="inlineStr">
        <is>
          <t>Consumidor final</t>
        </is>
      </c>
      <c r="P168" t="inlineStr">
        <is>
          <t>LAC-003</t>
        </is>
      </c>
      <c r="Q168" t="inlineStr">
        <is>
          <t>Leche entera 1L</t>
        </is>
      </c>
      <c r="R168" t="inlineStr">
        <is>
          <t>Lácteos</t>
        </is>
      </c>
      <c r="S168" t="inlineStr">
        <is>
          <t>Lácteos Chalate</t>
        </is>
      </c>
      <c r="T168" t="inlineStr">
        <is>
          <t>2335-1020</t>
        </is>
      </c>
      <c r="U168" t="n">
        <v>1.2</v>
      </c>
      <c r="V168" t="n">
        <v>1</v>
      </c>
      <c r="W168" t="n">
        <v>0</v>
      </c>
      <c r="X168">
        <f>IFERROR(U168*V168*(1-W168/100),"")</f>
        <v/>
      </c>
      <c r="Y168">
        <f>IFERROR(ROUND(X168*0.13,2),"")</f>
        <v/>
      </c>
      <c r="Z168">
        <f>IFERROR(X168+Y168,"")</f>
        <v/>
      </c>
      <c r="AA168" t="inlineStr">
        <is>
          <t>Efectivo</t>
        </is>
      </c>
      <c r="AB168" t="inlineStr">
        <is>
          <t>pagó con billete de $100</t>
        </is>
      </c>
    </row>
    <row r="169">
      <c r="A169" t="inlineStr">
        <is>
          <t>F-10581</t>
        </is>
      </c>
      <c r="B169" t="inlineStr">
        <is>
          <t>18/08/2026</t>
        </is>
      </c>
      <c r="C169" t="inlineStr">
        <is>
          <t>Factura</t>
        </is>
      </c>
      <c r="D169" t="inlineStr">
        <is>
          <t>LL01</t>
        </is>
      </c>
      <c r="E169" t="inlineStr">
        <is>
          <t>Santa Tecla</t>
        </is>
      </c>
      <c r="F169" t="inlineStr">
        <is>
          <t>Calle Daniel Hernández #18</t>
        </is>
      </c>
      <c r="G169" t="inlineStr">
        <is>
          <t>Santa Tecla</t>
        </is>
      </c>
      <c r="H169" t="inlineStr">
        <is>
          <t>La Libertad</t>
        </is>
      </c>
      <c r="I169" t="inlineStr">
        <is>
          <t>Óscar Rivas</t>
        </is>
      </c>
      <c r="J169" t="inlineStr">
        <is>
          <t>2228-7731</t>
        </is>
      </c>
      <c r="K169" t="inlineStr">
        <is>
          <t>Andrea Pineda</t>
        </is>
      </c>
      <c r="L169" t="inlineStr">
        <is>
          <t>Carmen Quintanilla Mejía</t>
        </is>
      </c>
      <c r="M169" t="inlineStr">
        <is>
          <t>05832730-5</t>
        </is>
      </c>
      <c r="N169" t="inlineStr">
        <is>
          <t>6863-9414</t>
        </is>
      </c>
      <c r="O169" t="inlineStr">
        <is>
          <t>Consumidor final</t>
        </is>
      </c>
      <c r="P169" t="inlineStr">
        <is>
          <t>HIG-001</t>
        </is>
      </c>
      <c r="Q169" t="inlineStr">
        <is>
          <t>Detergente 1kg</t>
        </is>
      </c>
      <c r="R169" t="inlineStr">
        <is>
          <t>Higiene</t>
        </is>
      </c>
      <c r="S169" t="inlineStr">
        <is>
          <t>Higiene Total C.A.</t>
        </is>
      </c>
      <c r="T169" t="inlineStr">
        <is>
          <t>2207-5566</t>
        </is>
      </c>
      <c r="U169" t="n">
        <v>3.45</v>
      </c>
      <c r="V169" t="n">
        <v>4</v>
      </c>
      <c r="W169" t="n">
        <v>0</v>
      </c>
      <c r="X169">
        <f>IFERROR(U169*V169*(1-W169/100),"")</f>
        <v/>
      </c>
      <c r="Y169">
        <f>IFERROR(ROUND(X169*0.13,2),"")</f>
        <v/>
      </c>
      <c r="Z169">
        <f>IFERROR(X169+Y169,"")</f>
        <v/>
      </c>
      <c r="AA169" t="inlineStr">
        <is>
          <t>Efectivo</t>
        </is>
      </c>
      <c r="AB169" t="inlineStr"/>
    </row>
    <row r="170">
      <c r="A170" t="inlineStr">
        <is>
          <t>F-10581</t>
        </is>
      </c>
      <c r="B170" s="3" t="n">
        <v>46252</v>
      </c>
      <c r="C170" t="inlineStr">
        <is>
          <t>Factura</t>
        </is>
      </c>
      <c r="D170" t="inlineStr">
        <is>
          <t>LL01</t>
        </is>
      </c>
      <c r="E170" t="inlineStr">
        <is>
          <t>Sta. Tecla</t>
        </is>
      </c>
      <c r="F170" t="inlineStr">
        <is>
          <t>Calle Daniel Hernández #18</t>
        </is>
      </c>
      <c r="G170" t="inlineStr">
        <is>
          <t>Santa Tecla</t>
        </is>
      </c>
      <c r="H170" t="inlineStr">
        <is>
          <t>La Libertad</t>
        </is>
      </c>
      <c r="I170" t="inlineStr">
        <is>
          <t>Óscar Rivas</t>
        </is>
      </c>
      <c r="J170" t="inlineStr">
        <is>
          <t>2228-7731</t>
        </is>
      </c>
      <c r="K170" t="inlineStr">
        <is>
          <t>Andrea Pineda</t>
        </is>
      </c>
      <c r="L170" t="inlineStr">
        <is>
          <t>Carmen Quintanilla Mejía</t>
        </is>
      </c>
      <c r="M170" t="inlineStr">
        <is>
          <t>05832730-5</t>
        </is>
      </c>
      <c r="N170" t="inlineStr">
        <is>
          <t>6863-9414</t>
        </is>
      </c>
      <c r="O170" t="inlineStr">
        <is>
          <t>Consumidor final</t>
        </is>
      </c>
      <c r="P170" t="inlineStr">
        <is>
          <t>PAN-001</t>
        </is>
      </c>
      <c r="Q170" t="inlineStr">
        <is>
          <t>Pan francés bolsa 10u</t>
        </is>
      </c>
      <c r="R170" t="inlineStr">
        <is>
          <t>Panadería</t>
        </is>
      </c>
      <c r="S170" t="inlineStr">
        <is>
          <t>Panificadora Ilopango</t>
        </is>
      </c>
      <c r="T170" t="inlineStr">
        <is>
          <t>2295-0081</t>
        </is>
      </c>
      <c r="U170" t="inlineStr">
        <is>
          <t>$1.00</t>
        </is>
      </c>
      <c r="V170" t="n">
        <v>1</v>
      </c>
      <c r="W170" t="n">
        <v>0</v>
      </c>
      <c r="X170">
        <f>IFERROR(U170*V170*(1-W170/100),"")</f>
        <v/>
      </c>
      <c r="Y170">
        <f>IFERROR(ROUND(X170*0.13,2),"")</f>
        <v/>
      </c>
      <c r="Z170">
        <f>IFERROR(X170+Y170,"")</f>
        <v/>
      </c>
      <c r="AA170" t="inlineStr">
        <is>
          <t>Efectivo</t>
        </is>
      </c>
      <c r="AB170" t="inlineStr"/>
    </row>
    <row r="171">
      <c r="A171" t="inlineStr">
        <is>
          <t>F-10581</t>
        </is>
      </c>
      <c r="B171" s="3" t="n">
        <v>46252</v>
      </c>
      <c r="C171" t="inlineStr">
        <is>
          <t>Factura</t>
        </is>
      </c>
      <c r="D171" t="inlineStr">
        <is>
          <t>LL01</t>
        </is>
      </c>
      <c r="E171" t="inlineStr">
        <is>
          <t>Sta. Tecla</t>
        </is>
      </c>
      <c r="F171" t="inlineStr">
        <is>
          <t>Calle Daniel Hernández #18</t>
        </is>
      </c>
      <c r="G171" t="inlineStr">
        <is>
          <t>Santa Tecla</t>
        </is>
      </c>
      <c r="H171" t="inlineStr">
        <is>
          <t>La Libertad</t>
        </is>
      </c>
      <c r="I171" t="inlineStr">
        <is>
          <t>Óscar Rivas</t>
        </is>
      </c>
      <c r="J171" t="inlineStr">
        <is>
          <t>2228-7731</t>
        </is>
      </c>
      <c r="K171" t="inlineStr">
        <is>
          <t>Andrea Pineda</t>
        </is>
      </c>
      <c r="L171" t="inlineStr">
        <is>
          <t>Carmen Quintanilla Mejía</t>
        </is>
      </c>
      <c r="M171" t="inlineStr">
        <is>
          <t>05832730-5</t>
        </is>
      </c>
      <c r="N171" t="inlineStr">
        <is>
          <t>6863-9414</t>
        </is>
      </c>
      <c r="O171" t="inlineStr">
        <is>
          <t>Consumidor final</t>
        </is>
      </c>
      <c r="P171" t="inlineStr">
        <is>
          <t>HAR-001</t>
        </is>
      </c>
      <c r="Q171" t="inlineStr">
        <is>
          <t>Harina de maíz 2lb</t>
        </is>
      </c>
      <c r="R171" t="inlineStr">
        <is>
          <t>Abarrotes</t>
        </is>
      </c>
      <c r="S171" t="inlineStr">
        <is>
          <t>Granos del Pacífico</t>
        </is>
      </c>
      <c r="T171" t="inlineStr">
        <is>
          <t>2234-8890</t>
        </is>
      </c>
      <c r="U171" t="n">
        <v>1.35</v>
      </c>
      <c r="V171" t="n">
        <v>1</v>
      </c>
      <c r="W171" t="n">
        <v>0</v>
      </c>
      <c r="X171">
        <f>IFERROR(U171*V171*(1-W171/100),"")</f>
        <v/>
      </c>
      <c r="Y171">
        <f>IFERROR(ROUND(X171*0.13,2),"")</f>
        <v/>
      </c>
      <c r="Z171">
        <f>IFERROR(X171+Y171,"")</f>
        <v/>
      </c>
      <c r="AA171" t="inlineStr">
        <is>
          <t>Efectivo</t>
        </is>
      </c>
      <c r="AB171" t="inlineStr"/>
    </row>
    <row r="172">
      <c r="A172" t="inlineStr">
        <is>
          <t>F-10581</t>
        </is>
      </c>
      <c r="B172" s="3" t="n">
        <v>46252</v>
      </c>
      <c r="C172" t="inlineStr">
        <is>
          <t>Factura</t>
        </is>
      </c>
      <c r="D172" t="inlineStr">
        <is>
          <t>LL01</t>
        </is>
      </c>
      <c r="E172" t="inlineStr">
        <is>
          <t>Sta. Tecla</t>
        </is>
      </c>
      <c r="F172" t="inlineStr">
        <is>
          <t>Calle Daniel Hernández #18</t>
        </is>
      </c>
      <c r="G172" t="inlineStr">
        <is>
          <t>Santa Tecla</t>
        </is>
      </c>
      <c r="H172" t="inlineStr">
        <is>
          <t>La Libertad</t>
        </is>
      </c>
      <c r="I172" t="inlineStr">
        <is>
          <t>Óscar Rivas</t>
        </is>
      </c>
      <c r="J172" t="inlineStr">
        <is>
          <t>2228-7731</t>
        </is>
      </c>
      <c r="K172" t="inlineStr">
        <is>
          <t>Andrea Pineda</t>
        </is>
      </c>
      <c r="L172" t="inlineStr">
        <is>
          <t>Carmen Quintanilla Mejía</t>
        </is>
      </c>
      <c r="M172" t="inlineStr">
        <is>
          <t>05832730-5</t>
        </is>
      </c>
      <c r="N172" t="inlineStr">
        <is>
          <t>6863-9414</t>
        </is>
      </c>
      <c r="O172" t="inlineStr">
        <is>
          <t>Consumidor final</t>
        </is>
      </c>
      <c r="P172" t="inlineStr">
        <is>
          <t>LAC-001</t>
        </is>
      </c>
      <c r="Q172" t="inlineStr">
        <is>
          <t>Quesillo 1lb</t>
        </is>
      </c>
      <c r="R172" t="inlineStr">
        <is>
          <t>LACTEOS</t>
        </is>
      </c>
      <c r="S172" t="inlineStr">
        <is>
          <t>Lácteos Chalate</t>
        </is>
      </c>
      <c r="T172" t="inlineStr">
        <is>
          <t>2335-1020</t>
        </is>
      </c>
      <c r="U172" t="n">
        <v>3.8</v>
      </c>
      <c r="V172" t="n">
        <v>2</v>
      </c>
      <c r="W172" t="n">
        <v>0</v>
      </c>
      <c r="X172">
        <f>IFERROR(U172*V172*(1-W172/100),"")</f>
        <v/>
      </c>
      <c r="Y172">
        <f>IFERROR(ROUND(X172*0.13,2),"")</f>
        <v/>
      </c>
      <c r="Z172">
        <f>IFERROR(X172+Y172,"")</f>
        <v/>
      </c>
      <c r="AA172" t="inlineStr">
        <is>
          <t>Efectivo</t>
        </is>
      </c>
      <c r="AB172" t="inlineStr"/>
    </row>
    <row r="173">
      <c r="A173" t="inlineStr">
        <is>
          <t>F-10584</t>
        </is>
      </c>
      <c r="B173" t="inlineStr">
        <is>
          <t>25/07/2026</t>
        </is>
      </c>
      <c r="C173" t="inlineStr">
        <is>
          <t>Factura</t>
        </is>
      </c>
      <c r="D173" t="inlineStr">
        <is>
          <t>LL01</t>
        </is>
      </c>
      <c r="E173" t="inlineStr">
        <is>
          <t>Santa Tecla</t>
        </is>
      </c>
      <c r="F173" t="inlineStr">
        <is>
          <t>Calle Daniel Hernández #18</t>
        </is>
      </c>
      <c r="G173" t="inlineStr">
        <is>
          <t>Santa Tecla</t>
        </is>
      </c>
      <c r="H173" t="inlineStr">
        <is>
          <t>La Libertad</t>
        </is>
      </c>
      <c r="I173" t="inlineStr">
        <is>
          <t>Óscar Rivas</t>
        </is>
      </c>
      <c r="J173" t="inlineStr">
        <is>
          <t>2228-7731</t>
        </is>
      </c>
      <c r="K173" t="inlineStr">
        <is>
          <t>Andrea Pineda</t>
        </is>
      </c>
      <c r="L173" t="inlineStr">
        <is>
          <t>Edwin Cornejo Mejía</t>
        </is>
      </c>
      <c r="M173" t="inlineStr">
        <is>
          <t>09391819-6</t>
        </is>
      </c>
      <c r="N173" t="inlineStr">
        <is>
          <t>7415-9980</t>
        </is>
      </c>
      <c r="O173" t="inlineStr">
        <is>
          <t>Consumidor final</t>
        </is>
      </c>
      <c r="P173" t="inlineStr">
        <is>
          <t>HIG-003</t>
        </is>
      </c>
      <c r="Q173" t="inlineStr">
        <is>
          <t>Jabón de lavar barra</t>
        </is>
      </c>
      <c r="R173" t="inlineStr">
        <is>
          <t>Limpieza</t>
        </is>
      </c>
      <c r="S173" t="inlineStr">
        <is>
          <t>Higiene Total C.A.</t>
        </is>
      </c>
      <c r="T173" t="inlineStr">
        <is>
          <t>2207-5566</t>
        </is>
      </c>
      <c r="U173" t="n">
        <v>0.75</v>
      </c>
      <c r="V173" t="n">
        <v>3</v>
      </c>
      <c r="W173" t="n">
        <v>0</v>
      </c>
      <c r="X173">
        <f>IFERROR(U173*V173*(1-W173/100),"")</f>
        <v/>
      </c>
      <c r="Y173">
        <f>IFERROR(ROUND(X173*0.13,2),"")</f>
        <v/>
      </c>
      <c r="Z173">
        <f>IFERROR(X173+Y173,"")</f>
        <v/>
      </c>
      <c r="AA173" t="inlineStr">
        <is>
          <t>Efectivo</t>
        </is>
      </c>
      <c r="AB173" t="inlineStr"/>
    </row>
    <row r="174">
      <c r="A174" t="inlineStr">
        <is>
          <t>F-10587</t>
        </is>
      </c>
      <c r="B174" s="3" t="n">
        <v>46248</v>
      </c>
      <c r="C174" t="inlineStr">
        <is>
          <t>factura</t>
        </is>
      </c>
      <c r="D174" t="inlineStr">
        <is>
          <t>SA01</t>
        </is>
      </c>
      <c r="E174" t="inlineStr">
        <is>
          <t>STA ANA</t>
        </is>
      </c>
      <c r="F174" t="inlineStr">
        <is>
          <t>Av. Independencia Sur #12</t>
        </is>
      </c>
      <c r="G174" t="inlineStr">
        <is>
          <t>Santa Ana</t>
        </is>
      </c>
      <c r="H174" t="inlineStr">
        <is>
          <t>Santa Ana</t>
        </is>
      </c>
      <c r="I174" t="inlineStr">
        <is>
          <t>Mauricio Linares</t>
        </is>
      </c>
      <c r="J174" t="inlineStr">
        <is>
          <t>2440-9921</t>
        </is>
      </c>
      <c r="K174" t="inlineStr">
        <is>
          <t>Diego Zelaya</t>
        </is>
      </c>
      <c r="L174" t="inlineStr">
        <is>
          <t>Ana Hernández Rivera</t>
        </is>
      </c>
      <c r="M174" t="inlineStr">
        <is>
          <t>07687780-8</t>
        </is>
      </c>
      <c r="N174" t="inlineStr">
        <is>
          <t>6468-4274</t>
        </is>
      </c>
      <c r="O174" t="inlineStr">
        <is>
          <t>Consumidor final</t>
        </is>
      </c>
      <c r="P174" t="inlineStr">
        <is>
          <t>ARR-001</t>
        </is>
      </c>
      <c r="Q174" t="inlineStr">
        <is>
          <t>Arroz blanco 5lb</t>
        </is>
      </c>
      <c r="R174" t="inlineStr">
        <is>
          <t>Abarrotes</t>
        </is>
      </c>
      <c r="S174" t="inlineStr">
        <is>
          <t>Granos del Pacífico</t>
        </is>
      </c>
      <c r="T174" t="inlineStr">
        <is>
          <t>2234-8890</t>
        </is>
      </c>
      <c r="U174" t="inlineStr">
        <is>
          <t>3,95</t>
        </is>
      </c>
      <c r="V174" t="n">
        <v>1</v>
      </c>
      <c r="W174" t="n">
        <v>0</v>
      </c>
      <c r="X174">
        <f>IFERROR(U174*V174*(1-W174/100),"")</f>
        <v/>
      </c>
      <c r="Y174">
        <f>IFERROR(ROUND(X174*0.13,2),"")</f>
        <v/>
      </c>
      <c r="Z174">
        <f>IFERROR(X174+Y174,"")</f>
        <v/>
      </c>
      <c r="AA174" t="inlineStr">
        <is>
          <t>Efectivo</t>
        </is>
      </c>
      <c r="AB174" t="inlineStr"/>
    </row>
    <row r="175">
      <c r="A175" t="inlineStr">
        <is>
          <t>F-10588</t>
        </is>
      </c>
      <c r="B175" s="3" t="n">
        <v>46247</v>
      </c>
      <c r="C175" t="inlineStr">
        <is>
          <t>factura</t>
        </is>
      </c>
      <c r="D175" t="inlineStr">
        <is>
          <t>SA01</t>
        </is>
      </c>
      <c r="E175" t="inlineStr">
        <is>
          <t>Santa  Ana</t>
        </is>
      </c>
      <c r="F175" t="inlineStr">
        <is>
          <t>Av. Independencia Sur #12</t>
        </is>
      </c>
      <c r="G175" t="inlineStr">
        <is>
          <t>Santa Ana</t>
        </is>
      </c>
      <c r="H175" t="inlineStr">
        <is>
          <t>Santa Ana</t>
        </is>
      </c>
      <c r="I175" t="inlineStr">
        <is>
          <t>Mauricio Linares</t>
        </is>
      </c>
      <c r="J175" t="inlineStr">
        <is>
          <t>2440-9921</t>
        </is>
      </c>
      <c r="K175" t="inlineStr">
        <is>
          <t>Diego Zelaya</t>
        </is>
      </c>
      <c r="L175" t="inlineStr">
        <is>
          <t>Xiomara Hernández Quintanilla</t>
        </is>
      </c>
      <c r="M175" t="inlineStr">
        <is>
          <t>06385104-8</t>
        </is>
      </c>
      <c r="N175" t="inlineStr">
        <is>
          <t>7931-3589</t>
        </is>
      </c>
      <c r="O175" t="inlineStr">
        <is>
          <t>Consumidor final</t>
        </is>
      </c>
      <c r="P175" t="inlineStr">
        <is>
          <t>PAN-003</t>
        </is>
      </c>
      <c r="Q175" t="inlineStr">
        <is>
          <t>Quesadilla salvadoreña</t>
        </is>
      </c>
      <c r="R175" t="inlineStr">
        <is>
          <t>Panadería</t>
        </is>
      </c>
      <c r="S175" t="inlineStr">
        <is>
          <t>Panificadora Ilopango</t>
        </is>
      </c>
      <c r="T175" t="inlineStr">
        <is>
          <t>2295-0081</t>
        </is>
      </c>
      <c r="U175" t="n">
        <v>2.5</v>
      </c>
      <c r="V175" t="n">
        <v>2</v>
      </c>
      <c r="W175" t="n">
        <v>0</v>
      </c>
      <c r="X175">
        <f>IFERROR(U175*V175*(1-W175/100),"")</f>
        <v/>
      </c>
      <c r="Y175">
        <f>IFERROR(ROUND(X175*0.13,2),"")</f>
        <v/>
      </c>
      <c r="Z175">
        <f>IFERROR(X175+Y175,"")</f>
        <v/>
      </c>
      <c r="AA175" t="inlineStr">
        <is>
          <t>Tarjeta</t>
        </is>
      </c>
      <c r="AB175" t="inlineStr">
        <is>
          <t>precio especial autorizado por gerente</t>
        </is>
      </c>
    </row>
    <row r="176">
      <c r="A176" t="inlineStr">
        <is>
          <t>F-10588</t>
        </is>
      </c>
      <c r="B176" t="inlineStr">
        <is>
          <t>13/08/2026</t>
        </is>
      </c>
      <c r="C176" t="inlineStr">
        <is>
          <t>factura</t>
        </is>
      </c>
      <c r="D176" t="inlineStr">
        <is>
          <t>SA01</t>
        </is>
      </c>
      <c r="E176" t="inlineStr">
        <is>
          <t>Santa  Ana</t>
        </is>
      </c>
      <c r="F176" t="inlineStr">
        <is>
          <t>Av. Independencia Sur #12</t>
        </is>
      </c>
      <c r="G176" t="inlineStr">
        <is>
          <t>Santa Ana</t>
        </is>
      </c>
      <c r="H176" t="inlineStr">
        <is>
          <t>Santa Ana</t>
        </is>
      </c>
      <c r="I176" t="inlineStr">
        <is>
          <t>Mauricio Linares</t>
        </is>
      </c>
      <c r="J176" t="inlineStr">
        <is>
          <t>2440-9921</t>
        </is>
      </c>
      <c r="K176" t="inlineStr">
        <is>
          <t>Diego Zelaya</t>
        </is>
      </c>
      <c r="L176" t="inlineStr">
        <is>
          <t>Xiomara Hernández Quintanilla</t>
        </is>
      </c>
      <c r="M176" t="inlineStr">
        <is>
          <t>06385104-8</t>
        </is>
      </c>
      <c r="N176" t="inlineStr">
        <is>
          <t>7931-3589</t>
        </is>
      </c>
      <c r="O176" t="inlineStr">
        <is>
          <t>Consumidor final</t>
        </is>
      </c>
      <c r="P176" t="inlineStr">
        <is>
          <t>PAN-001</t>
        </is>
      </c>
      <c r="Q176" t="inlineStr">
        <is>
          <t>Pan francés bolsa 10u</t>
        </is>
      </c>
      <c r="R176" t="inlineStr">
        <is>
          <t>Panaderia</t>
        </is>
      </c>
      <c r="S176" t="inlineStr">
        <is>
          <t>Panificadora Ilopango</t>
        </is>
      </c>
      <c r="T176" t="inlineStr">
        <is>
          <t>2295-0081</t>
        </is>
      </c>
      <c r="U176" t="n">
        <v>1</v>
      </c>
      <c r="V176" t="n">
        <v>3</v>
      </c>
      <c r="W176" t="n">
        <v>0</v>
      </c>
      <c r="X176">
        <f>IFERROR(U176*V176*(1-W176/100),"")</f>
        <v/>
      </c>
      <c r="Y176">
        <f>IFERROR(ROUND(X176*0.13,2),"")</f>
        <v/>
      </c>
      <c r="Z176">
        <f>IFERROR(X176+Y176,"")</f>
        <v/>
      </c>
      <c r="AA176" t="inlineStr">
        <is>
          <t>Tarjeta</t>
        </is>
      </c>
      <c r="AB176" t="inlineStr">
        <is>
          <t>pagó con billete de $100</t>
        </is>
      </c>
    </row>
    <row r="177">
      <c r="A177" t="inlineStr">
        <is>
          <t>F-10590</t>
        </is>
      </c>
      <c r="B177" s="3" t="n">
        <v>46280</v>
      </c>
      <c r="C177" t="inlineStr">
        <is>
          <t>Factura</t>
        </is>
      </c>
      <c r="D177" t="inlineStr">
        <is>
          <t>SS02</t>
        </is>
      </c>
      <c r="E177" t="inlineStr">
        <is>
          <t>Escalon</t>
        </is>
      </c>
      <c r="F177" t="inlineStr">
        <is>
          <t>Paseo General Escalón #3910</t>
        </is>
      </c>
      <c r="G177" t="inlineStr">
        <is>
          <t>San Salvador</t>
        </is>
      </c>
      <c r="H177" t="inlineStr">
        <is>
          <t>San Salvador</t>
        </is>
      </c>
      <c r="I177" t="inlineStr">
        <is>
          <t>Claudia Menjívar</t>
        </is>
      </c>
      <c r="J177" t="inlineStr">
        <is>
          <t>2264-1190</t>
        </is>
      </c>
      <c r="K177" t="inlineStr">
        <is>
          <t>Fátima Rosales</t>
        </is>
      </c>
      <c r="L177" t="inlineStr">
        <is>
          <t>Patricia Guevara Quintanilla</t>
        </is>
      </c>
      <c r="M177" t="inlineStr">
        <is>
          <t>07265655-3</t>
        </is>
      </c>
      <c r="N177" t="inlineStr">
        <is>
          <t>6951-5407</t>
        </is>
      </c>
      <c r="O177" t="inlineStr">
        <is>
          <t>Consumidor final</t>
        </is>
      </c>
      <c r="P177" t="inlineStr">
        <is>
          <t>ARR-001</t>
        </is>
      </c>
      <c r="Q177" t="inlineStr">
        <is>
          <t>Arroz blanco 5lb</t>
        </is>
      </c>
      <c r="R177" t="inlineStr">
        <is>
          <t>Granos básicos</t>
        </is>
      </c>
      <c r="S177" t="inlineStr">
        <is>
          <t>Granos del Pacífico</t>
        </is>
      </c>
      <c r="T177" t="inlineStr">
        <is>
          <t>2234-8890</t>
        </is>
      </c>
      <c r="U177" t="n">
        <v>3.95</v>
      </c>
      <c r="V177" t="n">
        <v>6</v>
      </c>
      <c r="W177" t="n">
        <v>0</v>
      </c>
      <c r="X177">
        <f>IFERROR(U177*V177*(1-W177/100),"")</f>
        <v/>
      </c>
      <c r="Y177">
        <f>IFERROR(ROUND(X177*0.13,2),"")</f>
        <v/>
      </c>
      <c r="Z177">
        <f>IFERROR(X177+Y177,"")</f>
        <v/>
      </c>
      <c r="AA177" t="inlineStr">
        <is>
          <t>Efectivo</t>
        </is>
      </c>
      <c r="AB177" t="inlineStr">
        <is>
          <t>Cliente frecuente</t>
        </is>
      </c>
    </row>
    <row r="178">
      <c r="A178" t="inlineStr">
        <is>
          <t>F-10590</t>
        </is>
      </c>
      <c r="B178" t="inlineStr">
        <is>
          <t>2026-09-15</t>
        </is>
      </c>
      <c r="C178" t="inlineStr">
        <is>
          <t>Factura</t>
        </is>
      </c>
      <c r="D178" t="inlineStr">
        <is>
          <t>SS02</t>
        </is>
      </c>
      <c r="E178" t="inlineStr">
        <is>
          <t>Col. Escalón</t>
        </is>
      </c>
      <c r="F178" t="inlineStr">
        <is>
          <t>Paseo General Escalón #3910</t>
        </is>
      </c>
      <c r="G178" t="inlineStr">
        <is>
          <t>San Salvador</t>
        </is>
      </c>
      <c r="H178" t="inlineStr">
        <is>
          <t>San Salvador</t>
        </is>
      </c>
      <c r="I178" t="inlineStr">
        <is>
          <t>Claudia Menjívar</t>
        </is>
      </c>
      <c r="J178" t="inlineStr">
        <is>
          <t>2264-1190</t>
        </is>
      </c>
      <c r="K178" t="inlineStr">
        <is>
          <t>Fátima Rosales</t>
        </is>
      </c>
      <c r="L178" t="inlineStr">
        <is>
          <t>Patricia Guevara Quintanilla</t>
        </is>
      </c>
      <c r="M178" t="inlineStr">
        <is>
          <t>07265655-3</t>
        </is>
      </c>
      <c r="N178" t="inlineStr">
        <is>
          <t>6951-5407</t>
        </is>
      </c>
      <c r="O178" t="inlineStr">
        <is>
          <t>Consumidor final</t>
        </is>
      </c>
      <c r="P178" t="inlineStr">
        <is>
          <t>HIG-002</t>
        </is>
      </c>
      <c r="Q178" t="inlineStr">
        <is>
          <t>Papel higiénico 4 rollos</t>
        </is>
      </c>
      <c r="R178" t="inlineStr">
        <is>
          <t>Limpieza</t>
        </is>
      </c>
      <c r="S178" t="inlineStr">
        <is>
          <t>Higiene Total C.A.</t>
        </is>
      </c>
      <c r="T178" t="inlineStr">
        <is>
          <t>2207-5566</t>
        </is>
      </c>
      <c r="U178" t="n">
        <v>2.15</v>
      </c>
      <c r="V178" t="n">
        <v>6</v>
      </c>
      <c r="W178" t="n">
        <v>0</v>
      </c>
      <c r="X178">
        <f>IFERROR(U178*V178*(1-W178/100),"")</f>
        <v/>
      </c>
      <c r="Y178">
        <f>IFERROR(ROUND(X178*0.13,2),"")</f>
        <v/>
      </c>
      <c r="Z178">
        <f>IFERROR(X178+Y178,"")</f>
        <v/>
      </c>
      <c r="AA178" t="inlineStr">
        <is>
          <t>Efectivo</t>
        </is>
      </c>
      <c r="AB178" t="inlineStr"/>
    </row>
    <row r="179">
      <c r="A179" t="inlineStr">
        <is>
          <t>F-10590</t>
        </is>
      </c>
      <c r="B179" s="3" t="n">
        <v>46280</v>
      </c>
      <c r="C179" t="inlineStr">
        <is>
          <t>Factura</t>
        </is>
      </c>
      <c r="D179" t="inlineStr">
        <is>
          <t>SS02</t>
        </is>
      </c>
      <c r="E179" t="inlineStr">
        <is>
          <t>Col. Escalón</t>
        </is>
      </c>
      <c r="F179" t="inlineStr">
        <is>
          <t>Paseo General Escalón #3910</t>
        </is>
      </c>
      <c r="G179" t="inlineStr">
        <is>
          <t>San Salvador</t>
        </is>
      </c>
      <c r="H179" t="inlineStr">
        <is>
          <t>San Salvador</t>
        </is>
      </c>
      <c r="I179" t="inlineStr">
        <is>
          <t>Claudia Menjívar</t>
        </is>
      </c>
      <c r="J179" t="inlineStr">
        <is>
          <t>2264-1190</t>
        </is>
      </c>
      <c r="K179" t="inlineStr">
        <is>
          <t>Fátima Rosales</t>
        </is>
      </c>
      <c r="L179" t="inlineStr">
        <is>
          <t>Patricia Guevara Quintanilla</t>
        </is>
      </c>
      <c r="M179" t="inlineStr">
        <is>
          <t>07265655-3</t>
        </is>
      </c>
      <c r="N179" t="inlineStr">
        <is>
          <t>6951-5407</t>
        </is>
      </c>
      <c r="O179" t="inlineStr">
        <is>
          <t>Consumidor final</t>
        </is>
      </c>
      <c r="P179" t="inlineStr">
        <is>
          <t>AZU-001</t>
        </is>
      </c>
      <c r="Q179" t="inlineStr">
        <is>
          <t>Azúcar blanca 2.5kg</t>
        </is>
      </c>
      <c r="R179" t="inlineStr">
        <is>
          <t>Abarrotes</t>
        </is>
      </c>
      <c r="S179" t="inlineStr">
        <is>
          <t>Granos del Pacífico</t>
        </is>
      </c>
      <c r="T179" t="inlineStr">
        <is>
          <t>2234-8890</t>
        </is>
      </c>
      <c r="U179" t="n">
        <v>3.1</v>
      </c>
      <c r="V179" t="n">
        <v>1</v>
      </c>
      <c r="W179" t="n">
        <v>0</v>
      </c>
      <c r="X179">
        <f>IFERROR(U179*V179*(1-W179/100),"")</f>
        <v/>
      </c>
      <c r="Y179">
        <f>IFERROR(ROUND(X179*0.13,2),"")</f>
        <v/>
      </c>
      <c r="Z179">
        <f>IFERROR(X179+Y179,"")</f>
        <v/>
      </c>
      <c r="AA179" t="inlineStr">
        <is>
          <t>Efectivo</t>
        </is>
      </c>
      <c r="AB179" t="inlineStr">
        <is>
          <t>pagó con billete de $100</t>
        </is>
      </c>
    </row>
    <row r="180">
      <c r="A180" t="inlineStr">
        <is>
          <t>F-10590</t>
        </is>
      </c>
      <c r="B180" s="4" t="n">
        <v>46280</v>
      </c>
      <c r="C180" t="inlineStr">
        <is>
          <t>Factura</t>
        </is>
      </c>
      <c r="D180" t="inlineStr">
        <is>
          <t>SS02</t>
        </is>
      </c>
      <c r="E180" t="inlineStr">
        <is>
          <t>Col. Escalón</t>
        </is>
      </c>
      <c r="F180" t="inlineStr">
        <is>
          <t>Paseo General Escalón #3910</t>
        </is>
      </c>
      <c r="G180" t="inlineStr">
        <is>
          <t>San Salvador</t>
        </is>
      </c>
      <c r="H180" t="inlineStr">
        <is>
          <t>San Salvador</t>
        </is>
      </c>
      <c r="I180" t="inlineStr">
        <is>
          <t>Claudia Menjívar</t>
        </is>
      </c>
      <c r="J180" t="inlineStr">
        <is>
          <t>2264-1190</t>
        </is>
      </c>
      <c r="K180" t="inlineStr">
        <is>
          <t>Fátima Rosales</t>
        </is>
      </c>
      <c r="L180" t="inlineStr">
        <is>
          <t>Patricia Guevara Quintanilla</t>
        </is>
      </c>
      <c r="M180" t="inlineStr">
        <is>
          <t>07265655-3</t>
        </is>
      </c>
      <c r="N180" t="inlineStr">
        <is>
          <t>6951-5407</t>
        </is>
      </c>
      <c r="O180" t="inlineStr">
        <is>
          <t>Consumidor final</t>
        </is>
      </c>
      <c r="P180" t="inlineStr">
        <is>
          <t>AZU-001</t>
        </is>
      </c>
      <c r="Q180" t="inlineStr">
        <is>
          <t>Azúcar blanca 2.5kg</t>
        </is>
      </c>
      <c r="R180" t="inlineStr">
        <is>
          <t>Abarrotes</t>
        </is>
      </c>
      <c r="S180" t="inlineStr">
        <is>
          <t>Granos del Pacífico</t>
        </is>
      </c>
      <c r="T180" t="inlineStr">
        <is>
          <t>2234-8890</t>
        </is>
      </c>
      <c r="U180" t="n">
        <v>3.1</v>
      </c>
      <c r="V180" t="n">
        <v>1</v>
      </c>
      <c r="W180" t="n">
        <v>0</v>
      </c>
      <c r="X180">
        <f>IFERROR(U180*V180*(1-W180/100),"")</f>
        <v/>
      </c>
      <c r="Y180">
        <f>IFERROR(ROUND(X180*0.13,2),"")</f>
        <v/>
      </c>
      <c r="Z180">
        <f>IFERROR(X180+Y180,"")</f>
        <v/>
      </c>
      <c r="AA180" t="inlineStr">
        <is>
          <t>Efectivo</t>
        </is>
      </c>
      <c r="AB180" t="inlineStr">
        <is>
          <t>pagó con billete de $100</t>
        </is>
      </c>
    </row>
    <row r="181">
      <c r="A181" t="inlineStr">
        <is>
          <t>F-10590</t>
        </is>
      </c>
      <c r="B181" s="3" t="n">
        <v>46280</v>
      </c>
      <c r="C181" t="inlineStr">
        <is>
          <t>Factura</t>
        </is>
      </c>
      <c r="D181" t="inlineStr">
        <is>
          <t>SS02</t>
        </is>
      </c>
      <c r="E181" t="inlineStr">
        <is>
          <t>Col. Escalón</t>
        </is>
      </c>
      <c r="F181" t="inlineStr">
        <is>
          <t>Paseo General Escalón #3910</t>
        </is>
      </c>
      <c r="G181" t="inlineStr">
        <is>
          <t>San Salvador</t>
        </is>
      </c>
      <c r="H181" t="inlineStr">
        <is>
          <t>San Salvador</t>
        </is>
      </c>
      <c r="I181" t="inlineStr">
        <is>
          <t>Claudia Menjívar</t>
        </is>
      </c>
      <c r="J181" t="inlineStr">
        <is>
          <t>2264-1190</t>
        </is>
      </c>
      <c r="K181" t="inlineStr">
        <is>
          <t>Fátima Rosales</t>
        </is>
      </c>
      <c r="L181" t="inlineStr">
        <is>
          <t>Patricia Guevara Quintanilla</t>
        </is>
      </c>
      <c r="M181" t="inlineStr">
        <is>
          <t>07265655-3</t>
        </is>
      </c>
      <c r="N181" t="inlineStr">
        <is>
          <t>6951-5407</t>
        </is>
      </c>
      <c r="O181" t="inlineStr">
        <is>
          <t>Consumidor final</t>
        </is>
      </c>
      <c r="P181" t="inlineStr">
        <is>
          <t>CAF-002</t>
        </is>
      </c>
      <c r="Q181" t="inlineStr">
        <is>
          <t>Café en grano 1lb</t>
        </is>
      </c>
      <c r="R181" t="inlineStr">
        <is>
          <t>Abarrotes</t>
        </is>
      </c>
      <c r="S181" t="inlineStr">
        <is>
          <t>Café Volcán S.A.</t>
        </is>
      </c>
      <c r="T181" t="inlineStr">
        <is>
          <t>2510-3344</t>
        </is>
      </c>
      <c r="U181" t="inlineStr">
        <is>
          <t>$6.75</t>
        </is>
      </c>
      <c r="V181" t="n">
        <v>1</v>
      </c>
      <c r="W181" t="n">
        <v>0</v>
      </c>
      <c r="X181">
        <f>IFERROR(U181*V181*(1-W181/100),"")</f>
        <v/>
      </c>
      <c r="Y181">
        <f>IFERROR(ROUND(X181*0.13,2),"")</f>
        <v/>
      </c>
      <c r="Z181">
        <f>IFERROR(X181+Y181,"")</f>
        <v/>
      </c>
      <c r="AA181" t="inlineStr">
        <is>
          <t>Efectivo</t>
        </is>
      </c>
      <c r="AB181" t="inlineStr"/>
    </row>
    <row r="182">
      <c r="A182" t="inlineStr">
        <is>
          <t>F-10591</t>
        </is>
      </c>
      <c r="B182" s="3" t="n">
        <v>46291</v>
      </c>
      <c r="C182" t="inlineStr">
        <is>
          <t>factura</t>
        </is>
      </c>
      <c r="D182" t="inlineStr">
        <is>
          <t>SS03</t>
        </is>
      </c>
      <c r="E182" t="inlineStr">
        <is>
          <t>Soyapango</t>
        </is>
      </c>
      <c r="F182" t="inlineStr">
        <is>
          <t>Blvd. del Ejército km 4</t>
        </is>
      </c>
      <c r="G182" t="inlineStr">
        <is>
          <t>Soyapango</t>
        </is>
      </c>
      <c r="H182" t="inlineStr">
        <is>
          <t>San Salvador</t>
        </is>
      </c>
      <c r="I182" t="inlineStr">
        <is>
          <t>Karla Henríquez</t>
        </is>
      </c>
      <c r="J182" t="inlineStr">
        <is>
          <t>2277-3402</t>
        </is>
      </c>
      <c r="K182" t="inlineStr">
        <is>
          <t>Marta Gómez</t>
        </is>
      </c>
      <c r="L182" t="inlineStr">
        <is>
          <t>Ana Pérez Rivera</t>
        </is>
      </c>
      <c r="M182" t="inlineStr">
        <is>
          <t>00820199-8</t>
        </is>
      </c>
      <c r="N182" t="inlineStr">
        <is>
          <t>7205-8035</t>
        </is>
      </c>
      <c r="O182" t="inlineStr">
        <is>
          <t>Consumidor final</t>
        </is>
      </c>
      <c r="P182" t="inlineStr">
        <is>
          <t>BEB-003</t>
        </is>
      </c>
      <c r="Q182" t="inlineStr">
        <is>
          <t>Horchata en polvo 400g</t>
        </is>
      </c>
      <c r="R182" t="inlineStr">
        <is>
          <t>Bebidas</t>
        </is>
      </c>
      <c r="S182" t="inlineStr">
        <is>
          <t>Bebidas Izalco</t>
        </is>
      </c>
      <c r="T182" t="inlineStr">
        <is>
          <t>2450-7700</t>
        </is>
      </c>
      <c r="U182" t="n">
        <v>2.6</v>
      </c>
      <c r="V182" t="n">
        <v>1</v>
      </c>
      <c r="W182" t="n">
        <v>0</v>
      </c>
      <c r="X182">
        <f>IFERROR(U182*V182*(1-W182/100),"")</f>
        <v/>
      </c>
      <c r="Y182">
        <f>IFERROR(ROUND(X182*0.13,2),"")</f>
        <v/>
      </c>
      <c r="Z182">
        <f>IFERROR(X182+Y182,"")</f>
        <v/>
      </c>
      <c r="AA182" t="inlineStr">
        <is>
          <t>Efectivo</t>
        </is>
      </c>
      <c r="AB182" t="inlineStr">
        <is>
          <t>Cliente frecuente</t>
        </is>
      </c>
    </row>
    <row r="183">
      <c r="A183" t="inlineStr">
        <is>
          <t>F-10591</t>
        </is>
      </c>
      <c r="B183" s="3" t="n">
        <v>46291</v>
      </c>
      <c r="C183" t="inlineStr">
        <is>
          <t>factura</t>
        </is>
      </c>
      <c r="D183" t="inlineStr">
        <is>
          <t>SS03</t>
        </is>
      </c>
      <c r="E183" t="inlineStr">
        <is>
          <t>soyapango</t>
        </is>
      </c>
      <c r="F183" t="inlineStr">
        <is>
          <t>Blvd. del Ejército km 4</t>
        </is>
      </c>
      <c r="G183" t="inlineStr">
        <is>
          <t>Soyapango</t>
        </is>
      </c>
      <c r="H183" t="inlineStr">
        <is>
          <t>San Salvador</t>
        </is>
      </c>
      <c r="I183" t="inlineStr">
        <is>
          <t>Karla Henríquez</t>
        </is>
      </c>
      <c r="J183" t="inlineStr">
        <is>
          <t>2277-3402</t>
        </is>
      </c>
      <c r="K183" t="inlineStr">
        <is>
          <t>Marta Gómez</t>
        </is>
      </c>
      <c r="L183" t="inlineStr">
        <is>
          <t>Ana Pérez Rivera</t>
        </is>
      </c>
      <c r="M183" t="inlineStr">
        <is>
          <t>00820199-8</t>
        </is>
      </c>
      <c r="N183" t="inlineStr">
        <is>
          <t>7205-8035</t>
        </is>
      </c>
      <c r="O183" t="inlineStr">
        <is>
          <t>Consumidor final</t>
        </is>
      </c>
      <c r="P183" t="inlineStr">
        <is>
          <t>ARR-001</t>
        </is>
      </c>
      <c r="Q183" t="inlineStr">
        <is>
          <t>Arroz blanco 5lb</t>
        </is>
      </c>
      <c r="R183" t="inlineStr">
        <is>
          <t>Granos básicos</t>
        </is>
      </c>
      <c r="S183" t="inlineStr">
        <is>
          <t>Granos del Pacífico</t>
        </is>
      </c>
      <c r="T183" t="inlineStr">
        <is>
          <t>2234-8890</t>
        </is>
      </c>
      <c r="U183" t="n">
        <v>3.95</v>
      </c>
      <c r="V183" t="n">
        <v>2</v>
      </c>
      <c r="W183" t="n">
        <v>0</v>
      </c>
      <c r="X183">
        <f>IFERROR(U183*V183*(1-W183/100),"")</f>
        <v/>
      </c>
      <c r="Y183">
        <f>IFERROR(ROUND(X183*0.13,2),"")</f>
        <v/>
      </c>
      <c r="Z183">
        <f>IFERROR(X183+Y183,"")</f>
        <v/>
      </c>
      <c r="AA183" t="inlineStr">
        <is>
          <t>Efectivo</t>
        </is>
      </c>
      <c r="AB183" t="inlineStr">
        <is>
          <t>pagó con billete de $100</t>
        </is>
      </c>
    </row>
    <row r="184">
      <c r="A184" t="inlineStr">
        <is>
          <t>F-10591</t>
        </is>
      </c>
      <c r="B184" s="3" t="n">
        <v>46291</v>
      </c>
      <c r="C184" t="inlineStr">
        <is>
          <t>factura</t>
        </is>
      </c>
      <c r="D184" t="inlineStr">
        <is>
          <t>SS03</t>
        </is>
      </c>
      <c r="E184" t="inlineStr">
        <is>
          <t>Soyapango</t>
        </is>
      </c>
      <c r="F184" t="inlineStr">
        <is>
          <t>Blvd. del Ejército km 4</t>
        </is>
      </c>
      <c r="G184" t="inlineStr">
        <is>
          <t>Soyapango</t>
        </is>
      </c>
      <c r="H184" t="inlineStr">
        <is>
          <t>San Salvador</t>
        </is>
      </c>
      <c r="I184" t="inlineStr">
        <is>
          <t>Karla Henríquez</t>
        </is>
      </c>
      <c r="J184" t="inlineStr">
        <is>
          <t>2277-3402</t>
        </is>
      </c>
      <c r="K184" t="inlineStr">
        <is>
          <t>Marta Gómez</t>
        </is>
      </c>
      <c r="L184" t="inlineStr">
        <is>
          <t>Ana Pérez Rivera</t>
        </is>
      </c>
      <c r="M184" t="inlineStr">
        <is>
          <t>00820199-8</t>
        </is>
      </c>
      <c r="N184" t="inlineStr">
        <is>
          <t>7205-8035</t>
        </is>
      </c>
      <c r="O184" t="inlineStr">
        <is>
          <t>Consumidor final</t>
        </is>
      </c>
      <c r="P184" t="inlineStr">
        <is>
          <t>CAF-002</t>
        </is>
      </c>
      <c r="Q184" t="inlineStr">
        <is>
          <t>Café en grano 1lb</t>
        </is>
      </c>
      <c r="R184" t="inlineStr">
        <is>
          <t>Abarrotes</t>
        </is>
      </c>
      <c r="S184" t="inlineStr">
        <is>
          <t>Café Volcán S.A.</t>
        </is>
      </c>
      <c r="T184" t="inlineStr">
        <is>
          <t>2510-3344</t>
        </is>
      </c>
      <c r="U184" t="n">
        <v>6.75</v>
      </c>
      <c r="V184" t="n">
        <v>6</v>
      </c>
      <c r="W184" t="n">
        <v>0</v>
      </c>
      <c r="X184">
        <f>IFERROR(U184*V184*(1-W184/100),"")</f>
        <v/>
      </c>
      <c r="Y184">
        <f>IFERROR(ROUND(X184*0.13,2),"")</f>
        <v/>
      </c>
      <c r="Z184">
        <f>IFERROR(X184+Y184,"")</f>
        <v/>
      </c>
      <c r="AA184" t="inlineStr">
        <is>
          <t>Efectivo</t>
        </is>
      </c>
      <c r="AB184" t="inlineStr"/>
    </row>
    <row r="185">
      <c r="A185" t="inlineStr">
        <is>
          <t>F-10591</t>
        </is>
      </c>
      <c r="B185" t="inlineStr">
        <is>
          <t>2026-09-26</t>
        </is>
      </c>
      <c r="C185" t="inlineStr">
        <is>
          <t>factura</t>
        </is>
      </c>
      <c r="D185" t="inlineStr">
        <is>
          <t>SS03</t>
        </is>
      </c>
      <c r="E185" t="inlineStr">
        <is>
          <t xml:space="preserve">SOYAPANGO </t>
        </is>
      </c>
      <c r="F185" t="inlineStr">
        <is>
          <t>Blvd. del Ejército km 4</t>
        </is>
      </c>
      <c r="G185" t="inlineStr">
        <is>
          <t>Soyapango</t>
        </is>
      </c>
      <c r="H185" t="inlineStr">
        <is>
          <t>San Salvador</t>
        </is>
      </c>
      <c r="I185" t="inlineStr">
        <is>
          <t>Karla Henríquez</t>
        </is>
      </c>
      <c r="J185" t="inlineStr">
        <is>
          <t>2277-3402</t>
        </is>
      </c>
      <c r="K185" t="inlineStr">
        <is>
          <t>Marta Gómez</t>
        </is>
      </c>
      <c r="L185" t="inlineStr">
        <is>
          <t>Ana Pérez Rivera</t>
        </is>
      </c>
      <c r="M185" t="inlineStr">
        <is>
          <t>00820199-8</t>
        </is>
      </c>
      <c r="N185" t="inlineStr">
        <is>
          <t>7205-8035</t>
        </is>
      </c>
      <c r="O185" t="inlineStr">
        <is>
          <t>Consumidor final</t>
        </is>
      </c>
      <c r="P185" t="inlineStr">
        <is>
          <t>LAC-001</t>
        </is>
      </c>
      <c r="Q185" t="inlineStr">
        <is>
          <t>Quesillo 1lb</t>
        </is>
      </c>
      <c r="R185" t="inlineStr">
        <is>
          <t>Lácteos</t>
        </is>
      </c>
      <c r="S185" t="inlineStr">
        <is>
          <t>Lácteos Chalate</t>
        </is>
      </c>
      <c r="T185" t="inlineStr">
        <is>
          <t>2335-1020</t>
        </is>
      </c>
      <c r="U185" t="n">
        <v>3.8</v>
      </c>
      <c r="V185" t="n">
        <v>1</v>
      </c>
      <c r="W185" t="n">
        <v>0</v>
      </c>
      <c r="X185">
        <f>IFERROR(U185*V185*(1-W185/100),"")</f>
        <v/>
      </c>
      <c r="Y185">
        <f>IFERROR(ROUND(X185*0.13,2),"")</f>
        <v/>
      </c>
      <c r="Z185">
        <f>IFERROR(X185+Y185,"")</f>
        <v/>
      </c>
      <c r="AA185" t="inlineStr">
        <is>
          <t>Efectivo</t>
        </is>
      </c>
      <c r="AB185" t="inlineStr"/>
    </row>
    <row r="186">
      <c r="A186" t="inlineStr">
        <is>
          <t>F-10592</t>
        </is>
      </c>
      <c r="B186" t="inlineStr">
        <is>
          <t>24/08/2026</t>
        </is>
      </c>
      <c r="C186" t="inlineStr">
        <is>
          <t>FCF</t>
        </is>
      </c>
      <c r="D186" t="inlineStr">
        <is>
          <t>SA01</t>
        </is>
      </c>
      <c r="E186" t="inlineStr">
        <is>
          <t>Santa Ana</t>
        </is>
      </c>
      <c r="F186" t="inlineStr">
        <is>
          <t>Av. Independencia Sur #12</t>
        </is>
      </c>
      <c r="G186" t="inlineStr">
        <is>
          <t>Santa Ana</t>
        </is>
      </c>
      <c r="H186" t="inlineStr">
        <is>
          <t>Santa Ana</t>
        </is>
      </c>
      <c r="I186" t="inlineStr">
        <is>
          <t>Mauricio Linares</t>
        </is>
      </c>
      <c r="J186" t="inlineStr">
        <is>
          <t>2440-9921</t>
        </is>
      </c>
      <c r="K186" t="inlineStr">
        <is>
          <t>Diego Zelaya</t>
        </is>
      </c>
      <c r="L186" t="inlineStr">
        <is>
          <t>Patricia Argueta Mejía</t>
        </is>
      </c>
      <c r="M186" t="inlineStr">
        <is>
          <t>01586554-3</t>
        </is>
      </c>
      <c r="N186" t="inlineStr">
        <is>
          <t>2105-2525</t>
        </is>
      </c>
      <c r="O186" t="inlineStr">
        <is>
          <t>Consumidor final</t>
        </is>
      </c>
      <c r="P186" t="inlineStr">
        <is>
          <t>HAR-001</t>
        </is>
      </c>
      <c r="Q186" t="inlineStr">
        <is>
          <t>Harina de maíz 2lb</t>
        </is>
      </c>
      <c r="R186" t="inlineStr">
        <is>
          <t>Abarrotes</t>
        </is>
      </c>
      <c r="S186" t="inlineStr">
        <is>
          <t>Granos del Pacífico</t>
        </is>
      </c>
      <c r="T186" t="inlineStr">
        <is>
          <t>2234-8890</t>
        </is>
      </c>
      <c r="U186" t="n">
        <v>1.35</v>
      </c>
      <c r="V186" t="n">
        <v>24</v>
      </c>
      <c r="W186" t="n">
        <v>0</v>
      </c>
      <c r="X186">
        <f>IFERROR(U186*V186*(1-W186/100),"")</f>
        <v/>
      </c>
      <c r="Y186">
        <f>IFERROR(ROUND(X186*0.13,2),"")</f>
        <v/>
      </c>
      <c r="Z186">
        <f>IFERROR(X186+Y186,"")</f>
        <v/>
      </c>
      <c r="AA186" t="inlineStr">
        <is>
          <t>Tarjeta</t>
        </is>
      </c>
      <c r="AB186" t="inlineStr"/>
    </row>
    <row r="187">
      <c r="A187" t="inlineStr">
        <is>
          <t>F-10592</t>
        </is>
      </c>
      <c r="B187" s="3" t="n">
        <v>46258</v>
      </c>
      <c r="C187" t="inlineStr">
        <is>
          <t>FCF</t>
        </is>
      </c>
      <c r="D187" t="inlineStr">
        <is>
          <t>SA01</t>
        </is>
      </c>
      <c r="E187" t="inlineStr">
        <is>
          <t>STA ANA</t>
        </is>
      </c>
      <c r="F187" t="inlineStr">
        <is>
          <t>Av. Independencia Sur #12</t>
        </is>
      </c>
      <c r="G187" t="inlineStr">
        <is>
          <t>Santa Ana</t>
        </is>
      </c>
      <c r="H187" t="inlineStr">
        <is>
          <t>Santa Ana</t>
        </is>
      </c>
      <c r="I187" t="inlineStr">
        <is>
          <t>Mauricio Linares</t>
        </is>
      </c>
      <c r="J187" t="inlineStr">
        <is>
          <t>2440-9921</t>
        </is>
      </c>
      <c r="K187" t="inlineStr">
        <is>
          <t>Diego Zelaya</t>
        </is>
      </c>
      <c r="L187" t="inlineStr">
        <is>
          <t>Patricia Argueta Mejía</t>
        </is>
      </c>
      <c r="M187" t="inlineStr">
        <is>
          <t>01586554-3</t>
        </is>
      </c>
      <c r="N187" t="inlineStr">
        <is>
          <t>2105-2525</t>
        </is>
      </c>
      <c r="O187" t="inlineStr">
        <is>
          <t>Consumidor final</t>
        </is>
      </c>
      <c r="P187" t="inlineStr">
        <is>
          <t>CAF-001</t>
        </is>
      </c>
      <c r="Q187" t="inlineStr">
        <is>
          <t>Café molido 400g</t>
        </is>
      </c>
      <c r="R187" t="inlineStr">
        <is>
          <t>Abarrotes</t>
        </is>
      </c>
      <c r="S187" t="inlineStr">
        <is>
          <t>Café Volcán S.A.</t>
        </is>
      </c>
      <c r="T187" t="inlineStr">
        <is>
          <t>2510-3344</t>
        </is>
      </c>
      <c r="U187" t="n">
        <v>4.25</v>
      </c>
      <c r="V187" t="n">
        <v>6</v>
      </c>
      <c r="W187" t="n">
        <v>0</v>
      </c>
      <c r="X187">
        <f>IFERROR(U187*V187*(1-W187/100),"")</f>
        <v/>
      </c>
      <c r="Y187">
        <f>IFERROR(ROUND(X187*0.13,2),"")</f>
        <v/>
      </c>
      <c r="Z187">
        <f>IFERROR(X187+Y187,"")</f>
        <v/>
      </c>
      <c r="AA187" t="inlineStr">
        <is>
          <t>Tarjeta</t>
        </is>
      </c>
      <c r="AB187" t="inlineStr">
        <is>
          <t>precio especial autorizado por gerente</t>
        </is>
      </c>
    </row>
    <row r="188">
      <c r="A188" t="inlineStr">
        <is>
          <t>F-10592</t>
        </is>
      </c>
      <c r="B188" t="inlineStr">
        <is>
          <t>24/08/2026</t>
        </is>
      </c>
      <c r="C188" t="inlineStr">
        <is>
          <t>FCF</t>
        </is>
      </c>
      <c r="D188" t="inlineStr">
        <is>
          <t>SA01</t>
        </is>
      </c>
      <c r="E188" t="inlineStr">
        <is>
          <t>Santa Ana</t>
        </is>
      </c>
      <c r="F188" t="inlineStr">
        <is>
          <t>Av. Independencia Sur #12</t>
        </is>
      </c>
      <c r="G188" t="inlineStr">
        <is>
          <t>Santa Ana</t>
        </is>
      </c>
      <c r="H188" t="inlineStr">
        <is>
          <t>Santa Ana</t>
        </is>
      </c>
      <c r="I188" t="inlineStr">
        <is>
          <t>Mauricio Linares</t>
        </is>
      </c>
      <c r="J188" t="inlineStr">
        <is>
          <t>2440-9921</t>
        </is>
      </c>
      <c r="K188" t="inlineStr">
        <is>
          <t>Diego Zelaya</t>
        </is>
      </c>
      <c r="L188" t="inlineStr">
        <is>
          <t>Patricia Argueta Mejía</t>
        </is>
      </c>
      <c r="M188" t="inlineStr">
        <is>
          <t>01586554-3</t>
        </is>
      </c>
      <c r="N188" t="inlineStr">
        <is>
          <t>2105-2525</t>
        </is>
      </c>
      <c r="O188" t="inlineStr">
        <is>
          <t>Consumidor final</t>
        </is>
      </c>
      <c r="P188" t="inlineStr">
        <is>
          <t>AZU-001</t>
        </is>
      </c>
      <c r="Q188" t="inlineStr">
        <is>
          <t>Azúcar blanca 2.5kg</t>
        </is>
      </c>
      <c r="R188" t="inlineStr">
        <is>
          <t>Abarrotes</t>
        </is>
      </c>
      <c r="S188" t="inlineStr">
        <is>
          <t>Granos del Pacífico</t>
        </is>
      </c>
      <c r="T188" t="inlineStr">
        <is>
          <t>2234-8890</t>
        </is>
      </c>
      <c r="U188" t="n">
        <v>3.1</v>
      </c>
      <c r="V188" t="n">
        <v>1</v>
      </c>
      <c r="W188" t="n">
        <v>0</v>
      </c>
      <c r="X188">
        <f>IFERROR(U188*V188*(1-W188/100),"")</f>
        <v/>
      </c>
      <c r="Y188">
        <f>IFERROR(ROUND(X188*0.13,2),"")</f>
        <v/>
      </c>
      <c r="Z188">
        <f>IFERROR(X188+Y188,"")</f>
        <v/>
      </c>
      <c r="AA188" t="inlineStr">
        <is>
          <t>Tarjeta</t>
        </is>
      </c>
      <c r="AB188" t="inlineStr">
        <is>
          <t>precio especial autorizado por gerente</t>
        </is>
      </c>
    </row>
    <row r="189">
      <c r="A189" t="inlineStr">
        <is>
          <t>F-10595</t>
        </is>
      </c>
      <c r="B189" s="3" t="n">
        <v>46281</v>
      </c>
      <c r="C189" t="inlineStr">
        <is>
          <t>factura</t>
        </is>
      </c>
      <c r="D189" t="inlineStr">
        <is>
          <t>SM01</t>
        </is>
      </c>
      <c r="E189" t="inlineStr">
        <is>
          <t>S. Miguel</t>
        </is>
      </c>
      <c r="F189" t="inlineStr">
        <is>
          <t>Av. Roosevelt Sur #7</t>
        </is>
      </c>
      <c r="G189" t="inlineStr">
        <is>
          <t>San Miguel</t>
        </is>
      </c>
      <c r="H189" t="inlineStr">
        <is>
          <t>San Miguel</t>
        </is>
      </c>
      <c r="I189" t="inlineStr">
        <is>
          <t>Iris Portillo</t>
        </is>
      </c>
      <c r="J189" t="inlineStr">
        <is>
          <t>2661-5076</t>
        </is>
      </c>
      <c r="K189" t="inlineStr">
        <is>
          <t>Jorge Villalta</t>
        </is>
      </c>
      <c r="L189" t="inlineStr">
        <is>
          <t>Brenda Castillo Sorto</t>
        </is>
      </c>
      <c r="M189" t="inlineStr">
        <is>
          <t>09144591-2</t>
        </is>
      </c>
      <c r="N189" t="inlineStr">
        <is>
          <t>2460-3568</t>
        </is>
      </c>
      <c r="O189" t="inlineStr">
        <is>
          <t>Consumidor final</t>
        </is>
      </c>
      <c r="P189" t="inlineStr">
        <is>
          <t>FRI-001</t>
        </is>
      </c>
      <c r="Q189" t="inlineStr">
        <is>
          <t>Frijol rojo de seda 2lb</t>
        </is>
      </c>
      <c r="R189" t="inlineStr">
        <is>
          <t>Granos básicos</t>
        </is>
      </c>
      <c r="S189" t="inlineStr">
        <is>
          <t>Granos del Pacífico</t>
        </is>
      </c>
      <c r="T189" t="inlineStr">
        <is>
          <t>2234-8890</t>
        </is>
      </c>
      <c r="U189" t="n">
        <v>2.4</v>
      </c>
      <c r="V189" t="n">
        <v>3</v>
      </c>
      <c r="W189" t="n">
        <v>0</v>
      </c>
      <c r="X189">
        <f>IFERROR(U189*V189*(1-W189/100),"")</f>
        <v/>
      </c>
      <c r="Y189">
        <f>IFERROR(ROUND(X189*0.13,2),"")</f>
        <v/>
      </c>
      <c r="Z189">
        <f>IFERROR(X189+Y189,"")</f>
        <v/>
      </c>
      <c r="AA189" t="inlineStr">
        <is>
          <t>Transferencia</t>
        </is>
      </c>
      <c r="AB189" t="inlineStr">
        <is>
          <t>Cliente frecuente</t>
        </is>
      </c>
    </row>
    <row r="190">
      <c r="A190" t="inlineStr">
        <is>
          <t>F-10595</t>
        </is>
      </c>
      <c r="B190" t="inlineStr">
        <is>
          <t>2026-09-16</t>
        </is>
      </c>
      <c r="C190" t="inlineStr">
        <is>
          <t>factura</t>
        </is>
      </c>
      <c r="D190" t="inlineStr">
        <is>
          <t>SM01</t>
        </is>
      </c>
      <c r="E190" t="inlineStr">
        <is>
          <t>San Miguel</t>
        </is>
      </c>
      <c r="F190" t="inlineStr">
        <is>
          <t>Av. Roosevelt Sur #7</t>
        </is>
      </c>
      <c r="G190" t="inlineStr">
        <is>
          <t>San Miguel</t>
        </is>
      </c>
      <c r="H190" t="inlineStr">
        <is>
          <t>San Miguel</t>
        </is>
      </c>
      <c r="I190" t="inlineStr">
        <is>
          <t>Iris Portillo</t>
        </is>
      </c>
      <c r="J190" t="inlineStr">
        <is>
          <t>2661-5076</t>
        </is>
      </c>
      <c r="K190" t="inlineStr">
        <is>
          <t>Jorge Villalta</t>
        </is>
      </c>
      <c r="L190" t="inlineStr">
        <is>
          <t>Brenda Castillo Sorto</t>
        </is>
      </c>
      <c r="M190" t="inlineStr">
        <is>
          <t>09144591-2</t>
        </is>
      </c>
      <c r="N190" t="inlineStr">
        <is>
          <t>2460-3568</t>
        </is>
      </c>
      <c r="O190" t="inlineStr">
        <is>
          <t>Consumidor final</t>
        </is>
      </c>
      <c r="P190" t="inlineStr">
        <is>
          <t>HIG-002</t>
        </is>
      </c>
      <c r="Q190" t="inlineStr">
        <is>
          <t>Papel higiénico 4 rollos</t>
        </is>
      </c>
      <c r="R190" t="inlineStr">
        <is>
          <t>Limpieza</t>
        </is>
      </c>
      <c r="S190" t="inlineStr">
        <is>
          <t>Higiene Total C.A.</t>
        </is>
      </c>
      <c r="T190" t="inlineStr">
        <is>
          <t>2207-5566</t>
        </is>
      </c>
      <c r="U190" t="n">
        <v>2.15</v>
      </c>
      <c r="V190" t="n">
        <v>1</v>
      </c>
      <c r="W190" t="n">
        <v>0</v>
      </c>
      <c r="X190">
        <f>IFERROR(U190*V190*(1-W190/100),"")</f>
        <v/>
      </c>
      <c r="Y190">
        <f>IFERROR(ROUND(X190*0.13,2),"")</f>
        <v/>
      </c>
      <c r="Z190">
        <f>IFERROR(X190+Y190,"")</f>
        <v/>
      </c>
      <c r="AA190" t="inlineStr">
        <is>
          <t>Transferencia</t>
        </is>
      </c>
      <c r="AB190" t="inlineStr"/>
    </row>
    <row r="191">
      <c r="A191" t="inlineStr">
        <is>
          <t>F-10595</t>
        </is>
      </c>
      <c r="B191" s="3" t="n">
        <v>46281</v>
      </c>
      <c r="C191" t="inlineStr">
        <is>
          <t>factura</t>
        </is>
      </c>
      <c r="D191" t="inlineStr">
        <is>
          <t>SM01</t>
        </is>
      </c>
      <c r="E191" t="inlineStr">
        <is>
          <t>SAN MIGUEL</t>
        </is>
      </c>
      <c r="F191" t="inlineStr">
        <is>
          <t>Av. Roosevelt Sur #7</t>
        </is>
      </c>
      <c r="G191" t="inlineStr">
        <is>
          <t>San Miguel</t>
        </is>
      </c>
      <c r="H191" t="inlineStr">
        <is>
          <t>San Miguel</t>
        </is>
      </c>
      <c r="I191" t="inlineStr">
        <is>
          <t>Iris Portillo</t>
        </is>
      </c>
      <c r="J191" t="inlineStr">
        <is>
          <t>2661-5076</t>
        </is>
      </c>
      <c r="K191" t="inlineStr">
        <is>
          <t>Jorge Villalta</t>
        </is>
      </c>
      <c r="L191" t="inlineStr">
        <is>
          <t>Brenda Castillo Sorto</t>
        </is>
      </c>
      <c r="M191" t="inlineStr">
        <is>
          <t>09144591-2</t>
        </is>
      </c>
      <c r="N191" t="inlineStr">
        <is>
          <t>2460-3568</t>
        </is>
      </c>
      <c r="O191" t="inlineStr">
        <is>
          <t>Consumidor final</t>
        </is>
      </c>
      <c r="P191" t="inlineStr">
        <is>
          <t>PAN-003</t>
        </is>
      </c>
      <c r="Q191" t="inlineStr">
        <is>
          <t>Quesadilla salvadoreña</t>
        </is>
      </c>
      <c r="R191" t="inlineStr">
        <is>
          <t>Panadería</t>
        </is>
      </c>
      <c r="S191" t="inlineStr">
        <is>
          <t>Panificadora Ilopango</t>
        </is>
      </c>
      <c r="T191" t="inlineStr">
        <is>
          <t>2295-0081</t>
        </is>
      </c>
      <c r="U191" t="n">
        <v>2.5</v>
      </c>
      <c r="V191" t="n">
        <v>12</v>
      </c>
      <c r="W191" t="n">
        <v>0</v>
      </c>
      <c r="X191">
        <f>IFERROR(U191*V191*(1-W191/100),"")</f>
        <v/>
      </c>
      <c r="Y191">
        <f>IFERROR(ROUND(X191*0.13,2),"")</f>
        <v/>
      </c>
      <c r="Z191">
        <f>IFERROR(X191+Y191,"")</f>
        <v/>
      </c>
      <c r="AA191" t="inlineStr">
        <is>
          <t>Transferencia</t>
        </is>
      </c>
      <c r="AB191" t="inlineStr"/>
    </row>
    <row r="192">
      <c r="A192" t="inlineStr">
        <is>
          <t>F-10598</t>
        </is>
      </c>
      <c r="B192" s="3" t="n">
        <v>46283</v>
      </c>
      <c r="C192" t="inlineStr">
        <is>
          <t>FCF</t>
        </is>
      </c>
      <c r="D192" t="inlineStr">
        <is>
          <t>SS02</t>
        </is>
      </c>
      <c r="E192" t="inlineStr">
        <is>
          <t>Escalón</t>
        </is>
      </c>
      <c r="F192" t="inlineStr">
        <is>
          <t>Paseo General Escalón #3910</t>
        </is>
      </c>
      <c r="G192" t="inlineStr">
        <is>
          <t>San Salvador</t>
        </is>
      </c>
      <c r="H192" t="inlineStr">
        <is>
          <t>San Salvador</t>
        </is>
      </c>
      <c r="I192" t="inlineStr">
        <is>
          <t>Claudia Menjívar</t>
        </is>
      </c>
      <c r="J192" t="inlineStr">
        <is>
          <t>2264-1190</t>
        </is>
      </c>
      <c r="K192" t="inlineStr">
        <is>
          <t>Kevin Benítez</t>
        </is>
      </c>
      <c r="L192" t="inlineStr">
        <is>
          <t>René Alvarado Lemus</t>
        </is>
      </c>
      <c r="M192" t="inlineStr">
        <is>
          <t>07676586-8</t>
        </is>
      </c>
      <c r="N192" t="inlineStr">
        <is>
          <t>6907-6114</t>
        </is>
      </c>
      <c r="O192" t="inlineStr">
        <is>
          <t>Consumidor final</t>
        </is>
      </c>
      <c r="P192" t="inlineStr">
        <is>
          <t>PAN-002</t>
        </is>
      </c>
      <c r="Q192" t="inlineStr">
        <is>
          <t>Semita alta</t>
        </is>
      </c>
      <c r="R192" t="inlineStr">
        <is>
          <t>Panadería</t>
        </is>
      </c>
      <c r="S192" t="inlineStr">
        <is>
          <t>Panificadora Ilopango</t>
        </is>
      </c>
      <c r="T192" t="inlineStr">
        <is>
          <t>2295-0081</t>
        </is>
      </c>
      <c r="U192" t="n">
        <v>1.75</v>
      </c>
      <c r="V192" t="n">
        <v>1</v>
      </c>
      <c r="W192" t="n">
        <v>0</v>
      </c>
      <c r="X192">
        <f>IFERROR(U192*V192*(1-W192/100),"")</f>
        <v/>
      </c>
      <c r="Y192">
        <f>IFERROR(ROUND(X192*0.13,2),"")</f>
        <v/>
      </c>
      <c r="Z192">
        <f>IFERROR(X192+Y192,"")</f>
        <v/>
      </c>
      <c r="AA192" t="inlineStr">
        <is>
          <t>Efectivo</t>
        </is>
      </c>
      <c r="AB192" t="inlineStr">
        <is>
          <t>Cliente frecuente</t>
        </is>
      </c>
    </row>
    <row r="193">
      <c r="A193" t="inlineStr">
        <is>
          <t>F-10598</t>
        </is>
      </c>
      <c r="B193" s="3" t="n">
        <v>46283</v>
      </c>
      <c r="C193" t="inlineStr">
        <is>
          <t>FCF</t>
        </is>
      </c>
      <c r="D193" t="inlineStr">
        <is>
          <t>SS02</t>
        </is>
      </c>
      <c r="E193" t="inlineStr">
        <is>
          <t>ESCALON</t>
        </is>
      </c>
      <c r="F193" t="inlineStr">
        <is>
          <t>Paseo General Escalón #3910</t>
        </is>
      </c>
      <c r="G193" t="inlineStr">
        <is>
          <t>San Salvador</t>
        </is>
      </c>
      <c r="H193" t="inlineStr">
        <is>
          <t>San Salvador</t>
        </is>
      </c>
      <c r="I193" t="inlineStr">
        <is>
          <t>Claudia Menjívar</t>
        </is>
      </c>
      <c r="J193" t="inlineStr">
        <is>
          <t>2264-1190</t>
        </is>
      </c>
      <c r="K193" t="inlineStr">
        <is>
          <t>Kevin Benítez</t>
        </is>
      </c>
      <c r="L193" t="inlineStr">
        <is>
          <t>René Alvarado Lemus</t>
        </is>
      </c>
      <c r="M193" t="inlineStr">
        <is>
          <t>07676586-8</t>
        </is>
      </c>
      <c r="N193" t="inlineStr">
        <is>
          <t>6907-6114</t>
        </is>
      </c>
      <c r="O193" t="inlineStr">
        <is>
          <t>Consumidor final</t>
        </is>
      </c>
      <c r="P193" t="inlineStr">
        <is>
          <t>HIG-002</t>
        </is>
      </c>
      <c r="Q193" t="inlineStr">
        <is>
          <t>Papel higiénico 4 rollos</t>
        </is>
      </c>
      <c r="R193" t="inlineStr">
        <is>
          <t>Limpieza</t>
        </is>
      </c>
      <c r="S193" t="inlineStr">
        <is>
          <t>Higiene Total C.A.</t>
        </is>
      </c>
      <c r="T193" t="inlineStr">
        <is>
          <t>2207-5566</t>
        </is>
      </c>
      <c r="U193" t="n">
        <v>2.15</v>
      </c>
      <c r="V193" t="n">
        <v>3</v>
      </c>
      <c r="W193" t="n">
        <v>0</v>
      </c>
      <c r="X193">
        <f>IFERROR(U193*V193*(1-W193/100),"")</f>
        <v/>
      </c>
      <c r="Y193">
        <f>IFERROR(ROUND(X193*0.13,2),"")</f>
        <v/>
      </c>
      <c r="Z193">
        <f>IFERROR(X193+Y193,"")</f>
        <v/>
      </c>
      <c r="AA193" t="inlineStr">
        <is>
          <t>Efectivo</t>
        </is>
      </c>
      <c r="AB193" t="inlineStr">
        <is>
          <t>Cliente frecuente</t>
        </is>
      </c>
    </row>
    <row r="194">
      <c r="A194" t="inlineStr">
        <is>
          <t>F-10600</t>
        </is>
      </c>
      <c r="B194" s="3" t="n">
        <v>46208</v>
      </c>
      <c r="C194" t="inlineStr">
        <is>
          <t>FCF</t>
        </is>
      </c>
      <c r="D194" t="inlineStr">
        <is>
          <t>SS03</t>
        </is>
      </c>
      <c r="E194" t="inlineStr">
        <is>
          <t xml:space="preserve">SOYAPANGO </t>
        </is>
      </c>
      <c r="F194" t="inlineStr">
        <is>
          <t>Blvd. del Ejército km 4</t>
        </is>
      </c>
      <c r="G194" t="inlineStr">
        <is>
          <t>Soyapango</t>
        </is>
      </c>
      <c r="H194" t="inlineStr">
        <is>
          <t>San Salvador</t>
        </is>
      </c>
      <c r="I194" t="inlineStr">
        <is>
          <t>Karla Henríquez</t>
        </is>
      </c>
      <c r="J194" t="inlineStr">
        <is>
          <t>2277-3402</t>
        </is>
      </c>
      <c r="K194" t="inlineStr">
        <is>
          <t>Marta Gómez</t>
        </is>
      </c>
      <c r="L194" t="inlineStr">
        <is>
          <t>Patricia Argueta Mejía</t>
        </is>
      </c>
      <c r="M194" t="inlineStr">
        <is>
          <t>01586554-3</t>
        </is>
      </c>
      <c r="N194" t="inlineStr">
        <is>
          <t>2105-2525</t>
        </is>
      </c>
      <c r="O194" t="inlineStr">
        <is>
          <t>Consumidor final</t>
        </is>
      </c>
      <c r="P194" t="inlineStr">
        <is>
          <t>LAC-001</t>
        </is>
      </c>
      <c r="Q194" t="inlineStr">
        <is>
          <t>Quesillo 1lb</t>
        </is>
      </c>
      <c r="R194" t="inlineStr">
        <is>
          <t>Lacteos</t>
        </is>
      </c>
      <c r="S194" t="inlineStr">
        <is>
          <t>Lácteos Chalate</t>
        </is>
      </c>
      <c r="T194" t="inlineStr">
        <is>
          <t>2335-1020</t>
        </is>
      </c>
      <c r="U194" t="n">
        <v>3.8</v>
      </c>
      <c r="V194" t="n">
        <v>1</v>
      </c>
      <c r="W194" t="n">
        <v>0</v>
      </c>
      <c r="X194">
        <f>IFERROR(U194*V194*(1-W194/100),"")</f>
        <v/>
      </c>
      <c r="Y194">
        <f>IFERROR(ROUND(X194*0.13,2),"")</f>
        <v/>
      </c>
      <c r="Z194">
        <f>IFERROR(X194+Y194,"")</f>
        <v/>
      </c>
      <c r="AA194" t="inlineStr">
        <is>
          <t>Efectivo</t>
        </is>
      </c>
      <c r="AB194" t="inlineStr"/>
    </row>
    <row r="195">
      <c r="A195" t="inlineStr">
        <is>
          <t>F-10600</t>
        </is>
      </c>
      <c r="B195" s="3" t="n">
        <v>46208</v>
      </c>
      <c r="C195" t="inlineStr">
        <is>
          <t>FCF</t>
        </is>
      </c>
      <c r="D195" t="inlineStr"/>
      <c r="E195" t="inlineStr">
        <is>
          <t>soyapango</t>
        </is>
      </c>
      <c r="F195" t="inlineStr">
        <is>
          <t>Blvd. del Ejército km 4</t>
        </is>
      </c>
      <c r="G195" t="inlineStr">
        <is>
          <t>Soyapango</t>
        </is>
      </c>
      <c r="H195" t="inlineStr">
        <is>
          <t>San Salvador</t>
        </is>
      </c>
      <c r="I195" t="inlineStr">
        <is>
          <t>Karla Henríquez</t>
        </is>
      </c>
      <c r="J195" t="inlineStr">
        <is>
          <t>2277-3402</t>
        </is>
      </c>
      <c r="K195" t="inlineStr">
        <is>
          <t>Marta Gómez</t>
        </is>
      </c>
      <c r="L195" t="inlineStr">
        <is>
          <t>Patricia Argueta Mejía</t>
        </is>
      </c>
      <c r="M195" t="inlineStr">
        <is>
          <t>01586554-3</t>
        </is>
      </c>
      <c r="N195" t="inlineStr">
        <is>
          <t>2105-2525</t>
        </is>
      </c>
      <c r="O195" t="inlineStr">
        <is>
          <t>Consumidor final</t>
        </is>
      </c>
      <c r="P195" t="inlineStr">
        <is>
          <t>HIG-003</t>
        </is>
      </c>
      <c r="Q195" t="inlineStr">
        <is>
          <t>Jabón de lavar barra</t>
        </is>
      </c>
      <c r="R195" t="inlineStr">
        <is>
          <t>Limpieza</t>
        </is>
      </c>
      <c r="S195" t="inlineStr">
        <is>
          <t>Higiene Total C.A.</t>
        </is>
      </c>
      <c r="T195" t="inlineStr">
        <is>
          <t>2207-5566</t>
        </is>
      </c>
      <c r="U195" t="inlineStr">
        <is>
          <t>0,75</t>
        </is>
      </c>
      <c r="V195" t="n">
        <v>6</v>
      </c>
      <c r="W195" t="n">
        <v>0</v>
      </c>
      <c r="X195">
        <f>IFERROR(U195*V195*(1-W195/100),"")</f>
        <v/>
      </c>
      <c r="Y195">
        <f>IFERROR(ROUND(X195*0.13,2),"")</f>
        <v/>
      </c>
      <c r="Z195">
        <f>IFERROR(X195+Y195,"")</f>
        <v/>
      </c>
      <c r="AA195" t="inlineStr">
        <is>
          <t>Efectivo</t>
        </is>
      </c>
      <c r="AB195" t="inlineStr"/>
    </row>
    <row r="196">
      <c r="A196" t="inlineStr">
        <is>
          <t>F-10600</t>
        </is>
      </c>
      <c r="B196" s="3" t="n">
        <v>46208</v>
      </c>
      <c r="C196" t="inlineStr">
        <is>
          <t>FCF</t>
        </is>
      </c>
      <c r="D196" t="inlineStr">
        <is>
          <t>SS03</t>
        </is>
      </c>
      <c r="E196" t="inlineStr">
        <is>
          <t xml:space="preserve">SOYAPANGO </t>
        </is>
      </c>
      <c r="F196" t="inlineStr">
        <is>
          <t>Blvd. del Ejército km 4</t>
        </is>
      </c>
      <c r="G196" t="inlineStr">
        <is>
          <t>Soyapango</t>
        </is>
      </c>
      <c r="H196" t="inlineStr">
        <is>
          <t>San Salvador</t>
        </is>
      </c>
      <c r="I196" t="inlineStr">
        <is>
          <t>Karla Henríquez</t>
        </is>
      </c>
      <c r="J196" t="inlineStr">
        <is>
          <t>2277-3402</t>
        </is>
      </c>
      <c r="K196" t="inlineStr">
        <is>
          <t>Marta Gómez</t>
        </is>
      </c>
      <c r="L196" t="inlineStr">
        <is>
          <t>Patricia Argueta Mejía</t>
        </is>
      </c>
      <c r="M196" t="inlineStr">
        <is>
          <t>01586554-3</t>
        </is>
      </c>
      <c r="N196" t="inlineStr">
        <is>
          <t>2105-2525</t>
        </is>
      </c>
      <c r="O196" t="inlineStr">
        <is>
          <t>Consumidor final</t>
        </is>
      </c>
      <c r="P196" t="inlineStr">
        <is>
          <t>HAR-001</t>
        </is>
      </c>
      <c r="Q196" t="inlineStr">
        <is>
          <t>Harina de maíz 2lb</t>
        </is>
      </c>
      <c r="R196" t="inlineStr">
        <is>
          <t>Abarrotes</t>
        </is>
      </c>
      <c r="S196" t="inlineStr">
        <is>
          <t>Granos del Pacífico</t>
        </is>
      </c>
      <c r="T196" t="inlineStr">
        <is>
          <t>2234-8890</t>
        </is>
      </c>
      <c r="U196" t="inlineStr">
        <is>
          <t>1,35</t>
        </is>
      </c>
      <c r="V196" t="n">
        <v>6</v>
      </c>
      <c r="W196" t="n">
        <v>0</v>
      </c>
      <c r="X196">
        <f>IFERROR(U196*V196*(1-W196/100),"")</f>
        <v/>
      </c>
      <c r="Y196">
        <f>IFERROR(ROUND(X196*0.13,2),"")</f>
        <v/>
      </c>
      <c r="Z196">
        <f>IFERROR(X196+Y196,"")</f>
        <v/>
      </c>
      <c r="AA196" t="inlineStr">
        <is>
          <t>Efectivo</t>
        </is>
      </c>
      <c r="AB196" t="inlineStr"/>
    </row>
    <row r="197">
      <c r="A197" t="inlineStr">
        <is>
          <t>F-10602</t>
        </is>
      </c>
      <c r="B197" s="3" t="n">
        <v>46270</v>
      </c>
      <c r="C197" t="inlineStr">
        <is>
          <t>Factura</t>
        </is>
      </c>
      <c r="D197" t="inlineStr">
        <is>
          <t>SS02</t>
        </is>
      </c>
      <c r="E197" t="inlineStr">
        <is>
          <t>ESCALON</t>
        </is>
      </c>
      <c r="F197" t="inlineStr">
        <is>
          <t>Paseo General Escalón #3910</t>
        </is>
      </c>
      <c r="G197" t="inlineStr">
        <is>
          <t>San Salvador</t>
        </is>
      </c>
      <c r="H197" t="inlineStr">
        <is>
          <t>San Salvador</t>
        </is>
      </c>
      <c r="I197" t="inlineStr">
        <is>
          <t>Claudia Menjívar</t>
        </is>
      </c>
      <c r="J197" t="inlineStr">
        <is>
          <t>2264-1190</t>
        </is>
      </c>
      <c r="K197" t="inlineStr">
        <is>
          <t>Fátima Rosales</t>
        </is>
      </c>
      <c r="L197" t="inlineStr">
        <is>
          <t>Brenda Castillo Sorto</t>
        </is>
      </c>
      <c r="M197" t="inlineStr">
        <is>
          <t>09144591-2</t>
        </is>
      </c>
      <c r="N197" t="inlineStr">
        <is>
          <t>2460-3568</t>
        </is>
      </c>
      <c r="O197" t="inlineStr">
        <is>
          <t>Consumidor final</t>
        </is>
      </c>
      <c r="P197" t="inlineStr">
        <is>
          <t>CAF-001</t>
        </is>
      </c>
      <c r="Q197" t="inlineStr">
        <is>
          <t>Café molido 400g</t>
        </is>
      </c>
      <c r="R197" t="inlineStr">
        <is>
          <t>ABARROTES</t>
        </is>
      </c>
      <c r="S197" t="inlineStr">
        <is>
          <t>Café Volcán S.A.</t>
        </is>
      </c>
      <c r="T197" t="inlineStr">
        <is>
          <t>2510-3344</t>
        </is>
      </c>
      <c r="U197" t="n">
        <v>4.25</v>
      </c>
      <c r="V197" t="n">
        <v>4</v>
      </c>
      <c r="W197" t="n">
        <v>0</v>
      </c>
      <c r="X197">
        <f>IFERROR(U197*V197*(1-W197/100),"")</f>
        <v/>
      </c>
      <c r="Y197">
        <f>IFERROR(ROUND(X197*0.13,2),"")</f>
        <v/>
      </c>
      <c r="Z197">
        <f>IFERROR(X197+Y197,"")</f>
        <v/>
      </c>
      <c r="AA197" t="inlineStr">
        <is>
          <t>efectivo</t>
        </is>
      </c>
      <c r="AB197" t="inlineStr">
        <is>
          <t>pagó con billete de $100</t>
        </is>
      </c>
    </row>
    <row r="198">
      <c r="A198" t="inlineStr">
        <is>
          <t>F-10602</t>
        </is>
      </c>
      <c r="B198" s="3" t="n">
        <v>46270</v>
      </c>
      <c r="C198" t="inlineStr">
        <is>
          <t>Factura</t>
        </is>
      </c>
      <c r="D198" t="inlineStr">
        <is>
          <t>SS02</t>
        </is>
      </c>
      <c r="E198" t="inlineStr">
        <is>
          <t>ESCALON</t>
        </is>
      </c>
      <c r="F198" t="inlineStr">
        <is>
          <t>Paseo General Escalón #3910</t>
        </is>
      </c>
      <c r="G198" t="inlineStr">
        <is>
          <t>San Salvador</t>
        </is>
      </c>
      <c r="H198" t="inlineStr">
        <is>
          <t>San Salvador</t>
        </is>
      </c>
      <c r="I198" t="inlineStr">
        <is>
          <t>Claudia Menjívar</t>
        </is>
      </c>
      <c r="J198" t="inlineStr">
        <is>
          <t>2264-1190</t>
        </is>
      </c>
      <c r="K198" t="inlineStr">
        <is>
          <t>Fátima Rosales</t>
        </is>
      </c>
      <c r="L198" t="inlineStr">
        <is>
          <t>Brenda Castillo Sorto</t>
        </is>
      </c>
      <c r="M198" t="inlineStr">
        <is>
          <t>09144591-2</t>
        </is>
      </c>
      <c r="N198" t="inlineStr">
        <is>
          <t>2460-3568</t>
        </is>
      </c>
      <c r="O198" t="inlineStr">
        <is>
          <t>Consumidor final</t>
        </is>
      </c>
      <c r="P198" t="inlineStr">
        <is>
          <t>LAC-001</t>
        </is>
      </c>
      <c r="Q198" t="inlineStr">
        <is>
          <t>Quesillo 1lb</t>
        </is>
      </c>
      <c r="R198" t="inlineStr">
        <is>
          <t>LACTEOS</t>
        </is>
      </c>
      <c r="S198" t="inlineStr">
        <is>
          <t>Lácteos Chalate</t>
        </is>
      </c>
      <c r="T198" t="inlineStr">
        <is>
          <t>2335-1020</t>
        </is>
      </c>
      <c r="U198" t="inlineStr">
        <is>
          <t>3,80</t>
        </is>
      </c>
      <c r="V198" t="n">
        <v>1</v>
      </c>
      <c r="W198" t="n">
        <v>0</v>
      </c>
      <c r="X198">
        <f>IFERROR(U198*V198*(1-W198/100),"")</f>
        <v/>
      </c>
      <c r="Y198">
        <f>IFERROR(ROUND(X198*0.13,2),"")</f>
        <v/>
      </c>
      <c r="Z198">
        <f>IFERROR(X198+Y198,"")</f>
        <v/>
      </c>
      <c r="AA198" t="inlineStr">
        <is>
          <t>efectivo</t>
        </is>
      </c>
      <c r="AB198" t="inlineStr">
        <is>
          <t>entregar en bodega</t>
        </is>
      </c>
    </row>
    <row r="199">
      <c r="A199" t="inlineStr">
        <is>
          <t>F-10605</t>
        </is>
      </c>
      <c r="B199" s="3" t="n">
        <v>46280</v>
      </c>
      <c r="C199" t="inlineStr">
        <is>
          <t>Factura</t>
        </is>
      </c>
      <c r="D199" t="inlineStr">
        <is>
          <t>LL01</t>
        </is>
      </c>
      <c r="E199" t="inlineStr">
        <is>
          <t>SANTA TECLA</t>
        </is>
      </c>
      <c r="F199" t="inlineStr">
        <is>
          <t>Calle Daniel Hernández #18</t>
        </is>
      </c>
      <c r="G199" t="inlineStr">
        <is>
          <t>Santa Tecla</t>
        </is>
      </c>
      <c r="H199" t="inlineStr">
        <is>
          <t>La Libertad</t>
        </is>
      </c>
      <c r="I199" t="inlineStr">
        <is>
          <t>Óscar Rivas</t>
        </is>
      </c>
      <c r="J199" t="inlineStr">
        <is>
          <t>2228-7731</t>
        </is>
      </c>
      <c r="K199" t="inlineStr">
        <is>
          <t>Luis Escobar</t>
        </is>
      </c>
      <c r="L199" t="inlineStr">
        <is>
          <t>Carlos García Cornejo</t>
        </is>
      </c>
      <c r="M199" t="inlineStr">
        <is>
          <t>09671747-5</t>
        </is>
      </c>
      <c r="N199" t="inlineStr">
        <is>
          <t>6898-8471</t>
        </is>
      </c>
      <c r="O199" t="inlineStr">
        <is>
          <t>Consumidor final</t>
        </is>
      </c>
      <c r="P199" t="inlineStr">
        <is>
          <t>HIG-003</t>
        </is>
      </c>
      <c r="Q199" t="inlineStr">
        <is>
          <t>Jabón de lavar barra</t>
        </is>
      </c>
      <c r="R199" t="inlineStr">
        <is>
          <t>Limpieza</t>
        </is>
      </c>
      <c r="S199" t="inlineStr">
        <is>
          <t>Higiene Total C.A.</t>
        </is>
      </c>
      <c r="T199" t="inlineStr">
        <is>
          <t>2207-5566</t>
        </is>
      </c>
      <c r="U199" t="inlineStr">
        <is>
          <t>$0.75</t>
        </is>
      </c>
      <c r="V199" t="n">
        <v>4</v>
      </c>
      <c r="W199" t="n">
        <v>0</v>
      </c>
      <c r="X199">
        <f>IFERROR(U199*V199*(1-W199/100),"")</f>
        <v/>
      </c>
      <c r="Y199">
        <f>IFERROR(ROUND(X199*0.13,2),"")</f>
        <v/>
      </c>
      <c r="Z199">
        <f>IFERROR(X199+Y199,"")</f>
        <v/>
      </c>
      <c r="AA199" t="inlineStr">
        <is>
          <t>Efectivo</t>
        </is>
      </c>
      <c r="AB199" t="inlineStr">
        <is>
          <t>pagó con billete de $100</t>
        </is>
      </c>
    </row>
    <row r="200">
      <c r="A200" t="inlineStr">
        <is>
          <t>F-10605</t>
        </is>
      </c>
      <c r="B200" s="3" t="n">
        <v>46280</v>
      </c>
      <c r="C200" t="inlineStr">
        <is>
          <t>Factura</t>
        </is>
      </c>
      <c r="D200" t="inlineStr">
        <is>
          <t>LL01</t>
        </is>
      </c>
      <c r="E200" t="inlineStr">
        <is>
          <t>Sta. Tecla</t>
        </is>
      </c>
      <c r="F200" t="inlineStr">
        <is>
          <t>Calle Daniel Hernández #18</t>
        </is>
      </c>
      <c r="G200" t="inlineStr">
        <is>
          <t>Santa Tecla</t>
        </is>
      </c>
      <c r="H200" t="inlineStr">
        <is>
          <t>La Libertad</t>
        </is>
      </c>
      <c r="I200" t="inlineStr">
        <is>
          <t>Óscar Rivas</t>
        </is>
      </c>
      <c r="J200" t="inlineStr">
        <is>
          <t>2228-7731</t>
        </is>
      </c>
      <c r="K200" t="inlineStr">
        <is>
          <t>Luis Escobar</t>
        </is>
      </c>
      <c r="L200" t="inlineStr">
        <is>
          <t>Carlos García Cornejo</t>
        </is>
      </c>
      <c r="M200" t="inlineStr">
        <is>
          <t>09671747-5</t>
        </is>
      </c>
      <c r="N200" t="inlineStr">
        <is>
          <t>6898-8471</t>
        </is>
      </c>
      <c r="O200" t="inlineStr">
        <is>
          <t>Consumidor final</t>
        </is>
      </c>
      <c r="P200" t="inlineStr">
        <is>
          <t>HIG-001</t>
        </is>
      </c>
      <c r="Q200" t="inlineStr">
        <is>
          <t>Detergente 1kg</t>
        </is>
      </c>
      <c r="R200" t="inlineStr">
        <is>
          <t>limpieza</t>
        </is>
      </c>
      <c r="S200" t="inlineStr">
        <is>
          <t>Higiene Total C.A.</t>
        </is>
      </c>
      <c r="T200" t="inlineStr">
        <is>
          <t>2207-5566</t>
        </is>
      </c>
      <c r="U200" t="inlineStr">
        <is>
          <t>$3.45</t>
        </is>
      </c>
      <c r="V200" t="n">
        <v>1</v>
      </c>
      <c r="W200" t="n">
        <v>0</v>
      </c>
      <c r="X200">
        <f>IFERROR(U200*V200*(1-W200/100),"")</f>
        <v/>
      </c>
      <c r="Y200">
        <f>IFERROR(ROUND(X200*0.13,2),"")</f>
        <v/>
      </c>
      <c r="Z200">
        <f>IFERROR(X200+Y200,"")</f>
        <v/>
      </c>
      <c r="AA200" t="inlineStr">
        <is>
          <t>Efectivo</t>
        </is>
      </c>
      <c r="AB200" t="inlineStr"/>
    </row>
    <row r="201">
      <c r="A201" t="inlineStr">
        <is>
          <t>F-10605</t>
        </is>
      </c>
      <c r="B201" t="inlineStr">
        <is>
          <t>2026-09-15</t>
        </is>
      </c>
      <c r="C201" t="inlineStr">
        <is>
          <t>Factura</t>
        </is>
      </c>
      <c r="D201" t="inlineStr">
        <is>
          <t>LL01</t>
        </is>
      </c>
      <c r="E201" t="inlineStr">
        <is>
          <t>SANTA TECLA</t>
        </is>
      </c>
      <c r="F201" t="inlineStr">
        <is>
          <t>Calle Daniel Hernández #18</t>
        </is>
      </c>
      <c r="G201" t="inlineStr">
        <is>
          <t>Santa Tecla</t>
        </is>
      </c>
      <c r="H201" t="inlineStr">
        <is>
          <t>La Libertad</t>
        </is>
      </c>
      <c r="I201" t="inlineStr">
        <is>
          <t>Óscar Rivas</t>
        </is>
      </c>
      <c r="J201" t="inlineStr">
        <is>
          <t>2228-7731</t>
        </is>
      </c>
      <c r="K201" t="inlineStr">
        <is>
          <t>Luis Escobar</t>
        </is>
      </c>
      <c r="L201" t="inlineStr">
        <is>
          <t>Carlos García Cornejo</t>
        </is>
      </c>
      <c r="M201" t="inlineStr">
        <is>
          <t>09671747-5</t>
        </is>
      </c>
      <c r="N201" t="inlineStr">
        <is>
          <t>6898-8471</t>
        </is>
      </c>
      <c r="O201" t="inlineStr">
        <is>
          <t>Consumidor final</t>
        </is>
      </c>
      <c r="P201" t="inlineStr">
        <is>
          <t>ARR-001</t>
        </is>
      </c>
      <c r="Q201" t="inlineStr">
        <is>
          <t>Arroz blanco 5lb</t>
        </is>
      </c>
      <c r="R201" t="inlineStr">
        <is>
          <t>Granos básicos</t>
        </is>
      </c>
      <c r="S201" t="inlineStr">
        <is>
          <t>Granos del Pacífico</t>
        </is>
      </c>
      <c r="T201" t="inlineStr">
        <is>
          <t>2234-8890</t>
        </is>
      </c>
      <c r="U201" t="inlineStr">
        <is>
          <t>$3.95</t>
        </is>
      </c>
      <c r="V201" t="n">
        <v>1</v>
      </c>
      <c r="W201" t="n">
        <v>0</v>
      </c>
      <c r="X201">
        <f>IFERROR(U201*V201*(1-W201/100),"")</f>
        <v/>
      </c>
      <c r="Y201">
        <f>IFERROR(ROUND(X201*0.13,2),"")</f>
        <v/>
      </c>
      <c r="Z201">
        <f>IFERROR(X201+Y201,"")</f>
        <v/>
      </c>
      <c r="AA201" t="inlineStr">
        <is>
          <t>Efectivo</t>
        </is>
      </c>
      <c r="AB201" t="inlineStr"/>
    </row>
    <row r="202">
      <c r="A202" t="inlineStr">
        <is>
          <t>F-10605</t>
        </is>
      </c>
      <c r="B202" s="3" t="n">
        <v>46280</v>
      </c>
      <c r="C202" t="inlineStr">
        <is>
          <t>Factura</t>
        </is>
      </c>
      <c r="D202" t="inlineStr">
        <is>
          <t>LL01</t>
        </is>
      </c>
      <c r="E202" t="inlineStr">
        <is>
          <t>Sta. Tecla</t>
        </is>
      </c>
      <c r="F202" t="inlineStr">
        <is>
          <t>Calle Daniel Hernández #18</t>
        </is>
      </c>
      <c r="G202" t="inlineStr">
        <is>
          <t>Santa Tecla</t>
        </is>
      </c>
      <c r="H202" t="inlineStr">
        <is>
          <t>La Libertad</t>
        </is>
      </c>
      <c r="I202" t="inlineStr">
        <is>
          <t>Óscar Rivas</t>
        </is>
      </c>
      <c r="J202" t="inlineStr">
        <is>
          <t>2228-7731</t>
        </is>
      </c>
      <c r="K202" t="inlineStr">
        <is>
          <t>Luis Escobar</t>
        </is>
      </c>
      <c r="L202" t="inlineStr">
        <is>
          <t>Carlos García Cornejo</t>
        </is>
      </c>
      <c r="M202" t="inlineStr">
        <is>
          <t>09671747-5</t>
        </is>
      </c>
      <c r="N202" t="inlineStr">
        <is>
          <t>6898-8471</t>
        </is>
      </c>
      <c r="O202" t="inlineStr">
        <is>
          <t>Consumidor final</t>
        </is>
      </c>
      <c r="P202" t="inlineStr">
        <is>
          <t>HAR-001</t>
        </is>
      </c>
      <c r="Q202" t="inlineStr">
        <is>
          <t>Harina de maíz 2lb</t>
        </is>
      </c>
      <c r="R202" t="inlineStr">
        <is>
          <t>Abarrotes</t>
        </is>
      </c>
      <c r="S202" t="inlineStr">
        <is>
          <t>Granos del Pacífico</t>
        </is>
      </c>
      <c r="T202" t="inlineStr">
        <is>
          <t>2234-8890</t>
        </is>
      </c>
      <c r="U202" t="inlineStr">
        <is>
          <t>$1.35</t>
        </is>
      </c>
      <c r="V202" t="n">
        <v>-1</v>
      </c>
      <c r="W202" t="n">
        <v>0</v>
      </c>
      <c r="X202">
        <f>IFERROR(U202*V202*(1-W202/100),"")</f>
        <v/>
      </c>
      <c r="Y202">
        <f>IFERROR(ROUND(X202*0.13,2),"")</f>
        <v/>
      </c>
      <c r="Z202">
        <f>IFERROR(X202+Y202,"")</f>
        <v/>
      </c>
      <c r="AA202" t="inlineStr">
        <is>
          <t>Efectivo</t>
        </is>
      </c>
      <c r="AB202" t="inlineStr">
        <is>
          <t>entregar en bodega</t>
        </is>
      </c>
    </row>
    <row r="203">
      <c r="A203" t="inlineStr">
        <is>
          <t>F-10607</t>
        </is>
      </c>
      <c r="B203" s="3" t="n">
        <v>46291</v>
      </c>
      <c r="C203" t="inlineStr">
        <is>
          <t>FCF</t>
        </is>
      </c>
      <c r="D203" t="inlineStr">
        <is>
          <t>LL01</t>
        </is>
      </c>
      <c r="E203" t="inlineStr">
        <is>
          <t>SANTA TECLA</t>
        </is>
      </c>
      <c r="F203" t="inlineStr">
        <is>
          <t>Calle Daniel Hernández #18</t>
        </is>
      </c>
      <c r="G203" t="inlineStr">
        <is>
          <t>Santa Tecla</t>
        </is>
      </c>
      <c r="H203" t="inlineStr">
        <is>
          <t>La Libertad</t>
        </is>
      </c>
      <c r="I203" t="inlineStr">
        <is>
          <t>Óscar Rivas</t>
        </is>
      </c>
      <c r="J203" t="inlineStr">
        <is>
          <t>2228-7731</t>
        </is>
      </c>
      <c r="K203" t="inlineStr">
        <is>
          <t>Luis Escobar</t>
        </is>
      </c>
      <c r="L203" t="inlineStr">
        <is>
          <t>Héctor Hernández Quintanilla</t>
        </is>
      </c>
      <c r="M203" t="inlineStr">
        <is>
          <t>05302669-9</t>
        </is>
      </c>
      <c r="N203" t="inlineStr">
        <is>
          <t>2708-8580</t>
        </is>
      </c>
      <c r="O203" t="inlineStr">
        <is>
          <t>Consumidor final</t>
        </is>
      </c>
      <c r="P203" t="inlineStr">
        <is>
          <t>HIG-001</t>
        </is>
      </c>
      <c r="Q203" t="inlineStr">
        <is>
          <t>Detergente 1kg</t>
        </is>
      </c>
      <c r="R203" t="inlineStr">
        <is>
          <t>limpieza</t>
        </is>
      </c>
      <c r="S203" t="inlineStr">
        <is>
          <t>Higiene Total C.A.</t>
        </is>
      </c>
      <c r="T203" t="inlineStr">
        <is>
          <t>2207-5566</t>
        </is>
      </c>
      <c r="U203" t="n">
        <v>3.45</v>
      </c>
      <c r="V203" t="n">
        <v>1</v>
      </c>
      <c r="W203" t="n">
        <v>0</v>
      </c>
      <c r="X203">
        <f>IFERROR(U203*V203*(1-W203/100),"")</f>
        <v/>
      </c>
      <c r="Y203">
        <f>IFERROR(ROUND(X203*0.13,2),"")</f>
        <v/>
      </c>
      <c r="Z203">
        <f>IFERROR(X203+Y203,"")</f>
        <v/>
      </c>
      <c r="AA203" t="inlineStr">
        <is>
          <t>Efectivo</t>
        </is>
      </c>
      <c r="AB203" t="inlineStr">
        <is>
          <t>precio especial autorizado por gerente</t>
        </is>
      </c>
    </row>
    <row r="204">
      <c r="A204" t="inlineStr">
        <is>
          <t>F-10607</t>
        </is>
      </c>
      <c r="B204" s="3" t="n">
        <v>46291</v>
      </c>
      <c r="C204" t="inlineStr">
        <is>
          <t>FCF</t>
        </is>
      </c>
      <c r="D204" t="inlineStr">
        <is>
          <t>LL01</t>
        </is>
      </c>
      <c r="E204" t="inlineStr">
        <is>
          <t>SANTA TECLA</t>
        </is>
      </c>
      <c r="F204" t="inlineStr">
        <is>
          <t>Calle Daniel Hernández #18</t>
        </is>
      </c>
      <c r="G204" t="inlineStr">
        <is>
          <t>Santa Tecla</t>
        </is>
      </c>
      <c r="H204" t="inlineStr">
        <is>
          <t>La Libertad</t>
        </is>
      </c>
      <c r="I204" t="inlineStr">
        <is>
          <t>Óscar Rivas</t>
        </is>
      </c>
      <c r="J204" t="inlineStr">
        <is>
          <t>2228-7731</t>
        </is>
      </c>
      <c r="K204" t="inlineStr">
        <is>
          <t>Luis Escobar</t>
        </is>
      </c>
      <c r="L204" t="inlineStr">
        <is>
          <t>Héctor Hernández Quintanilla</t>
        </is>
      </c>
      <c r="M204" t="inlineStr">
        <is>
          <t>05302669-9</t>
        </is>
      </c>
      <c r="N204" t="inlineStr">
        <is>
          <t>2708-8580</t>
        </is>
      </c>
      <c r="O204" t="inlineStr">
        <is>
          <t>Consumidor final</t>
        </is>
      </c>
      <c r="P204" t="inlineStr">
        <is>
          <t>BEB-003</t>
        </is>
      </c>
      <c r="Q204" t="inlineStr">
        <is>
          <t>Horchata en polvo 400g</t>
        </is>
      </c>
      <c r="R204" t="inlineStr">
        <is>
          <t>Bebidas</t>
        </is>
      </c>
      <c r="S204" t="inlineStr">
        <is>
          <t>Bebidas Izalco</t>
        </is>
      </c>
      <c r="T204" t="inlineStr">
        <is>
          <t>2450-7700</t>
        </is>
      </c>
      <c r="U204" t="n">
        <v>2.6</v>
      </c>
      <c r="V204" t="n">
        <v>1</v>
      </c>
      <c r="W204" t="n">
        <v>0</v>
      </c>
      <c r="X204">
        <f>IFERROR(U204*V204*(1-W204/100),"")</f>
        <v/>
      </c>
      <c r="Y204">
        <f>IFERROR(ROUND(X204*0.13,2),"")</f>
        <v/>
      </c>
      <c r="Z204">
        <f>IFERROR(X204+Y204,"")</f>
        <v/>
      </c>
      <c r="AA204" t="inlineStr">
        <is>
          <t>Efectivo</t>
        </is>
      </c>
      <c r="AB204" t="inlineStr">
        <is>
          <t>pagó con billete de $100</t>
        </is>
      </c>
    </row>
    <row r="205">
      <c r="A205" t="inlineStr">
        <is>
          <t>F-10607</t>
        </is>
      </c>
      <c r="B205" s="3" t="n">
        <v>46291</v>
      </c>
      <c r="C205" t="inlineStr">
        <is>
          <t>FCF</t>
        </is>
      </c>
      <c r="D205" t="inlineStr">
        <is>
          <t>LL01</t>
        </is>
      </c>
      <c r="E205" t="inlineStr">
        <is>
          <t>SANTA TECLA</t>
        </is>
      </c>
      <c r="F205" t="inlineStr">
        <is>
          <t>Calle Daniel Hernández #18</t>
        </is>
      </c>
      <c r="G205" t="inlineStr">
        <is>
          <t>Santa Tecla</t>
        </is>
      </c>
      <c r="H205" t="inlineStr">
        <is>
          <t>La Libertad</t>
        </is>
      </c>
      <c r="I205" t="inlineStr">
        <is>
          <t>Óscar Rivas</t>
        </is>
      </c>
      <c r="J205" t="inlineStr">
        <is>
          <t>2228-7731</t>
        </is>
      </c>
      <c r="K205" t="inlineStr">
        <is>
          <t>Luis Escobar</t>
        </is>
      </c>
      <c r="L205" t="inlineStr">
        <is>
          <t>Héctor Hernández Quintanilla</t>
        </is>
      </c>
      <c r="M205" t="inlineStr">
        <is>
          <t>05302669-9</t>
        </is>
      </c>
      <c r="N205" t="inlineStr">
        <is>
          <t>2708-8580</t>
        </is>
      </c>
      <c r="O205" t="inlineStr">
        <is>
          <t>Consumidor final</t>
        </is>
      </c>
      <c r="P205" t="inlineStr">
        <is>
          <t>LAC-003</t>
        </is>
      </c>
      <c r="Q205" t="inlineStr">
        <is>
          <t>Leche entera 1L</t>
        </is>
      </c>
      <c r="R205" t="inlineStr">
        <is>
          <t>Lácteos</t>
        </is>
      </c>
      <c r="S205" t="inlineStr">
        <is>
          <t>Lácteos Chalate</t>
        </is>
      </c>
      <c r="T205" t="inlineStr">
        <is>
          <t>7120-4455</t>
        </is>
      </c>
      <c r="U205" t="n">
        <v>1.2</v>
      </c>
      <c r="V205" t="n">
        <v>4</v>
      </c>
      <c r="W205" t="n">
        <v>0</v>
      </c>
      <c r="X205">
        <f>IFERROR(U205*V205*(1-W205/100),"")</f>
        <v/>
      </c>
      <c r="Y205">
        <f>IFERROR(ROUND(X205*0.13,2),"")</f>
        <v/>
      </c>
      <c r="Z205">
        <f>IFERROR(X205+Y205,"")</f>
        <v/>
      </c>
      <c r="AA205" t="inlineStr">
        <is>
          <t>Efectivo</t>
        </is>
      </c>
      <c r="AB205" t="inlineStr">
        <is>
          <t>Cliente frecuente</t>
        </is>
      </c>
    </row>
    <row r="206">
      <c r="A206" t="inlineStr">
        <is>
          <t>F-10609</t>
        </is>
      </c>
      <c r="B206" s="3" t="n">
        <v>46205</v>
      </c>
      <c r="C206" t="inlineStr">
        <is>
          <t>Factura</t>
        </is>
      </c>
      <c r="D206" t="inlineStr">
        <is>
          <t>LL01</t>
        </is>
      </c>
      <c r="E206" t="inlineStr">
        <is>
          <t>Santa Tecla</t>
        </is>
      </c>
      <c r="F206" t="inlineStr">
        <is>
          <t>Calle Daniel Hernández #18</t>
        </is>
      </c>
      <c r="G206" t="inlineStr">
        <is>
          <t>Santa Tecla</t>
        </is>
      </c>
      <c r="H206" t="inlineStr">
        <is>
          <t>La Libertad</t>
        </is>
      </c>
      <c r="I206" t="inlineStr">
        <is>
          <t>Óscar Rivas</t>
        </is>
      </c>
      <c r="J206" t="inlineStr">
        <is>
          <t>2228-7731</t>
        </is>
      </c>
      <c r="K206" t="inlineStr">
        <is>
          <t>Andrea Pineda</t>
        </is>
      </c>
      <c r="L206" t="inlineStr">
        <is>
          <t>Patricia García Martínez</t>
        </is>
      </c>
      <c r="M206" t="inlineStr">
        <is>
          <t>02380558-6</t>
        </is>
      </c>
      <c r="N206" t="inlineStr">
        <is>
          <t>6660-5283</t>
        </is>
      </c>
      <c r="O206" t="inlineStr">
        <is>
          <t>Consumidor final</t>
        </is>
      </c>
      <c r="P206" t="inlineStr">
        <is>
          <t>PAN-003</t>
        </is>
      </c>
      <c r="Q206" t="inlineStr">
        <is>
          <t>Quesadilla salvadoreña</t>
        </is>
      </c>
      <c r="R206" t="inlineStr">
        <is>
          <t>PANADERIA</t>
        </is>
      </c>
      <c r="S206" t="inlineStr">
        <is>
          <t>Panificadora Ilopango</t>
        </is>
      </c>
      <c r="T206" t="inlineStr">
        <is>
          <t>2295-0081</t>
        </is>
      </c>
      <c r="U206" t="n">
        <v>2.5</v>
      </c>
      <c r="V206" t="n">
        <v>12</v>
      </c>
      <c r="W206" t="n">
        <v>0</v>
      </c>
      <c r="X206">
        <f>IFERROR(U206*V206*(1-W206/100),"")</f>
        <v/>
      </c>
      <c r="Y206">
        <f>IFERROR(ROUND(X206*0.13,2),"")</f>
        <v/>
      </c>
      <c r="Z206">
        <f>IFERROR(X206+Y206,"")</f>
        <v/>
      </c>
      <c r="AA206" t="inlineStr">
        <is>
          <t>efectivo</t>
        </is>
      </c>
      <c r="AB206" t="inlineStr">
        <is>
          <t>Llamar al 7788-1234 antes de entregar</t>
        </is>
      </c>
    </row>
    <row r="207">
      <c r="A207" t="inlineStr">
        <is>
          <t>F-10609</t>
        </is>
      </c>
      <c r="B207" s="3" t="n">
        <v>46205</v>
      </c>
      <c r="C207" t="inlineStr">
        <is>
          <t>Factura</t>
        </is>
      </c>
      <c r="D207" t="inlineStr">
        <is>
          <t>LL01</t>
        </is>
      </c>
      <c r="E207" t="inlineStr">
        <is>
          <t>Sta. Tecla</t>
        </is>
      </c>
      <c r="F207" t="inlineStr">
        <is>
          <t>Calle Daniel Hernández #18</t>
        </is>
      </c>
      <c r="G207" t="inlineStr">
        <is>
          <t>Santa Tecla</t>
        </is>
      </c>
      <c r="H207" t="inlineStr">
        <is>
          <t>La Libertad</t>
        </is>
      </c>
      <c r="I207" t="inlineStr">
        <is>
          <t>Óscar Rivas</t>
        </is>
      </c>
      <c r="J207" t="inlineStr">
        <is>
          <t>2228-7731</t>
        </is>
      </c>
      <c r="K207" t="inlineStr">
        <is>
          <t>Andrea Pineda</t>
        </is>
      </c>
      <c r="L207" t="inlineStr">
        <is>
          <t>Patricia García Martínez</t>
        </is>
      </c>
      <c r="M207" t="inlineStr">
        <is>
          <t>02380558-6</t>
        </is>
      </c>
      <c r="N207" t="inlineStr">
        <is>
          <t>6660-5283</t>
        </is>
      </c>
      <c r="O207" t="inlineStr">
        <is>
          <t>Consumidor final</t>
        </is>
      </c>
      <c r="P207" t="inlineStr">
        <is>
          <t>CAF-002</t>
        </is>
      </c>
      <c r="Q207" t="inlineStr">
        <is>
          <t>Café en grano 1lb</t>
        </is>
      </c>
      <c r="R207" t="inlineStr">
        <is>
          <t>Abarrotes</t>
        </is>
      </c>
      <c r="S207" t="inlineStr">
        <is>
          <t>Café Volcán S.A.</t>
        </is>
      </c>
      <c r="T207" t="inlineStr">
        <is>
          <t>2510-3344</t>
        </is>
      </c>
      <c r="U207" t="n">
        <v>6.75</v>
      </c>
      <c r="V207" t="n">
        <v>24</v>
      </c>
      <c r="W207" t="n">
        <v>0</v>
      </c>
      <c r="X207">
        <f>IFERROR(U207*V207*(1-W207/100),"")</f>
        <v/>
      </c>
      <c r="Y207">
        <f>IFERROR(ROUND(X207*0.13,2),"")</f>
        <v/>
      </c>
      <c r="Z207">
        <f>IFERROR(X207+Y207,"")</f>
        <v/>
      </c>
      <c r="AA207" t="inlineStr">
        <is>
          <t>efectivo</t>
        </is>
      </c>
      <c r="AB207" t="inlineStr"/>
    </row>
    <row r="208">
      <c r="A208" t="inlineStr">
        <is>
          <t>F-10609</t>
        </is>
      </c>
      <c r="B208" s="3" t="n">
        <v>46205</v>
      </c>
      <c r="C208" t="inlineStr">
        <is>
          <t>Factura</t>
        </is>
      </c>
      <c r="D208" t="inlineStr">
        <is>
          <t>LL01</t>
        </is>
      </c>
      <c r="E208" t="inlineStr">
        <is>
          <t>Santa Tecla</t>
        </is>
      </c>
      <c r="F208" t="inlineStr">
        <is>
          <t>Calle Daniel Hernández #18</t>
        </is>
      </c>
      <c r="G208" t="inlineStr">
        <is>
          <t>Santa Tecla</t>
        </is>
      </c>
      <c r="H208" t="inlineStr">
        <is>
          <t>La Libertad</t>
        </is>
      </c>
      <c r="I208" t="inlineStr">
        <is>
          <t>Óscar Rivas</t>
        </is>
      </c>
      <c r="J208" t="inlineStr">
        <is>
          <t>2228-7731</t>
        </is>
      </c>
      <c r="K208" t="inlineStr">
        <is>
          <t>Andrea Pineda</t>
        </is>
      </c>
      <c r="L208" t="inlineStr">
        <is>
          <t>Patricia García Martínez</t>
        </is>
      </c>
      <c r="M208" t="inlineStr">
        <is>
          <t>02380558-6</t>
        </is>
      </c>
      <c r="N208" t="inlineStr">
        <is>
          <t>6660-5283</t>
        </is>
      </c>
      <c r="O208" t="inlineStr">
        <is>
          <t>Consumidor final</t>
        </is>
      </c>
      <c r="P208" t="inlineStr">
        <is>
          <t>ARR-001</t>
        </is>
      </c>
      <c r="Q208" t="inlineStr">
        <is>
          <t>Arroz blanco 5lb</t>
        </is>
      </c>
      <c r="R208" t="inlineStr">
        <is>
          <t>Abarrotes</t>
        </is>
      </c>
      <c r="S208" t="inlineStr">
        <is>
          <t>Granos del Pacífico</t>
        </is>
      </c>
      <c r="T208" t="inlineStr">
        <is>
          <t>2234-8890</t>
        </is>
      </c>
      <c r="U208" t="n">
        <v>3.95</v>
      </c>
      <c r="V208" t="n">
        <v>1</v>
      </c>
      <c r="W208" t="n">
        <v>0</v>
      </c>
      <c r="X208">
        <f>IFERROR(U208*V208*(1-W208/100),"")</f>
        <v/>
      </c>
      <c r="Y208">
        <f>IFERROR(ROUND(X208*0.13,2),"")</f>
        <v/>
      </c>
      <c r="Z208">
        <f>IFERROR(X208+Y208,"")</f>
        <v/>
      </c>
      <c r="AA208" t="inlineStr">
        <is>
          <t>efectivo</t>
        </is>
      </c>
      <c r="AB208" t="inlineStr">
        <is>
          <t>precio especial autorizado por gerente</t>
        </is>
      </c>
    </row>
    <row r="209">
      <c r="A209" t="inlineStr">
        <is>
          <t>F-10611</t>
        </is>
      </c>
      <c r="B209" s="3" t="n">
        <v>46259</v>
      </c>
      <c r="C209" t="inlineStr">
        <is>
          <t>Factura</t>
        </is>
      </c>
      <c r="D209" t="inlineStr">
        <is>
          <t>SS02</t>
        </is>
      </c>
      <c r="E209" t="inlineStr">
        <is>
          <t>Col. Escalón</t>
        </is>
      </c>
      <c r="F209" t="inlineStr">
        <is>
          <t>Paseo General Escalón #3910</t>
        </is>
      </c>
      <c r="G209" t="inlineStr">
        <is>
          <t>San Salvador</t>
        </is>
      </c>
      <c r="H209" t="inlineStr">
        <is>
          <t>San Salvador</t>
        </is>
      </c>
      <c r="I209" t="inlineStr">
        <is>
          <t>Claudia Menjívar</t>
        </is>
      </c>
      <c r="J209" t="inlineStr">
        <is>
          <t>2264-1190</t>
        </is>
      </c>
      <c r="K209" t="inlineStr">
        <is>
          <t>Fátima Rosales</t>
        </is>
      </c>
      <c r="L209" t="inlineStr">
        <is>
          <t>Mario Castillo Flores</t>
        </is>
      </c>
      <c r="M209" t="inlineStr">
        <is>
          <t>04376476-4</t>
        </is>
      </c>
      <c r="N209" t="inlineStr">
        <is>
          <t>2114-7744</t>
        </is>
      </c>
      <c r="O209" t="inlineStr">
        <is>
          <t>Consumidor final</t>
        </is>
      </c>
      <c r="P209" t="inlineStr">
        <is>
          <t>FRI-001</t>
        </is>
      </c>
      <c r="Q209" t="inlineStr">
        <is>
          <t>Frijol rojo de seda 2lb</t>
        </is>
      </c>
      <c r="R209" t="inlineStr">
        <is>
          <t>Abarrotes</t>
        </is>
      </c>
      <c r="S209" t="inlineStr">
        <is>
          <t>Granos del Pacífico</t>
        </is>
      </c>
      <c r="T209" t="inlineStr">
        <is>
          <t>2234-8890</t>
        </is>
      </c>
      <c r="U209" t="inlineStr">
        <is>
          <t>$2.40</t>
        </is>
      </c>
      <c r="V209" t="n">
        <v>2</v>
      </c>
      <c r="W209" t="n">
        <v>0</v>
      </c>
      <c r="X209">
        <f>IFERROR(U209*V209*(1-W209/100),"")</f>
        <v/>
      </c>
      <c r="Y209">
        <f>IFERROR(ROUND(X209*0.13,2),"")</f>
        <v/>
      </c>
      <c r="Z209">
        <f>IFERROR(X209+Y209,"")</f>
        <v/>
      </c>
      <c r="AA209" t="inlineStr">
        <is>
          <t>Efectivo</t>
        </is>
      </c>
      <c r="AB209" t="inlineStr">
        <is>
          <t>precio especial autorizado por gerente</t>
        </is>
      </c>
    </row>
    <row r="210">
      <c r="A210" t="inlineStr">
        <is>
          <t>F-10612</t>
        </is>
      </c>
      <c r="B210" s="3" t="n">
        <v>46226</v>
      </c>
      <c r="C210" t="inlineStr">
        <is>
          <t>FCF</t>
        </is>
      </c>
      <c r="D210" t="inlineStr">
        <is>
          <t>SS01</t>
        </is>
      </c>
      <c r="E210" t="inlineStr">
        <is>
          <t>SAN SALVADOR CENTRO</t>
        </is>
      </c>
      <c r="F210" t="inlineStr">
        <is>
          <t>4a Calle Poniente #215</t>
        </is>
      </c>
      <c r="G210" t="inlineStr">
        <is>
          <t>San Salvador</t>
        </is>
      </c>
      <c r="H210" t="inlineStr">
        <is>
          <t>San Salvador</t>
        </is>
      </c>
      <c r="I210" t="inlineStr">
        <is>
          <t>Roberto Alfaro</t>
        </is>
      </c>
      <c r="J210" t="inlineStr">
        <is>
          <t>2221-4580</t>
        </is>
      </c>
      <c r="K210" t="inlineStr">
        <is>
          <t>Daniela Orellana</t>
        </is>
      </c>
      <c r="L210" t="inlineStr">
        <is>
          <t>Rosa Argueta Alvarado</t>
        </is>
      </c>
      <c r="M210" t="inlineStr">
        <is>
          <t>05070765-0</t>
        </is>
      </c>
      <c r="N210" t="inlineStr">
        <is>
          <t>6692-3069</t>
        </is>
      </c>
      <c r="O210" t="inlineStr">
        <is>
          <t>Consumidor final</t>
        </is>
      </c>
      <c r="P210" t="inlineStr">
        <is>
          <t>BEB-001</t>
        </is>
      </c>
      <c r="Q210" t="inlineStr">
        <is>
          <t>Gaseosa 2.5L</t>
        </is>
      </c>
      <c r="R210" t="inlineStr">
        <is>
          <t>Bebidas</t>
        </is>
      </c>
      <c r="S210" t="inlineStr">
        <is>
          <t>Bebidas Izalco</t>
        </is>
      </c>
      <c r="T210" t="inlineStr">
        <is>
          <t>2450-7700</t>
        </is>
      </c>
      <c r="U210" t="n">
        <v>1.95</v>
      </c>
      <c r="V210" t="n">
        <v>1</v>
      </c>
      <c r="W210" t="n">
        <v>0</v>
      </c>
      <c r="X210">
        <f>IFERROR(U210*V210*(1-W210/100),"")</f>
        <v/>
      </c>
      <c r="Y210">
        <f>IFERROR(ROUND(X210*0.13,2),"")</f>
        <v/>
      </c>
      <c r="Z210">
        <f>IFERROR(X210+Y210,"")</f>
        <v/>
      </c>
      <c r="AA210" t="inlineStr">
        <is>
          <t>Efectivo</t>
        </is>
      </c>
      <c r="AB210" t="inlineStr">
        <is>
          <t>entregar en bodega</t>
        </is>
      </c>
    </row>
    <row r="211">
      <c r="A211" t="inlineStr">
        <is>
          <t>F-10613</t>
        </is>
      </c>
      <c r="B211" s="3" t="n">
        <v>46217</v>
      </c>
      <c r="C211" t="inlineStr">
        <is>
          <t>Factura</t>
        </is>
      </c>
      <c r="D211" t="inlineStr">
        <is>
          <t>SO01</t>
        </is>
      </c>
      <c r="E211" t="inlineStr">
        <is>
          <t>Sonsonate</t>
        </is>
      </c>
      <c r="F211" t="inlineStr">
        <is>
          <t>Calle Obispo Marroquín #3</t>
        </is>
      </c>
      <c r="G211" t="inlineStr">
        <is>
          <t>Sonsonate</t>
        </is>
      </c>
      <c r="H211" t="inlineStr">
        <is>
          <t>Sonsonate</t>
        </is>
      </c>
      <c r="I211" t="inlineStr">
        <is>
          <t>Ernesto Chávez</t>
        </is>
      </c>
      <c r="J211" t="inlineStr">
        <is>
          <t>2451-2288</t>
        </is>
      </c>
      <c r="K211" t="inlineStr">
        <is>
          <t>Ricardo Funes</t>
        </is>
      </c>
      <c r="L211" t="inlineStr">
        <is>
          <t>Silvia Mejía Sorto</t>
        </is>
      </c>
      <c r="M211" t="inlineStr">
        <is>
          <t>08942439-6</t>
        </is>
      </c>
      <c r="N211" t="inlineStr">
        <is>
          <t>2492-5995</t>
        </is>
      </c>
      <c r="O211" t="inlineStr">
        <is>
          <t>Consumidor final</t>
        </is>
      </c>
      <c r="P211" t="inlineStr">
        <is>
          <t>HIG-001</t>
        </is>
      </c>
      <c r="Q211" t="inlineStr">
        <is>
          <t>Detergente 1kg</t>
        </is>
      </c>
      <c r="R211" t="inlineStr">
        <is>
          <t>Higiene</t>
        </is>
      </c>
      <c r="S211" t="inlineStr">
        <is>
          <t>Higiene Total C.A.</t>
        </is>
      </c>
      <c r="T211" t="inlineStr">
        <is>
          <t>2207-5566</t>
        </is>
      </c>
      <c r="U211" t="inlineStr">
        <is>
          <t>$3.45</t>
        </is>
      </c>
      <c r="V211" t="n">
        <v>1</v>
      </c>
      <c r="W211" t="n">
        <v>0</v>
      </c>
      <c r="X211">
        <f>IFERROR(U211*V211*(1-W211/100),"")</f>
        <v/>
      </c>
      <c r="Y211">
        <f>IFERROR(ROUND(X211*0.13,2),"")</f>
        <v/>
      </c>
      <c r="Z211">
        <f>IFERROR(X211+Y211,"")</f>
        <v/>
      </c>
      <c r="AA211" t="inlineStr">
        <is>
          <t>efectivo</t>
        </is>
      </c>
      <c r="AB211" t="inlineStr">
        <is>
          <t>entregar en bodega</t>
        </is>
      </c>
    </row>
    <row r="212">
      <c r="A212" t="inlineStr">
        <is>
          <t>F-10614</t>
        </is>
      </c>
      <c r="B212" t="inlineStr">
        <is>
          <t>18/07/2026</t>
        </is>
      </c>
      <c r="C212" t="inlineStr">
        <is>
          <t>Factura</t>
        </is>
      </c>
      <c r="D212" t="inlineStr">
        <is>
          <t>LL01</t>
        </is>
      </c>
      <c r="E212" t="inlineStr">
        <is>
          <t>SANTA TECLA</t>
        </is>
      </c>
      <c r="F212" t="inlineStr">
        <is>
          <t>Calle Daniel Hernández #18</t>
        </is>
      </c>
      <c r="G212" t="inlineStr">
        <is>
          <t>Santa Tecla</t>
        </is>
      </c>
      <c r="H212" t="inlineStr">
        <is>
          <t>La Libertad</t>
        </is>
      </c>
      <c r="I212" t="inlineStr">
        <is>
          <t>Óscar Rivas</t>
        </is>
      </c>
      <c r="J212" t="inlineStr">
        <is>
          <t>2228-7731</t>
        </is>
      </c>
      <c r="K212" t="inlineStr">
        <is>
          <t>Luis Escobar</t>
        </is>
      </c>
      <c r="L212" t="inlineStr">
        <is>
          <t>Carmen Quintanilla Mejía</t>
        </is>
      </c>
      <c r="M212" t="inlineStr">
        <is>
          <t>05832730-5</t>
        </is>
      </c>
      <c r="N212" t="inlineStr">
        <is>
          <t>6863-9414</t>
        </is>
      </c>
      <c r="O212" t="inlineStr">
        <is>
          <t>Consumidor final</t>
        </is>
      </c>
      <c r="P212" t="inlineStr">
        <is>
          <t>LAC-001</t>
        </is>
      </c>
      <c r="Q212" t="inlineStr">
        <is>
          <t>Quesillo 1lb</t>
        </is>
      </c>
      <c r="R212" t="inlineStr">
        <is>
          <t>LACTEOS</t>
        </is>
      </c>
      <c r="S212" t="inlineStr">
        <is>
          <t>Lácteos Chalate</t>
        </is>
      </c>
      <c r="T212" t="inlineStr">
        <is>
          <t>2335-1020</t>
        </is>
      </c>
      <c r="U212" t="n">
        <v>3.8</v>
      </c>
      <c r="V212" t="n">
        <v>2</v>
      </c>
      <c r="W212" t="n">
        <v>0</v>
      </c>
      <c r="X212">
        <f>IFERROR(U212*V212*(1-W212/100),"")</f>
        <v/>
      </c>
      <c r="Y212">
        <f>IFERROR(ROUND(X212*0.13,2),"")</f>
        <v/>
      </c>
      <c r="Z212">
        <f>IFERROR(X212+Y212,"")</f>
        <v/>
      </c>
      <c r="AA212" t="inlineStr">
        <is>
          <t>efectivo</t>
        </is>
      </c>
      <c r="AB212" t="inlineStr">
        <is>
          <t>precio especial autorizado por gerente</t>
        </is>
      </c>
    </row>
    <row r="213">
      <c r="A213" t="inlineStr">
        <is>
          <t>F-10614</t>
        </is>
      </c>
      <c r="B213" t="inlineStr">
        <is>
          <t>18-Jul-26</t>
        </is>
      </c>
      <c r="C213" t="inlineStr">
        <is>
          <t>Factura</t>
        </is>
      </c>
      <c r="D213" t="inlineStr">
        <is>
          <t>LL01</t>
        </is>
      </c>
      <c r="E213" t="inlineStr">
        <is>
          <t>Santa Tecla</t>
        </is>
      </c>
      <c r="F213" t="inlineStr">
        <is>
          <t>Calle Daniel Hernández #18</t>
        </is>
      </c>
      <c r="G213" t="inlineStr">
        <is>
          <t>Santa Tecla</t>
        </is>
      </c>
      <c r="H213" t="inlineStr">
        <is>
          <t>La Libertad</t>
        </is>
      </c>
      <c r="I213" t="inlineStr">
        <is>
          <t>Óscar Rivas</t>
        </is>
      </c>
      <c r="J213" t="inlineStr">
        <is>
          <t>2228-7731</t>
        </is>
      </c>
      <c r="K213" t="inlineStr">
        <is>
          <t>Luis Escobar</t>
        </is>
      </c>
      <c r="L213" t="inlineStr">
        <is>
          <t>Carmen Quintanilla Mejía</t>
        </is>
      </c>
      <c r="M213" t="inlineStr">
        <is>
          <t>05832730-5</t>
        </is>
      </c>
      <c r="N213" t="inlineStr">
        <is>
          <t>6863-9414</t>
        </is>
      </c>
      <c r="O213" t="inlineStr">
        <is>
          <t>Consumidor final</t>
        </is>
      </c>
      <c r="P213" t="inlineStr">
        <is>
          <t>CAF-002</t>
        </is>
      </c>
      <c r="Q213" t="inlineStr">
        <is>
          <t>Café en grano 1lb</t>
        </is>
      </c>
      <c r="R213" t="inlineStr">
        <is>
          <t>Abarrotes</t>
        </is>
      </c>
      <c r="S213" t="inlineStr">
        <is>
          <t>Café Volcán S.A.</t>
        </is>
      </c>
      <c r="T213" t="inlineStr">
        <is>
          <t>2510-3344</t>
        </is>
      </c>
      <c r="U213" t="n">
        <v>6.75</v>
      </c>
      <c r="V213" t="n">
        <v>3</v>
      </c>
      <c r="W213" t="n">
        <v>0</v>
      </c>
      <c r="X213">
        <f>IFERROR(U213*V213*(1-W213/100),"")</f>
        <v/>
      </c>
      <c r="Y213">
        <f>IFERROR(ROUND(X213*0.13,2),"")</f>
        <v/>
      </c>
      <c r="Z213">
        <f>IFERROR(X213+Y213,"")</f>
        <v/>
      </c>
      <c r="AA213" t="inlineStr">
        <is>
          <t>efectivo</t>
        </is>
      </c>
      <c r="AB213" t="inlineStr">
        <is>
          <t>entregar en bodega</t>
        </is>
      </c>
    </row>
    <row r="214">
      <c r="A214" t="inlineStr">
        <is>
          <t>F-10614</t>
        </is>
      </c>
      <c r="B214" s="3" t="n">
        <v>46221</v>
      </c>
      <c r="C214" t="inlineStr">
        <is>
          <t>Factura</t>
        </is>
      </c>
      <c r="D214" t="inlineStr">
        <is>
          <t>LL01</t>
        </is>
      </c>
      <c r="E214" t="inlineStr">
        <is>
          <t>Santa Tecla</t>
        </is>
      </c>
      <c r="F214" t="inlineStr">
        <is>
          <t>Calle Daniel Hernández #18</t>
        </is>
      </c>
      <c r="G214" t="inlineStr">
        <is>
          <t>Santa Tecla</t>
        </is>
      </c>
      <c r="H214" t="inlineStr">
        <is>
          <t>La Libertad</t>
        </is>
      </c>
      <c r="I214" t="inlineStr">
        <is>
          <t>Óscar Rivas</t>
        </is>
      </c>
      <c r="J214" t="inlineStr">
        <is>
          <t>2228-7731</t>
        </is>
      </c>
      <c r="K214" t="inlineStr">
        <is>
          <t>Luis Escobar</t>
        </is>
      </c>
      <c r="L214" t="inlineStr">
        <is>
          <t>Carmen Quintanilla Mejía</t>
        </is>
      </c>
      <c r="M214" t="inlineStr">
        <is>
          <t>05832730-5</t>
        </is>
      </c>
      <c r="N214" t="inlineStr">
        <is>
          <t>6863-9414</t>
        </is>
      </c>
      <c r="O214" t="inlineStr">
        <is>
          <t>Consumidor final</t>
        </is>
      </c>
      <c r="P214" t="inlineStr">
        <is>
          <t>HIG-002</t>
        </is>
      </c>
      <c r="Q214" t="inlineStr">
        <is>
          <t>Papel higiénico 4 rollos</t>
        </is>
      </c>
      <c r="R214" t="inlineStr">
        <is>
          <t>Limpieza</t>
        </is>
      </c>
      <c r="S214" t="inlineStr">
        <is>
          <t>Higiene Total C.A.</t>
        </is>
      </c>
      <c r="T214" t="inlineStr">
        <is>
          <t>2207-5566</t>
        </is>
      </c>
      <c r="U214" t="n">
        <v>2.15</v>
      </c>
      <c r="V214" t="n">
        <v>1</v>
      </c>
      <c r="W214" t="n">
        <v>0</v>
      </c>
      <c r="X214">
        <f>IFERROR(U214*V214*(1-W214/100),"")</f>
        <v/>
      </c>
      <c r="Y214">
        <f>IFERROR(ROUND(X214*0.13,2),"")</f>
        <v/>
      </c>
      <c r="Z214">
        <f>IFERROR(X214+Y214,"")</f>
        <v/>
      </c>
      <c r="AA214" t="inlineStr">
        <is>
          <t>efectivo</t>
        </is>
      </c>
      <c r="AB214" t="inlineStr"/>
    </row>
    <row r="215">
      <c r="A215" t="inlineStr">
        <is>
          <t>F-10614</t>
        </is>
      </c>
      <c r="B215" t="inlineStr">
        <is>
          <t>18/07/2026</t>
        </is>
      </c>
      <c r="C215" t="inlineStr">
        <is>
          <t>Factura</t>
        </is>
      </c>
      <c r="D215" t="inlineStr">
        <is>
          <t>LL01</t>
        </is>
      </c>
      <c r="E215" t="inlineStr">
        <is>
          <t>SANTA TECLA</t>
        </is>
      </c>
      <c r="F215" t="inlineStr">
        <is>
          <t>Calle Daniel Hernández #18</t>
        </is>
      </c>
      <c r="G215" t="inlineStr">
        <is>
          <t>Santa Tecla</t>
        </is>
      </c>
      <c r="H215" t="inlineStr">
        <is>
          <t>La Libertad</t>
        </is>
      </c>
      <c r="I215" t="inlineStr">
        <is>
          <t>Óscar Rivas</t>
        </is>
      </c>
      <c r="J215" t="inlineStr">
        <is>
          <t>2228-7731</t>
        </is>
      </c>
      <c r="K215" t="inlineStr">
        <is>
          <t>Luis Escobar</t>
        </is>
      </c>
      <c r="L215" t="inlineStr">
        <is>
          <t>Carmen Quintanilla Mejía</t>
        </is>
      </c>
      <c r="M215" t="inlineStr">
        <is>
          <t>05832730-5</t>
        </is>
      </c>
      <c r="N215" t="inlineStr">
        <is>
          <t>6863-9414</t>
        </is>
      </c>
      <c r="O215" t="inlineStr">
        <is>
          <t>Consumidor final</t>
        </is>
      </c>
      <c r="P215" t="inlineStr">
        <is>
          <t>AZU-001</t>
        </is>
      </c>
      <c r="Q215" t="inlineStr">
        <is>
          <t>Azúcar blanca 2.5kg</t>
        </is>
      </c>
      <c r="R215" t="inlineStr">
        <is>
          <t>Abarrotes</t>
        </is>
      </c>
      <c r="S215" t="inlineStr">
        <is>
          <t>Granos del Pacífico</t>
        </is>
      </c>
      <c r="T215" t="inlineStr">
        <is>
          <t>2234-8890</t>
        </is>
      </c>
      <c r="U215" t="n">
        <v>3.1</v>
      </c>
      <c r="V215" t="n">
        <v>24</v>
      </c>
      <c r="W215" t="n">
        <v>0</v>
      </c>
      <c r="X215">
        <f>IFERROR(U215*V215*(1-W215/100),"")</f>
        <v/>
      </c>
      <c r="Y215">
        <f>IFERROR(ROUND(X215*0.13,2),"")</f>
        <v/>
      </c>
      <c r="Z215">
        <f>IFERROR(X215+Y215,"")</f>
        <v/>
      </c>
      <c r="AA215" t="inlineStr">
        <is>
          <t>efectivo</t>
        </is>
      </c>
      <c r="AB215" t="inlineStr">
        <is>
          <t>Llamar al 7788-1234 antes de entregar</t>
        </is>
      </c>
    </row>
    <row r="216">
      <c r="A216" t="inlineStr">
        <is>
          <t>F-10615</t>
        </is>
      </c>
      <c r="B216" t="inlineStr">
        <is>
          <t>2026-08-04</t>
        </is>
      </c>
      <c r="C216" t="inlineStr">
        <is>
          <t>FCF</t>
        </is>
      </c>
      <c r="D216" t="inlineStr">
        <is>
          <t>SA01</t>
        </is>
      </c>
      <c r="E216" t="inlineStr">
        <is>
          <t>Santa Ana</t>
        </is>
      </c>
      <c r="F216" t="inlineStr">
        <is>
          <t>Av. Independencia Sur #12</t>
        </is>
      </c>
      <c r="G216" t="inlineStr">
        <is>
          <t>Santa Ana</t>
        </is>
      </c>
      <c r="H216" t="inlineStr">
        <is>
          <t>Santa Ana</t>
        </is>
      </c>
      <c r="I216" t="inlineStr">
        <is>
          <t>Mauricio Linares</t>
        </is>
      </c>
      <c r="J216" t="inlineStr">
        <is>
          <t>2440-9921</t>
        </is>
      </c>
      <c r="K216" t="inlineStr">
        <is>
          <t>Sofía Cáceres</t>
        </is>
      </c>
      <c r="L216" t="inlineStr">
        <is>
          <t>Mario Martínez Sorto</t>
        </is>
      </c>
      <c r="M216" t="inlineStr">
        <is>
          <t>02686393-2</t>
        </is>
      </c>
      <c r="N216" t="inlineStr">
        <is>
          <t>7413-9318</t>
        </is>
      </c>
      <c r="O216" t="inlineStr">
        <is>
          <t>Consumidor final</t>
        </is>
      </c>
      <c r="P216" t="inlineStr">
        <is>
          <t>HIG-003</t>
        </is>
      </c>
      <c r="Q216" t="inlineStr">
        <is>
          <t>Jabón de lavar barra</t>
        </is>
      </c>
      <c r="R216" t="inlineStr">
        <is>
          <t>Limpieza</t>
        </is>
      </c>
      <c r="S216" t="inlineStr">
        <is>
          <t>Higiene Total C.A.</t>
        </is>
      </c>
      <c r="T216" t="inlineStr">
        <is>
          <t>2207-5566</t>
        </is>
      </c>
      <c r="U216" t="n">
        <v>0.75</v>
      </c>
      <c r="V216" t="n">
        <v>2</v>
      </c>
      <c r="W216" t="n">
        <v>0</v>
      </c>
      <c r="X216">
        <f>IFERROR(U216*V216*(1-W216/100),"")</f>
        <v/>
      </c>
      <c r="Y216">
        <f>IFERROR(ROUND(X216*0.13,2),"")</f>
        <v/>
      </c>
      <c r="Z216">
        <f>IFERROR(X216+Y216,"")</f>
        <v/>
      </c>
      <c r="AA216" t="inlineStr">
        <is>
          <t>Transferencia</t>
        </is>
      </c>
      <c r="AB216" t="inlineStr">
        <is>
          <t>precio especial autorizado por gerente</t>
        </is>
      </c>
    </row>
    <row r="217">
      <c r="A217" t="inlineStr">
        <is>
          <t>F-10618</t>
        </is>
      </c>
      <c r="B217" s="3" t="n">
        <v>46256</v>
      </c>
      <c r="C217" t="inlineStr">
        <is>
          <t>Factura</t>
        </is>
      </c>
      <c r="D217" t="inlineStr">
        <is>
          <t>SO01</t>
        </is>
      </c>
      <c r="E217" t="inlineStr">
        <is>
          <t>Sonsonate</t>
        </is>
      </c>
      <c r="F217" t="inlineStr">
        <is>
          <t>Calle Obispo Marroquín #3</t>
        </is>
      </c>
      <c r="G217" t="inlineStr">
        <is>
          <t>Sonsonate</t>
        </is>
      </c>
      <c r="H217" t="inlineStr">
        <is>
          <t>Sonsonate</t>
        </is>
      </c>
      <c r="I217" t="inlineStr">
        <is>
          <t>Ernesto Chávez</t>
        </is>
      </c>
      <c r="J217" t="inlineStr">
        <is>
          <t>2451-2288</t>
        </is>
      </c>
      <c r="K217" t="inlineStr">
        <is>
          <t>Ricardo Funes</t>
        </is>
      </c>
      <c r="L217" t="inlineStr">
        <is>
          <t>WALTER HERNÁNDEZ FLORES</t>
        </is>
      </c>
      <c r="M217" t="inlineStr">
        <is>
          <t>01412764-4</t>
        </is>
      </c>
      <c r="N217" t="inlineStr">
        <is>
          <t>6659-5342</t>
        </is>
      </c>
      <c r="O217" t="inlineStr">
        <is>
          <t>Consumidor final</t>
        </is>
      </c>
      <c r="P217" t="inlineStr">
        <is>
          <t>AZU-001</t>
        </is>
      </c>
      <c r="Q217" t="inlineStr">
        <is>
          <t>Azúcar blanca 2.5kg</t>
        </is>
      </c>
      <c r="R217" t="inlineStr">
        <is>
          <t>Abarrotes</t>
        </is>
      </c>
      <c r="S217" t="inlineStr">
        <is>
          <t>Granos del Pacífico</t>
        </is>
      </c>
      <c r="T217" t="inlineStr">
        <is>
          <t>2234-8890</t>
        </is>
      </c>
      <c r="U217" t="n">
        <v>3.1</v>
      </c>
      <c r="V217" t="n">
        <v>12</v>
      </c>
      <c r="W217" t="n">
        <v>0</v>
      </c>
      <c r="X217">
        <f>IFERROR(U217*V217*(1-W217/100),"")</f>
        <v/>
      </c>
      <c r="Y217">
        <f>IFERROR(ROUND(X217*0.13,2),"")</f>
        <v/>
      </c>
      <c r="Z217">
        <f>IFERROR(X217+Y217,"")</f>
        <v/>
      </c>
      <c r="AA217" t="inlineStr">
        <is>
          <t>Efectivo</t>
        </is>
      </c>
      <c r="AB217" t="inlineStr">
        <is>
          <t>Llamar al 7788-1234 antes de entregar</t>
        </is>
      </c>
    </row>
    <row r="218">
      <c r="A218" t="inlineStr">
        <is>
          <t>F-10620</t>
        </is>
      </c>
      <c r="B218" t="inlineStr">
        <is>
          <t>25-Jul-26</t>
        </is>
      </c>
      <c r="C218" t="inlineStr">
        <is>
          <t>FCF</t>
        </is>
      </c>
      <c r="D218" t="inlineStr">
        <is>
          <t>SS02</t>
        </is>
      </c>
      <c r="E218" t="inlineStr">
        <is>
          <t>Escalón</t>
        </is>
      </c>
      <c r="F218" t="inlineStr">
        <is>
          <t>Paseo General Escalón #3910</t>
        </is>
      </c>
      <c r="G218" t="inlineStr">
        <is>
          <t>San Salvador</t>
        </is>
      </c>
      <c r="H218" t="inlineStr">
        <is>
          <t>San Salvador</t>
        </is>
      </c>
      <c r="I218" t="inlineStr">
        <is>
          <t>Claudia Menjívar</t>
        </is>
      </c>
      <c r="J218" t="inlineStr">
        <is>
          <t>2264-1190</t>
        </is>
      </c>
      <c r="K218" t="inlineStr">
        <is>
          <t>Fátima Rosales</t>
        </is>
      </c>
      <c r="L218" t="inlineStr">
        <is>
          <t>Patricia García Martínez</t>
        </is>
      </c>
      <c r="M218" t="inlineStr">
        <is>
          <t>02380558-6</t>
        </is>
      </c>
      <c r="N218" t="inlineStr">
        <is>
          <t>6660-5283</t>
        </is>
      </c>
      <c r="O218" t="inlineStr">
        <is>
          <t>Consumidor final</t>
        </is>
      </c>
      <c r="P218" t="inlineStr">
        <is>
          <t>BEB-001</t>
        </is>
      </c>
      <c r="Q218" t="inlineStr">
        <is>
          <t>Gaseosa 2.5L</t>
        </is>
      </c>
      <c r="R218" t="inlineStr">
        <is>
          <t>Bebidas</t>
        </is>
      </c>
      <c r="S218" t="inlineStr">
        <is>
          <t>Bebidas Izalco</t>
        </is>
      </c>
      <c r="T218" t="inlineStr">
        <is>
          <t>2450-7700</t>
        </is>
      </c>
      <c r="U218" t="inlineStr">
        <is>
          <t>1,95</t>
        </is>
      </c>
      <c r="V218" t="n">
        <v>1</v>
      </c>
      <c r="W218" t="n">
        <v>0</v>
      </c>
      <c r="X218">
        <f>IFERROR(U218*V218*(1-W218/100),"")</f>
        <v/>
      </c>
      <c r="Y218">
        <f>IFERROR(ROUND(X218*0.13,2),"")</f>
        <v/>
      </c>
      <c r="Z218">
        <f>IFERROR(X218+Y218,"")</f>
        <v/>
      </c>
      <c r="AA218" t="inlineStr">
        <is>
          <t>Efectivo</t>
        </is>
      </c>
      <c r="AB218" t="inlineStr"/>
    </row>
    <row r="219">
      <c r="A219" t="inlineStr">
        <is>
          <t>F-10620</t>
        </is>
      </c>
      <c r="B219" s="3" t="n">
        <v>46228</v>
      </c>
      <c r="C219" t="inlineStr">
        <is>
          <t>FCF</t>
        </is>
      </c>
      <c r="D219" t="inlineStr">
        <is>
          <t>SS02</t>
        </is>
      </c>
      <c r="E219" t="inlineStr">
        <is>
          <t>ESCALON</t>
        </is>
      </c>
      <c r="F219" t="inlineStr">
        <is>
          <t>Paseo General Escalón #3910</t>
        </is>
      </c>
      <c r="G219" t="inlineStr">
        <is>
          <t>San Salvador</t>
        </is>
      </c>
      <c r="H219" t="inlineStr">
        <is>
          <t>San Salvador</t>
        </is>
      </c>
      <c r="I219" t="inlineStr">
        <is>
          <t>Claudia Menjívar</t>
        </is>
      </c>
      <c r="J219" t="inlineStr">
        <is>
          <t>2264-1190</t>
        </is>
      </c>
      <c r="K219" t="inlineStr">
        <is>
          <t>Fátima Rosales</t>
        </is>
      </c>
      <c r="L219" t="inlineStr">
        <is>
          <t>Patricia García Martínez</t>
        </is>
      </c>
      <c r="M219" t="inlineStr">
        <is>
          <t>02380558-6</t>
        </is>
      </c>
      <c r="N219" t="inlineStr">
        <is>
          <t>6660-5283</t>
        </is>
      </c>
      <c r="O219" t="inlineStr">
        <is>
          <t>Consumidor final</t>
        </is>
      </c>
      <c r="P219" t="inlineStr">
        <is>
          <t>CAF-001</t>
        </is>
      </c>
      <c r="Q219" t="inlineStr">
        <is>
          <t>Café molido 400g</t>
        </is>
      </c>
      <c r="R219" t="inlineStr">
        <is>
          <t>Abarrotes</t>
        </is>
      </c>
      <c r="S219" t="inlineStr">
        <is>
          <t>Café Volcán S.A.</t>
        </is>
      </c>
      <c r="T219" t="inlineStr">
        <is>
          <t>2510-3344</t>
        </is>
      </c>
      <c r="U219" t="n">
        <v>4.25</v>
      </c>
      <c r="V219" t="n">
        <v>2</v>
      </c>
      <c r="W219" t="n">
        <v>0</v>
      </c>
      <c r="X219">
        <f>IFERROR(U219*V219*(1-W219/100),"")</f>
        <v/>
      </c>
      <c r="Y219">
        <f>IFERROR(ROUND(X219*0.13,2),"")</f>
        <v/>
      </c>
      <c r="Z219">
        <f>IFERROR(X219+Y219,"")</f>
        <v/>
      </c>
      <c r="AA219" t="inlineStr">
        <is>
          <t>Efectivo</t>
        </is>
      </c>
      <c r="AB219" t="inlineStr">
        <is>
          <t>pagó con billete de $100</t>
        </is>
      </c>
    </row>
    <row r="220">
      <c r="A220" t="inlineStr">
        <is>
          <t>F-10621</t>
        </is>
      </c>
      <c r="B220" s="3" t="n">
        <v>46228</v>
      </c>
      <c r="C220" t="inlineStr">
        <is>
          <t>Factura</t>
        </is>
      </c>
      <c r="D220" t="inlineStr">
        <is>
          <t>SS03</t>
        </is>
      </c>
      <c r="E220" t="inlineStr">
        <is>
          <t>soyapango</t>
        </is>
      </c>
      <c r="F220" t="inlineStr">
        <is>
          <t>Blvd. del Ejército km 4</t>
        </is>
      </c>
      <c r="G220" t="inlineStr">
        <is>
          <t>Soyapango</t>
        </is>
      </c>
      <c r="H220" t="inlineStr">
        <is>
          <t>San Salvador</t>
        </is>
      </c>
      <c r="I220" t="inlineStr">
        <is>
          <t>Karla Henríquez</t>
        </is>
      </c>
      <c r="J220" t="inlineStr">
        <is>
          <t>2277-3402</t>
        </is>
      </c>
      <c r="K220" t="inlineStr">
        <is>
          <t>Marta Gómez</t>
        </is>
      </c>
      <c r="L220" t="inlineStr">
        <is>
          <t>Edwin Rivera Guevara</t>
        </is>
      </c>
      <c r="M220" t="inlineStr">
        <is>
          <t>03840762-1</t>
        </is>
      </c>
      <c r="N220" t="inlineStr">
        <is>
          <t>7817-8484</t>
        </is>
      </c>
      <c r="O220" t="inlineStr">
        <is>
          <t>Consumidor final</t>
        </is>
      </c>
      <c r="P220" t="inlineStr">
        <is>
          <t>BEB-003</t>
        </is>
      </c>
      <c r="Q220" t="inlineStr">
        <is>
          <t>Horchata en polvo 400g</t>
        </is>
      </c>
      <c r="R220" t="inlineStr">
        <is>
          <t>Bebidas</t>
        </is>
      </c>
      <c r="S220" t="inlineStr">
        <is>
          <t>Bebidas Izalco</t>
        </is>
      </c>
      <c r="T220" t="inlineStr">
        <is>
          <t>2450-7700</t>
        </is>
      </c>
      <c r="U220" t="n">
        <v>2.6</v>
      </c>
      <c r="V220" t="n">
        <v>12</v>
      </c>
      <c r="W220" t="n">
        <v>0</v>
      </c>
      <c r="X220">
        <f>IFERROR(U220*V220*(1-W220/100),"")</f>
        <v/>
      </c>
      <c r="Y220">
        <f>IFERROR(ROUND(X220*0.13,2),"")</f>
        <v/>
      </c>
      <c r="Z220">
        <f>IFERROR(X220+Y220,"")</f>
        <v/>
      </c>
      <c r="AA220" t="inlineStr">
        <is>
          <t>TARJETA</t>
        </is>
      </c>
      <c r="AB220" t="inlineStr">
        <is>
          <t>precio especial autorizado por gerente</t>
        </is>
      </c>
    </row>
    <row r="221">
      <c r="A221" t="inlineStr">
        <is>
          <t>F-10624</t>
        </is>
      </c>
      <c r="B221" t="inlineStr">
        <is>
          <t>24-Sep-26</t>
        </is>
      </c>
      <c r="C221" t="inlineStr">
        <is>
          <t>Factura</t>
        </is>
      </c>
      <c r="D221" t="inlineStr">
        <is>
          <t>SS01</t>
        </is>
      </c>
      <c r="E221" t="inlineStr">
        <is>
          <t>San Salvador Centro</t>
        </is>
      </c>
      <c r="F221" t="inlineStr">
        <is>
          <t>4a Calle Poniente #215</t>
        </is>
      </c>
      <c r="G221" t="inlineStr">
        <is>
          <t>San Salvador</t>
        </is>
      </c>
      <c r="H221" t="inlineStr">
        <is>
          <t>San Salvador</t>
        </is>
      </c>
      <c r="I221" t="inlineStr">
        <is>
          <t>Roberto Alfaro</t>
        </is>
      </c>
      <c r="J221" t="inlineStr">
        <is>
          <t>2221-4580</t>
        </is>
      </c>
      <c r="K221" t="inlineStr">
        <is>
          <t>Daniela Orellana</t>
        </is>
      </c>
      <c r="L221" t="inlineStr">
        <is>
          <t>Rosa Argueta Ramírez</t>
        </is>
      </c>
      <c r="M221" t="inlineStr">
        <is>
          <t>08671348-2</t>
        </is>
      </c>
      <c r="N221" t="inlineStr">
        <is>
          <t>2777-4047</t>
        </is>
      </c>
      <c r="O221" t="inlineStr">
        <is>
          <t>Consumidor final</t>
        </is>
      </c>
      <c r="P221" t="inlineStr">
        <is>
          <t>PAN-003</t>
        </is>
      </c>
      <c r="Q221" t="inlineStr">
        <is>
          <t>Quesadilla salvadoreña</t>
        </is>
      </c>
      <c r="R221" t="inlineStr">
        <is>
          <t>Panadería</t>
        </is>
      </c>
      <c r="S221" t="inlineStr">
        <is>
          <t>Panificadora Ilopango</t>
        </is>
      </c>
      <c r="T221" t="inlineStr">
        <is>
          <t>2295-0081</t>
        </is>
      </c>
      <c r="U221" t="n">
        <v>2.5</v>
      </c>
      <c r="V221" t="n">
        <v>2</v>
      </c>
      <c r="W221" t="n">
        <v>0</v>
      </c>
      <c r="X221">
        <f>IFERROR(U221*V221*(1-W221/100),"")</f>
        <v/>
      </c>
      <c r="Y221">
        <f>IFERROR(ROUND(X221*0.13,2),"")</f>
        <v/>
      </c>
      <c r="Z221">
        <f>IFERROR(X221+Y221,"")</f>
        <v/>
      </c>
      <c r="AA221" t="inlineStr">
        <is>
          <t>Efectivo</t>
        </is>
      </c>
      <c r="AB221" t="inlineStr">
        <is>
          <t>Cliente frecuente</t>
        </is>
      </c>
    </row>
    <row r="222">
      <c r="A222" t="inlineStr">
        <is>
          <t>F-10624</t>
        </is>
      </c>
      <c r="B222" s="3" t="n">
        <v>46289</v>
      </c>
      <c r="C222" t="inlineStr">
        <is>
          <t>Factura</t>
        </is>
      </c>
      <c r="D222" t="inlineStr">
        <is>
          <t>SS01</t>
        </is>
      </c>
      <c r="E222" t="inlineStr">
        <is>
          <t xml:space="preserve">san salvador centro </t>
        </is>
      </c>
      <c r="F222" t="inlineStr">
        <is>
          <t>4a Calle Poniente #215</t>
        </is>
      </c>
      <c r="G222" t="inlineStr">
        <is>
          <t>San Salvador</t>
        </is>
      </c>
      <c r="H222" t="inlineStr">
        <is>
          <t>San Salvador</t>
        </is>
      </c>
      <c r="I222" t="inlineStr">
        <is>
          <t>Roberto Alfaro</t>
        </is>
      </c>
      <c r="J222" t="inlineStr">
        <is>
          <t>2221-4580</t>
        </is>
      </c>
      <c r="K222" t="inlineStr">
        <is>
          <t>Daniela Orellana</t>
        </is>
      </c>
      <c r="L222" t="inlineStr">
        <is>
          <t>Rosa Argueta Ramírez</t>
        </is>
      </c>
      <c r="M222" t="inlineStr">
        <is>
          <t>08671348-2</t>
        </is>
      </c>
      <c r="N222" t="inlineStr">
        <is>
          <t>2777-4047</t>
        </is>
      </c>
      <c r="O222" t="inlineStr">
        <is>
          <t>Consumidor final</t>
        </is>
      </c>
      <c r="P222" t="inlineStr">
        <is>
          <t>ARR-001</t>
        </is>
      </c>
      <c r="Q222" t="inlineStr">
        <is>
          <t>Arroz blanco 5lb</t>
        </is>
      </c>
      <c r="R222" t="inlineStr">
        <is>
          <t>Granos básicos</t>
        </is>
      </c>
      <c r="S222" t="inlineStr">
        <is>
          <t>Granos del Pacífico</t>
        </is>
      </c>
      <c r="T222" t="inlineStr">
        <is>
          <t>2234-8890</t>
        </is>
      </c>
      <c r="U222" t="n">
        <v>3.95</v>
      </c>
      <c r="V222" t="n">
        <v>12</v>
      </c>
      <c r="W222" t="n">
        <v>0</v>
      </c>
      <c r="X222">
        <f>IFERROR(U222*V222*(1-W222/100),"")</f>
        <v/>
      </c>
      <c r="Y222">
        <f>IFERROR(ROUND(X222*0.13,2),"")</f>
        <v/>
      </c>
      <c r="Z222">
        <f>IFERROR(X222+Y222,"")</f>
        <v/>
      </c>
      <c r="AA222" t="inlineStr">
        <is>
          <t>Efectivo</t>
        </is>
      </c>
      <c r="AB222" t="inlineStr">
        <is>
          <t>precio especial autorizado por gerente</t>
        </is>
      </c>
    </row>
    <row r="223">
      <c r="A223" t="inlineStr">
        <is>
          <t>F-10624</t>
        </is>
      </c>
      <c r="B223" s="3" t="n">
        <v>46289</v>
      </c>
      <c r="C223" t="inlineStr">
        <is>
          <t>Factura</t>
        </is>
      </c>
      <c r="D223" t="inlineStr">
        <is>
          <t>SS01</t>
        </is>
      </c>
      <c r="E223" t="inlineStr">
        <is>
          <t>S.S. Centro</t>
        </is>
      </c>
      <c r="F223" t="inlineStr">
        <is>
          <t>4a Calle Poniente #215</t>
        </is>
      </c>
      <c r="G223" t="inlineStr">
        <is>
          <t>San Salvador</t>
        </is>
      </c>
      <c r="H223" t="inlineStr">
        <is>
          <t>San Salvador</t>
        </is>
      </c>
      <c r="I223" t="inlineStr">
        <is>
          <t>Roberto Alfaro</t>
        </is>
      </c>
      <c r="J223" t="inlineStr">
        <is>
          <t>2221-4580</t>
        </is>
      </c>
      <c r="K223" t="inlineStr">
        <is>
          <t>Daniela Orellana</t>
        </is>
      </c>
      <c r="L223" t="inlineStr">
        <is>
          <t>Rosa Argueta Ramírez</t>
        </is>
      </c>
      <c r="M223" t="inlineStr">
        <is>
          <t>08671348-2</t>
        </is>
      </c>
      <c r="N223" t="inlineStr">
        <is>
          <t>2777-4047</t>
        </is>
      </c>
      <c r="O223" t="inlineStr">
        <is>
          <t>Consumidor final</t>
        </is>
      </c>
      <c r="P223" t="inlineStr">
        <is>
          <t>FRI-001</t>
        </is>
      </c>
      <c r="Q223" t="inlineStr">
        <is>
          <t>Frijol rojo de seda 2lb</t>
        </is>
      </c>
      <c r="R223" t="inlineStr">
        <is>
          <t>Granos básicos</t>
        </is>
      </c>
      <c r="S223" t="inlineStr">
        <is>
          <t>Granos del Pacífico</t>
        </is>
      </c>
      <c r="T223" t="inlineStr">
        <is>
          <t>2234-8890</t>
        </is>
      </c>
      <c r="U223" t="inlineStr">
        <is>
          <t>2,40</t>
        </is>
      </c>
      <c r="V223" t="n">
        <v>2</v>
      </c>
      <c r="W223" t="n">
        <v>0</v>
      </c>
      <c r="X223">
        <f>IFERROR(U223*V223*(1-W223/100),"")</f>
        <v/>
      </c>
      <c r="Y223">
        <f>IFERROR(ROUND(X223*0.13,2),"")</f>
        <v/>
      </c>
      <c r="Z223">
        <f>IFERROR(X223+Y223,"")</f>
        <v/>
      </c>
      <c r="AA223" t="inlineStr">
        <is>
          <t>Efectivo</t>
        </is>
      </c>
      <c r="AB223" t="inlineStr">
        <is>
          <t>Cliente frecuente</t>
        </is>
      </c>
    </row>
    <row r="224">
      <c r="A224" t="inlineStr">
        <is>
          <t>10627</t>
        </is>
      </c>
      <c r="B224" s="3" t="n">
        <v>46232</v>
      </c>
      <c r="C224" t="inlineStr">
        <is>
          <t>Factura</t>
        </is>
      </c>
      <c r="D224" t="inlineStr">
        <is>
          <t>SS03</t>
        </is>
      </c>
      <c r="E224" t="inlineStr">
        <is>
          <t xml:space="preserve">SOYAPANGO </t>
        </is>
      </c>
      <c r="F224" t="inlineStr">
        <is>
          <t>Blvd. del Ejército km 4</t>
        </is>
      </c>
      <c r="G224" t="inlineStr">
        <is>
          <t>Soyapango</t>
        </is>
      </c>
      <c r="H224" t="inlineStr">
        <is>
          <t>San Salvador</t>
        </is>
      </c>
      <c r="I224" t="inlineStr">
        <is>
          <t>Karla Henríquez</t>
        </is>
      </c>
      <c r="J224" t="inlineStr">
        <is>
          <t>2277-3402</t>
        </is>
      </c>
      <c r="K224" t="inlineStr">
        <is>
          <t>Carlos Molina</t>
        </is>
      </c>
      <c r="L224" t="inlineStr">
        <is>
          <t>Mario Sorto Castillo</t>
        </is>
      </c>
      <c r="M224" t="inlineStr">
        <is>
          <t>09824839-0</t>
        </is>
      </c>
      <c r="N224" t="inlineStr">
        <is>
          <t>7450-4234</t>
        </is>
      </c>
      <c r="O224" t="inlineStr">
        <is>
          <t>Consumidor final</t>
        </is>
      </c>
      <c r="P224" t="inlineStr">
        <is>
          <t>ARR-001</t>
        </is>
      </c>
      <c r="Q224" t="inlineStr">
        <is>
          <t>Arroz blanco 5lb</t>
        </is>
      </c>
      <c r="R224" t="inlineStr">
        <is>
          <t>Granos básicos</t>
        </is>
      </c>
      <c r="S224" t="inlineStr">
        <is>
          <t>Granos del Pacífico</t>
        </is>
      </c>
      <c r="T224" t="inlineStr">
        <is>
          <t>2234-8890</t>
        </is>
      </c>
      <c r="U224" t="n">
        <v>3.95</v>
      </c>
      <c r="V224" t="n">
        <v>24</v>
      </c>
      <c r="W224" t="n">
        <v>0</v>
      </c>
      <c r="X224">
        <f>IFERROR(U224*V224*(1-W224/100),"")</f>
        <v/>
      </c>
      <c r="Y224">
        <f>IFERROR(ROUND(X224*0.13,2),"")</f>
        <v/>
      </c>
      <c r="Z224">
        <f>IFERROR(X224+Y224,"")</f>
        <v/>
      </c>
      <c r="AA224" t="inlineStr">
        <is>
          <t>Efectivo</t>
        </is>
      </c>
      <c r="AB224" t="inlineStr">
        <is>
          <t>entregar en bodega</t>
        </is>
      </c>
    </row>
    <row r="225">
      <c r="A225" t="inlineStr">
        <is>
          <t>F-10627</t>
        </is>
      </c>
      <c r="B225" s="3" t="n">
        <v>46232</v>
      </c>
      <c r="C225" t="inlineStr">
        <is>
          <t>Factura</t>
        </is>
      </c>
      <c r="D225" t="inlineStr">
        <is>
          <t>SS03</t>
        </is>
      </c>
      <c r="E225" t="inlineStr">
        <is>
          <t>Soyapango</t>
        </is>
      </c>
      <c r="F225" t="inlineStr">
        <is>
          <t>Blvd. del Ejército km 4</t>
        </is>
      </c>
      <c r="G225" t="inlineStr">
        <is>
          <t>Soyapango</t>
        </is>
      </c>
      <c r="H225" t="inlineStr">
        <is>
          <t>San Salvador</t>
        </is>
      </c>
      <c r="I225" t="inlineStr">
        <is>
          <t>Karla Henríquez</t>
        </is>
      </c>
      <c r="J225" t="inlineStr">
        <is>
          <t>2277-3402</t>
        </is>
      </c>
      <c r="K225" t="inlineStr">
        <is>
          <t>Carlos Molina</t>
        </is>
      </c>
      <c r="L225" t="inlineStr">
        <is>
          <t>Mario Sorto Castillo</t>
        </is>
      </c>
      <c r="M225" t="inlineStr">
        <is>
          <t>09824839-0</t>
        </is>
      </c>
      <c r="N225" t="inlineStr">
        <is>
          <t>7450-4234</t>
        </is>
      </c>
      <c r="O225" t="inlineStr">
        <is>
          <t>Consumidor final</t>
        </is>
      </c>
      <c r="P225" t="inlineStr">
        <is>
          <t>HIG-001</t>
        </is>
      </c>
      <c r="Q225" t="inlineStr">
        <is>
          <t>Detergente 1kg</t>
        </is>
      </c>
      <c r="R225" t="inlineStr">
        <is>
          <t>Higiene</t>
        </is>
      </c>
      <c r="S225" t="inlineStr">
        <is>
          <t>Higiene Total C.A.</t>
        </is>
      </c>
      <c r="T225" t="inlineStr">
        <is>
          <t>2207-5566</t>
        </is>
      </c>
      <c r="U225" t="n">
        <v>3.45</v>
      </c>
      <c r="V225" t="n">
        <v>4</v>
      </c>
      <c r="W225" t="n">
        <v>0</v>
      </c>
      <c r="X225">
        <f>IFERROR(U225*V225*(1-W225/100),"")</f>
        <v/>
      </c>
      <c r="Y225">
        <f>IFERROR(ROUND(X225*0.13,2),"")</f>
        <v/>
      </c>
      <c r="Z225">
        <f>IFERROR(X225+Y225,"")</f>
        <v/>
      </c>
      <c r="AA225" t="inlineStr">
        <is>
          <t>Efectivo</t>
        </is>
      </c>
      <c r="AB225" t="inlineStr"/>
    </row>
    <row r="226">
      <c r="A226" t="inlineStr">
        <is>
          <t>F-10627</t>
        </is>
      </c>
      <c r="B226" s="3" t="n">
        <v>46232</v>
      </c>
      <c r="C226" t="inlineStr">
        <is>
          <t>Factura</t>
        </is>
      </c>
      <c r="D226" t="inlineStr">
        <is>
          <t>SS03</t>
        </is>
      </c>
      <c r="E226" t="inlineStr">
        <is>
          <t>Soyapango</t>
        </is>
      </c>
      <c r="F226" t="inlineStr">
        <is>
          <t>Blvd. del Ejército km 4</t>
        </is>
      </c>
      <c r="G226" t="inlineStr">
        <is>
          <t>Soyapango</t>
        </is>
      </c>
      <c r="H226" t="inlineStr">
        <is>
          <t>San Salvador</t>
        </is>
      </c>
      <c r="I226" t="inlineStr">
        <is>
          <t>Karla Henríquez</t>
        </is>
      </c>
      <c r="J226" t="inlineStr">
        <is>
          <t>2277-3402</t>
        </is>
      </c>
      <c r="K226" t="inlineStr">
        <is>
          <t>Carlos Molina</t>
        </is>
      </c>
      <c r="L226" t="inlineStr">
        <is>
          <t>Mario Sorto Castillo</t>
        </is>
      </c>
      <c r="M226" t="inlineStr">
        <is>
          <t>09824839-0</t>
        </is>
      </c>
      <c r="N226" t="inlineStr">
        <is>
          <t>7450-4234</t>
        </is>
      </c>
      <c r="O226" t="inlineStr">
        <is>
          <t>Consumidor final</t>
        </is>
      </c>
      <c r="P226" t="inlineStr">
        <is>
          <t>LAC-003</t>
        </is>
      </c>
      <c r="Q226" t="inlineStr">
        <is>
          <t>Leche entera 1L</t>
        </is>
      </c>
      <c r="R226" t="inlineStr">
        <is>
          <t>Lácteos</t>
        </is>
      </c>
      <c r="S226" t="inlineStr">
        <is>
          <t>Lácteos Chalate</t>
        </is>
      </c>
      <c r="T226" t="inlineStr">
        <is>
          <t>2335-1020</t>
        </is>
      </c>
      <c r="U226" t="n">
        <v>1.2</v>
      </c>
      <c r="V226" t="n">
        <v>2</v>
      </c>
      <c r="W226" t="n">
        <v>0</v>
      </c>
      <c r="X226">
        <f>IFERROR(U226*V226*(1-W226/100),"")</f>
        <v/>
      </c>
      <c r="Y226">
        <f>IFERROR(ROUND(X226*0.13,2),"")</f>
        <v/>
      </c>
      <c r="Z226">
        <f>IFERROR(X226+Y226,"")</f>
        <v/>
      </c>
      <c r="AA226" t="inlineStr">
        <is>
          <t>Efectivo</t>
        </is>
      </c>
      <c r="AB226" t="inlineStr">
        <is>
          <t>pagó con billete de $100</t>
        </is>
      </c>
    </row>
    <row r="227">
      <c r="A227" t="inlineStr">
        <is>
          <t>F-10630</t>
        </is>
      </c>
      <c r="B227" s="3" t="n">
        <v>46286</v>
      </c>
      <c r="C227" t="inlineStr">
        <is>
          <t>Factura</t>
        </is>
      </c>
      <c r="D227" t="inlineStr">
        <is>
          <t>SS03</t>
        </is>
      </c>
      <c r="E227" t="inlineStr">
        <is>
          <t xml:space="preserve">SOYAPANGO </t>
        </is>
      </c>
      <c r="F227" t="inlineStr">
        <is>
          <t>Blvd. del Ejército km 4</t>
        </is>
      </c>
      <c r="G227" t="inlineStr">
        <is>
          <t>Soyapango</t>
        </is>
      </c>
      <c r="H227" t="inlineStr">
        <is>
          <t>San Salvador</t>
        </is>
      </c>
      <c r="I227" t="inlineStr">
        <is>
          <t>Karla Henríquez</t>
        </is>
      </c>
      <c r="J227" t="inlineStr">
        <is>
          <t>2277-3402</t>
        </is>
      </c>
      <c r="K227" t="inlineStr">
        <is>
          <t>Carlos Molina</t>
        </is>
      </c>
      <c r="L227" t="inlineStr">
        <is>
          <t>Edwin Castillo Romero</t>
        </is>
      </c>
      <c r="M227" t="inlineStr"/>
      <c r="N227" t="inlineStr">
        <is>
          <t>2609-8644</t>
        </is>
      </c>
      <c r="O227" t="inlineStr">
        <is>
          <t>Consumidor final</t>
        </is>
      </c>
      <c r="P227" t="inlineStr">
        <is>
          <t>FRI-001</t>
        </is>
      </c>
      <c r="Q227" t="inlineStr">
        <is>
          <t>Frijol rojo de seda 2lb</t>
        </is>
      </c>
      <c r="R227" t="inlineStr">
        <is>
          <t>Abarrotes</t>
        </is>
      </c>
      <c r="S227" t="inlineStr">
        <is>
          <t>Granos del Pacífico</t>
        </is>
      </c>
      <c r="T227" t="inlineStr">
        <is>
          <t>2234-8890</t>
        </is>
      </c>
      <c r="U227" t="n">
        <v>2.4</v>
      </c>
      <c r="V227" t="n">
        <v>1</v>
      </c>
      <c r="W227" t="n">
        <v>0</v>
      </c>
      <c r="X227">
        <f>IFERROR(U227*V227*(1-W227/100),"")</f>
        <v/>
      </c>
      <c r="Y227">
        <f>IFERROR(ROUND(X227*0.13,2),"")</f>
        <v/>
      </c>
      <c r="Z227">
        <f>IFERROR(X227+Y227,"")</f>
        <v/>
      </c>
      <c r="AA227" t="inlineStr">
        <is>
          <t>TARJETA</t>
        </is>
      </c>
      <c r="AB227" t="inlineStr"/>
    </row>
    <row r="228">
      <c r="A228" t="inlineStr">
        <is>
          <t>F-10630</t>
        </is>
      </c>
      <c r="B228" t="inlineStr">
        <is>
          <t>21-Sep-26</t>
        </is>
      </c>
      <c r="C228" t="inlineStr">
        <is>
          <t>Factura</t>
        </is>
      </c>
      <c r="D228" t="inlineStr">
        <is>
          <t>SS03</t>
        </is>
      </c>
      <c r="E228" t="inlineStr">
        <is>
          <t>soyapango</t>
        </is>
      </c>
      <c r="F228" t="inlineStr">
        <is>
          <t>Blvd. del Ejército km 4</t>
        </is>
      </c>
      <c r="G228" t="inlineStr">
        <is>
          <t>Soyapango</t>
        </is>
      </c>
      <c r="H228" t="inlineStr">
        <is>
          <t>San Salvador</t>
        </is>
      </c>
      <c r="I228" t="inlineStr">
        <is>
          <t>Karla Henríquez</t>
        </is>
      </c>
      <c r="J228" t="inlineStr">
        <is>
          <t>2277-3402</t>
        </is>
      </c>
      <c r="K228" t="inlineStr">
        <is>
          <t>Carlos Molina</t>
        </is>
      </c>
      <c r="L228" t="inlineStr">
        <is>
          <t>Edwin Castillo Romero</t>
        </is>
      </c>
      <c r="M228" t="inlineStr">
        <is>
          <t>07552102-5</t>
        </is>
      </c>
      <c r="N228" t="inlineStr">
        <is>
          <t>2609-8644</t>
        </is>
      </c>
      <c r="O228" t="inlineStr">
        <is>
          <t>Consumidor final</t>
        </is>
      </c>
      <c r="P228" t="inlineStr">
        <is>
          <t>AZU-001</t>
        </is>
      </c>
      <c r="Q228" t="inlineStr">
        <is>
          <t>Azúcar blanca 2.5kg</t>
        </is>
      </c>
      <c r="R228" t="inlineStr">
        <is>
          <t>Abarrotes</t>
        </is>
      </c>
      <c r="S228" t="inlineStr">
        <is>
          <t>Granos del Pacífico</t>
        </is>
      </c>
      <c r="T228" t="inlineStr">
        <is>
          <t>2234-8890</t>
        </is>
      </c>
      <c r="U228" t="n">
        <v>3.1</v>
      </c>
      <c r="V228" t="n">
        <v>24</v>
      </c>
      <c r="W228" t="n">
        <v>0</v>
      </c>
      <c r="X228">
        <f>IFERROR(U228*V228*(1-W228/100),"")</f>
        <v/>
      </c>
      <c r="Y228">
        <f>IFERROR(ROUND(X228*0.13,2),"")</f>
        <v/>
      </c>
      <c r="Z228">
        <f>IFERROR(X228+Y228,"")</f>
        <v/>
      </c>
      <c r="AA228" t="inlineStr">
        <is>
          <t>TARJETA</t>
        </is>
      </c>
      <c r="AB228" t="inlineStr">
        <is>
          <t>pagó con billete de $100</t>
        </is>
      </c>
    </row>
    <row r="229">
      <c r="A229" t="inlineStr">
        <is>
          <t>F-10630</t>
        </is>
      </c>
      <c r="B229" s="3" t="n">
        <v>46286</v>
      </c>
      <c r="C229" t="inlineStr">
        <is>
          <t>Factura</t>
        </is>
      </c>
      <c r="D229" t="inlineStr">
        <is>
          <t>SS03</t>
        </is>
      </c>
      <c r="E229" t="inlineStr">
        <is>
          <t xml:space="preserve">SOYAPANGO </t>
        </is>
      </c>
      <c r="F229" t="inlineStr">
        <is>
          <t>Blvd. del Ejército km 4</t>
        </is>
      </c>
      <c r="G229" t="inlineStr">
        <is>
          <t>Soyapango</t>
        </is>
      </c>
      <c r="H229" t="inlineStr">
        <is>
          <t>San Salvador</t>
        </is>
      </c>
      <c r="I229" t="inlineStr">
        <is>
          <t>Karla Henríquez</t>
        </is>
      </c>
      <c r="J229" t="inlineStr">
        <is>
          <t>2277-3402</t>
        </is>
      </c>
      <c r="K229" t="inlineStr">
        <is>
          <t>Carlos Molina</t>
        </is>
      </c>
      <c r="L229" t="inlineStr">
        <is>
          <t>Edwin Castillo Romero</t>
        </is>
      </c>
      <c r="M229" t="inlineStr">
        <is>
          <t>07552102-5</t>
        </is>
      </c>
      <c r="N229" t="inlineStr">
        <is>
          <t>2609-8644</t>
        </is>
      </c>
      <c r="O229" t="inlineStr">
        <is>
          <t>Consumidor final</t>
        </is>
      </c>
      <c r="P229" t="inlineStr">
        <is>
          <t>BEB-001</t>
        </is>
      </c>
      <c r="Q229" t="inlineStr">
        <is>
          <t>Gaseosa 2.5L</t>
        </is>
      </c>
      <c r="R229" t="inlineStr">
        <is>
          <t>Bebidas</t>
        </is>
      </c>
      <c r="S229" t="inlineStr">
        <is>
          <t>Bebidas Izalco</t>
        </is>
      </c>
      <c r="T229" t="inlineStr">
        <is>
          <t>2450-7700</t>
        </is>
      </c>
      <c r="U229" t="n">
        <v>1.95</v>
      </c>
      <c r="V229" t="n">
        <v>2</v>
      </c>
      <c r="W229" t="n">
        <v>0</v>
      </c>
      <c r="X229">
        <f>IFERROR(U229*V229*(1-W229/100),"")</f>
        <v/>
      </c>
      <c r="Y229">
        <f>IFERROR(ROUND(X229*0.13,2),"")</f>
        <v/>
      </c>
      <c r="Z229">
        <f>IFERROR(X229+Y229,"")</f>
        <v/>
      </c>
      <c r="AA229" t="inlineStr">
        <is>
          <t>TARJETA</t>
        </is>
      </c>
      <c r="AB229" t="inlineStr">
        <is>
          <t>entregar en bodega</t>
        </is>
      </c>
    </row>
    <row r="230">
      <c r="A230" t="inlineStr">
        <is>
          <t>F-10630</t>
        </is>
      </c>
      <c r="B230" s="3" t="n">
        <v>46286</v>
      </c>
      <c r="C230" t="inlineStr">
        <is>
          <t>Factura</t>
        </is>
      </c>
      <c r="D230" t="inlineStr">
        <is>
          <t>SS03</t>
        </is>
      </c>
      <c r="E230" t="inlineStr">
        <is>
          <t>Soyapango</t>
        </is>
      </c>
      <c r="F230" t="inlineStr">
        <is>
          <t>Blvd. del Ejército km 4</t>
        </is>
      </c>
      <c r="G230" t="inlineStr">
        <is>
          <t>Soyapango</t>
        </is>
      </c>
      <c r="H230" t="inlineStr">
        <is>
          <t>San Salvador</t>
        </is>
      </c>
      <c r="I230" t="inlineStr">
        <is>
          <t>Karla Henríquez</t>
        </is>
      </c>
      <c r="J230" t="inlineStr">
        <is>
          <t>2277-3402</t>
        </is>
      </c>
      <c r="K230" t="inlineStr">
        <is>
          <t>Carlos Molina</t>
        </is>
      </c>
      <c r="L230" t="inlineStr">
        <is>
          <t>Edwin Castillo Romero</t>
        </is>
      </c>
      <c r="M230" t="inlineStr">
        <is>
          <t>07552102-5</t>
        </is>
      </c>
      <c r="N230" t="inlineStr">
        <is>
          <t>2609-8644</t>
        </is>
      </c>
      <c r="O230" t="inlineStr">
        <is>
          <t>Consumidor final</t>
        </is>
      </c>
      <c r="P230" t="inlineStr">
        <is>
          <t>HIG-001</t>
        </is>
      </c>
      <c r="Q230" t="inlineStr">
        <is>
          <t>Detergente 1kg</t>
        </is>
      </c>
      <c r="R230" t="inlineStr">
        <is>
          <t>Higiene</t>
        </is>
      </c>
      <c r="S230" t="inlineStr">
        <is>
          <t>Higiene Total C.A.</t>
        </is>
      </c>
      <c r="T230" t="inlineStr">
        <is>
          <t>2207-5566</t>
        </is>
      </c>
      <c r="U230" t="n">
        <v>3.45</v>
      </c>
      <c r="V230" t="n">
        <v>6</v>
      </c>
      <c r="W230" t="n">
        <v>0</v>
      </c>
      <c r="X230">
        <f>IFERROR(U230*V230*(1-W230/100),"")</f>
        <v/>
      </c>
      <c r="Y230">
        <f>IFERROR(ROUND(X230*0.13,2),"")</f>
        <v/>
      </c>
      <c r="Z230">
        <f>IFERROR(X230+Y230,"")</f>
        <v/>
      </c>
      <c r="AA230" t="inlineStr">
        <is>
          <t>TARJETA</t>
        </is>
      </c>
      <c r="AB230" t="inlineStr">
        <is>
          <t>pagó con billete de $100</t>
        </is>
      </c>
    </row>
    <row r="231">
      <c r="A231" t="inlineStr">
        <is>
          <t>F-10633</t>
        </is>
      </c>
      <c r="B231" t="inlineStr">
        <is>
          <t>2026-07-07</t>
        </is>
      </c>
      <c r="C231" t="inlineStr">
        <is>
          <t>Factura</t>
        </is>
      </c>
      <c r="D231" t="inlineStr">
        <is>
          <t>US01</t>
        </is>
      </c>
      <c r="E231" t="inlineStr">
        <is>
          <t>Usulutan</t>
        </is>
      </c>
      <c r="F231" t="inlineStr">
        <is>
          <t>2a Av. Norte #9</t>
        </is>
      </c>
      <c r="G231" t="inlineStr">
        <is>
          <t>Usulután</t>
        </is>
      </c>
      <c r="H231" t="inlineStr">
        <is>
          <t>Usulután</t>
        </is>
      </c>
      <c r="I231" t="inlineStr">
        <is>
          <t>Nelson Fuentes</t>
        </is>
      </c>
      <c r="J231" t="inlineStr">
        <is>
          <t>2662-8810</t>
        </is>
      </c>
      <c r="K231" t="inlineStr">
        <is>
          <t>Miguel Bonilla</t>
        </is>
      </c>
      <c r="L231" t="inlineStr">
        <is>
          <t>Mario Sorto Castillo</t>
        </is>
      </c>
      <c r="M231" t="inlineStr">
        <is>
          <t>09824839-0</t>
        </is>
      </c>
      <c r="N231" t="inlineStr">
        <is>
          <t>7450-4234</t>
        </is>
      </c>
      <c r="O231" t="inlineStr">
        <is>
          <t>Consumidor final</t>
        </is>
      </c>
      <c r="P231" t="inlineStr">
        <is>
          <t>BEB-001</t>
        </is>
      </c>
      <c r="Q231" t="inlineStr">
        <is>
          <t>Gaseosa 2.5L</t>
        </is>
      </c>
      <c r="R231" t="inlineStr">
        <is>
          <t>Bebidas</t>
        </is>
      </c>
      <c r="S231" t="inlineStr">
        <is>
          <t>Bebidas Izalco</t>
        </is>
      </c>
      <c r="T231" t="inlineStr">
        <is>
          <t>2450-7700</t>
        </is>
      </c>
      <c r="U231" t="n">
        <v>1.95</v>
      </c>
      <c r="V231" t="n">
        <v>2</v>
      </c>
      <c r="W231" t="n">
        <v>0</v>
      </c>
      <c r="X231">
        <f>IFERROR(U231*V231*(1-W231/100),"")</f>
        <v/>
      </c>
      <c r="Y231">
        <f>IFERROR(ROUND(X231*0.13,2),"")</f>
        <v/>
      </c>
      <c r="Z231">
        <f>IFERROR(X231+Y231,"")</f>
        <v/>
      </c>
      <c r="AA231" t="inlineStr">
        <is>
          <t>Tarjeta</t>
        </is>
      </c>
      <c r="AB231" t="inlineStr">
        <is>
          <t>pagó con billete de $100</t>
        </is>
      </c>
    </row>
    <row r="232">
      <c r="A232" t="inlineStr">
        <is>
          <t>F-10634</t>
        </is>
      </c>
      <c r="B232" t="inlineStr">
        <is>
          <t>04/08/2026</t>
        </is>
      </c>
      <c r="C232" t="inlineStr">
        <is>
          <t>Factura</t>
        </is>
      </c>
      <c r="D232" t="inlineStr">
        <is>
          <t>LL01</t>
        </is>
      </c>
      <c r="E232" t="inlineStr">
        <is>
          <t>Santa Tecla</t>
        </is>
      </c>
      <c r="F232" t="inlineStr">
        <is>
          <t>Calle Daniel Hernández #18</t>
        </is>
      </c>
      <c r="G232" t="inlineStr">
        <is>
          <t>Santa Tecla</t>
        </is>
      </c>
      <c r="H232" t="inlineStr">
        <is>
          <t>La Libertad</t>
        </is>
      </c>
      <c r="I232" t="inlineStr">
        <is>
          <t>Óscar Rivas</t>
        </is>
      </c>
      <c r="J232" t="inlineStr">
        <is>
          <t>2228-7731</t>
        </is>
      </c>
      <c r="K232" t="inlineStr">
        <is>
          <t>Luis Escobar</t>
        </is>
      </c>
      <c r="L232" t="inlineStr">
        <is>
          <t>Sandra Guevara Lemus</t>
        </is>
      </c>
      <c r="M232" t="inlineStr">
        <is>
          <t>08577633-7</t>
        </is>
      </c>
      <c r="N232" t="inlineStr">
        <is>
          <t>6671-1550</t>
        </is>
      </c>
      <c r="O232" t="inlineStr">
        <is>
          <t>Consumidor final</t>
        </is>
      </c>
      <c r="P232" t="inlineStr">
        <is>
          <t>FRI-001</t>
        </is>
      </c>
      <c r="Q232" t="inlineStr">
        <is>
          <t>Frijol rojo de seda 2lb</t>
        </is>
      </c>
      <c r="R232" t="inlineStr">
        <is>
          <t>Granos básicos</t>
        </is>
      </c>
      <c r="S232" t="inlineStr">
        <is>
          <t>Granos del Pacífico</t>
        </is>
      </c>
      <c r="T232" t="inlineStr">
        <is>
          <t>2234-8890</t>
        </is>
      </c>
      <c r="U232" t="n">
        <v>2.4</v>
      </c>
      <c r="V232" t="n">
        <v>2</v>
      </c>
      <c r="W232" t="n">
        <v>0</v>
      </c>
      <c r="X232">
        <f>IFERROR(U232*V232*(1-W232/100),"")</f>
        <v/>
      </c>
      <c r="Y232">
        <f>IFERROR(ROUND(X232*0.13,2),"")</f>
        <v/>
      </c>
      <c r="Z232">
        <f>IFERROR(X232+Y232,"")</f>
        <v/>
      </c>
      <c r="AA232" t="inlineStr">
        <is>
          <t>Efectivo</t>
        </is>
      </c>
      <c r="AB232" t="inlineStr">
        <is>
          <t>precio especial autorizado por gerente</t>
        </is>
      </c>
    </row>
    <row r="233">
      <c r="A233" t="inlineStr">
        <is>
          <t>F-10634</t>
        </is>
      </c>
      <c r="B233" s="3" t="n">
        <v>46238</v>
      </c>
      <c r="C233" t="inlineStr">
        <is>
          <t>Factura</t>
        </is>
      </c>
      <c r="D233" t="inlineStr">
        <is>
          <t>LL01</t>
        </is>
      </c>
      <c r="E233" t="inlineStr">
        <is>
          <t>SANTA TECLA</t>
        </is>
      </c>
      <c r="F233" t="inlineStr">
        <is>
          <t>Calle Daniel Hernández #18</t>
        </is>
      </c>
      <c r="G233" t="inlineStr">
        <is>
          <t>Santa Tecla</t>
        </is>
      </c>
      <c r="H233" t="inlineStr">
        <is>
          <t>La Libertad</t>
        </is>
      </c>
      <c r="I233" t="inlineStr">
        <is>
          <t>Óscar Rivas</t>
        </is>
      </c>
      <c r="J233" t="inlineStr">
        <is>
          <t>2228-7731</t>
        </is>
      </c>
      <c r="K233" t="inlineStr">
        <is>
          <t>Luis Escobar</t>
        </is>
      </c>
      <c r="L233" t="inlineStr">
        <is>
          <t>Sandra Guevara Lemus</t>
        </is>
      </c>
      <c r="M233" t="inlineStr">
        <is>
          <t>08577633-7</t>
        </is>
      </c>
      <c r="N233" t="inlineStr">
        <is>
          <t>6671-1550</t>
        </is>
      </c>
      <c r="O233" t="inlineStr">
        <is>
          <t>Consumidor final</t>
        </is>
      </c>
      <c r="P233" t="inlineStr">
        <is>
          <t>PAN-001</t>
        </is>
      </c>
      <c r="Q233" t="inlineStr">
        <is>
          <t>Pan francés bolsa 10u</t>
        </is>
      </c>
      <c r="R233" t="inlineStr">
        <is>
          <t>Panadería</t>
        </is>
      </c>
      <c r="S233" t="inlineStr">
        <is>
          <t>Panificadora Ilopango</t>
        </is>
      </c>
      <c r="T233" t="inlineStr">
        <is>
          <t>2295-0081</t>
        </is>
      </c>
      <c r="U233" t="n">
        <v>1</v>
      </c>
      <c r="V233" t="n">
        <v>1</v>
      </c>
      <c r="W233" t="n">
        <v>0</v>
      </c>
      <c r="X233">
        <f>IFERROR(U233*V233*(1-W233/100),"")</f>
        <v/>
      </c>
      <c r="Y233">
        <f>IFERROR(ROUND(X233*0.13,2),"")</f>
        <v/>
      </c>
      <c r="Z233">
        <f>IFERROR(X233+Y233,"")</f>
        <v/>
      </c>
      <c r="AA233" t="inlineStr">
        <is>
          <t>Efectivo</t>
        </is>
      </c>
      <c r="AB233" t="inlineStr"/>
    </row>
    <row r="234">
      <c r="A234" t="inlineStr">
        <is>
          <t>F-10634</t>
        </is>
      </c>
      <c r="B234" s="3" t="n">
        <v>46238</v>
      </c>
      <c r="C234" t="inlineStr">
        <is>
          <t>Factura</t>
        </is>
      </c>
      <c r="D234" t="inlineStr">
        <is>
          <t>LL01</t>
        </is>
      </c>
      <c r="E234" t="inlineStr">
        <is>
          <t>SANTA TECLA</t>
        </is>
      </c>
      <c r="F234" t="inlineStr">
        <is>
          <t>Calle Daniel Hernández #18</t>
        </is>
      </c>
      <c r="G234" t="inlineStr">
        <is>
          <t>Santa Tecla</t>
        </is>
      </c>
      <c r="H234" t="inlineStr">
        <is>
          <t>La Libertad</t>
        </is>
      </c>
      <c r="I234" t="inlineStr">
        <is>
          <t>Óscar Rivas</t>
        </is>
      </c>
      <c r="J234" t="inlineStr">
        <is>
          <t>2228-7731</t>
        </is>
      </c>
      <c r="K234" t="inlineStr">
        <is>
          <t>Luis Escobar</t>
        </is>
      </c>
      <c r="L234" t="inlineStr">
        <is>
          <t>SANDRA GUEVARA LEMUS</t>
        </is>
      </c>
      <c r="M234" t="inlineStr">
        <is>
          <t>08577633-7</t>
        </is>
      </c>
      <c r="N234" t="inlineStr">
        <is>
          <t>6671-1550</t>
        </is>
      </c>
      <c r="O234" t="inlineStr">
        <is>
          <t>Consumidor final</t>
        </is>
      </c>
      <c r="P234" t="inlineStr">
        <is>
          <t>BEB-002</t>
        </is>
      </c>
      <c r="Q234" t="inlineStr">
        <is>
          <t>Agua purificada 1 galón</t>
        </is>
      </c>
      <c r="R234" t="inlineStr">
        <is>
          <t>Bebidas</t>
        </is>
      </c>
      <c r="S234" t="inlineStr">
        <is>
          <t>Bebidas Izalco</t>
        </is>
      </c>
      <c r="T234" t="inlineStr">
        <is>
          <t>2450-7700</t>
        </is>
      </c>
      <c r="U234" t="n">
        <v>1.1</v>
      </c>
      <c r="V234" t="n">
        <v>4</v>
      </c>
      <c r="W234" t="n">
        <v>0</v>
      </c>
      <c r="X234">
        <f>IFERROR(U234*V234*(1-W234/100),"")</f>
        <v/>
      </c>
      <c r="Y234">
        <f>IFERROR(ROUND(X234*0.13,2),"")</f>
        <v/>
      </c>
      <c r="Z234">
        <f>IFERROR(X234+Y234,"")</f>
        <v/>
      </c>
      <c r="AA234" t="inlineStr">
        <is>
          <t>Efectivo</t>
        </is>
      </c>
      <c r="AB234" t="inlineStr">
        <is>
          <t>entregar en bodega</t>
        </is>
      </c>
    </row>
    <row r="235">
      <c r="A235" t="inlineStr">
        <is>
          <t>F-10634</t>
        </is>
      </c>
      <c r="B235" s="3" t="n">
        <v>46238</v>
      </c>
      <c r="C235" t="inlineStr">
        <is>
          <t>Factura</t>
        </is>
      </c>
      <c r="D235" t="inlineStr">
        <is>
          <t>LL01</t>
        </is>
      </c>
      <c r="E235" t="inlineStr">
        <is>
          <t>Santa Tecla</t>
        </is>
      </c>
      <c r="F235" t="inlineStr">
        <is>
          <t>Calle Daniel Hernández #18</t>
        </is>
      </c>
      <c r="G235" t="inlineStr">
        <is>
          <t>Santa Tecla</t>
        </is>
      </c>
      <c r="H235" t="inlineStr">
        <is>
          <t>La Libertad</t>
        </is>
      </c>
      <c r="I235" t="inlineStr">
        <is>
          <t>Óscar Rivas</t>
        </is>
      </c>
      <c r="J235" t="inlineStr">
        <is>
          <t>2228-7731</t>
        </is>
      </c>
      <c r="K235" t="inlineStr">
        <is>
          <t>Luis Escobar</t>
        </is>
      </c>
      <c r="L235" t="inlineStr">
        <is>
          <t>Sandra Guevara Lemus</t>
        </is>
      </c>
      <c r="M235" t="inlineStr">
        <is>
          <t>08577633-7</t>
        </is>
      </c>
      <c r="N235" t="inlineStr">
        <is>
          <t>6671-1550</t>
        </is>
      </c>
      <c r="O235" t="inlineStr">
        <is>
          <t>Consumidor final</t>
        </is>
      </c>
      <c r="P235" t="inlineStr">
        <is>
          <t>AZU-001</t>
        </is>
      </c>
      <c r="Q235" t="inlineStr">
        <is>
          <t>Azúcar blanca 2.5kg</t>
        </is>
      </c>
      <c r="R235" t="inlineStr">
        <is>
          <t>Abarrotes</t>
        </is>
      </c>
      <c r="S235" t="inlineStr">
        <is>
          <t>Granos del Pacífico</t>
        </is>
      </c>
      <c r="T235" t="inlineStr">
        <is>
          <t>2234-8890</t>
        </is>
      </c>
      <c r="U235" t="inlineStr">
        <is>
          <t>3,10</t>
        </is>
      </c>
      <c r="V235" t="n">
        <v>2</v>
      </c>
      <c r="W235" t="n">
        <v>0</v>
      </c>
      <c r="X235">
        <f>IFERROR(U235*V235*(1-W235/100),"")</f>
        <v/>
      </c>
      <c r="Y235">
        <f>IFERROR(ROUND(X235*0.13,2),"")</f>
        <v/>
      </c>
      <c r="Z235">
        <f>IFERROR(X235+Y235,"")</f>
        <v/>
      </c>
      <c r="AA235" t="inlineStr">
        <is>
          <t>Efectivo</t>
        </is>
      </c>
      <c r="AB235" t="inlineStr"/>
    </row>
    <row r="236">
      <c r="A236" t="inlineStr">
        <is>
          <t>F-10636</t>
        </is>
      </c>
      <c r="B236" t="inlineStr">
        <is>
          <t>17-Jul-26</t>
        </is>
      </c>
      <c r="C236" t="inlineStr">
        <is>
          <t>Factura</t>
        </is>
      </c>
      <c r="D236" t="inlineStr">
        <is>
          <t>US01</t>
        </is>
      </c>
      <c r="E236" t="inlineStr">
        <is>
          <t>Usulután</t>
        </is>
      </c>
      <c r="F236" t="inlineStr">
        <is>
          <t>2a Av. Norte #9</t>
        </is>
      </c>
      <c r="G236" t="inlineStr">
        <is>
          <t>Usulután</t>
        </is>
      </c>
      <c r="H236" t="inlineStr">
        <is>
          <t>Usulután</t>
        </is>
      </c>
      <c r="I236" t="inlineStr">
        <is>
          <t>Nelson Fuentes</t>
        </is>
      </c>
      <c r="J236" t="inlineStr">
        <is>
          <t>2662-8810</t>
        </is>
      </c>
      <c r="K236" t="inlineStr">
        <is>
          <t>Miguel Bonilla</t>
        </is>
      </c>
      <c r="L236" t="inlineStr">
        <is>
          <t>Silvia Cornejo Guevara</t>
        </is>
      </c>
      <c r="M236" t="inlineStr">
        <is>
          <t>01953672-6</t>
        </is>
      </c>
      <c r="N236" t="inlineStr">
        <is>
          <t>7921-9045</t>
        </is>
      </c>
      <c r="O236" t="inlineStr">
        <is>
          <t>Consumidor final</t>
        </is>
      </c>
      <c r="P236" t="inlineStr">
        <is>
          <t>LAC-001</t>
        </is>
      </c>
      <c r="Q236" t="inlineStr">
        <is>
          <t>Quesillo 1lb</t>
        </is>
      </c>
      <c r="R236" t="inlineStr">
        <is>
          <t>LACTEOS</t>
        </is>
      </c>
      <c r="S236" t="inlineStr">
        <is>
          <t>Lácteos Chalate</t>
        </is>
      </c>
      <c r="T236" t="inlineStr">
        <is>
          <t>7120-4455</t>
        </is>
      </c>
      <c r="U236" t="n">
        <v>3.8</v>
      </c>
      <c r="V236" t="n">
        <v>2</v>
      </c>
      <c r="W236" t="n">
        <v>0</v>
      </c>
      <c r="X236">
        <f>IFERROR(U236*V236*(1-W236/100),"")</f>
        <v/>
      </c>
      <c r="Y236">
        <f>IFERROR(ROUND(X236*0.13,2),"")</f>
        <v/>
      </c>
      <c r="Z236">
        <f>IFERROR(X236+Y236,"")</f>
        <v/>
      </c>
      <c r="AA236" t="inlineStr">
        <is>
          <t>Transferencia</t>
        </is>
      </c>
      <c r="AB236" t="inlineStr"/>
    </row>
    <row r="237">
      <c r="A237" t="inlineStr">
        <is>
          <t>F-10639</t>
        </is>
      </c>
      <c r="B237" s="3" t="n">
        <v>46229</v>
      </c>
      <c r="C237" t="inlineStr">
        <is>
          <t>Factura</t>
        </is>
      </c>
      <c r="D237" t="inlineStr">
        <is>
          <t>LL02</t>
        </is>
      </c>
      <c r="E237" t="inlineStr">
        <is>
          <t>Pto. La Libertad</t>
        </is>
      </c>
      <c r="F237" t="inlineStr">
        <is>
          <t>Calle El Malecón, Local 4</t>
        </is>
      </c>
      <c r="G237" t="inlineStr">
        <is>
          <t>La Libertad</t>
        </is>
      </c>
      <c r="H237" t="inlineStr">
        <is>
          <t>La Libertad</t>
        </is>
      </c>
      <c r="I237" t="inlineStr">
        <is>
          <t>Wendy Aguilar</t>
        </is>
      </c>
      <c r="J237" t="inlineStr">
        <is>
          <t>2335-6140</t>
        </is>
      </c>
      <c r="K237" t="inlineStr">
        <is>
          <t>Gabriela Saravia</t>
        </is>
      </c>
      <c r="L237" t="inlineStr">
        <is>
          <t>Xiomara Cornejo Guevara</t>
        </is>
      </c>
      <c r="M237" t="inlineStr">
        <is>
          <t>09840186-7</t>
        </is>
      </c>
      <c r="N237" t="inlineStr">
        <is>
          <t>2102-2322</t>
        </is>
      </c>
      <c r="O237" t="inlineStr">
        <is>
          <t>Consumidor final</t>
        </is>
      </c>
      <c r="P237" t="inlineStr">
        <is>
          <t>ARR-001</t>
        </is>
      </c>
      <c r="Q237" t="inlineStr">
        <is>
          <t>Arroz blanco 5lb</t>
        </is>
      </c>
      <c r="R237" t="inlineStr">
        <is>
          <t>Abarrotes</t>
        </is>
      </c>
      <c r="S237" t="inlineStr">
        <is>
          <t>Granos del Pacífico</t>
        </is>
      </c>
      <c r="T237" t="inlineStr">
        <is>
          <t>2234-8890</t>
        </is>
      </c>
      <c r="U237" t="n">
        <v>3.95</v>
      </c>
      <c r="V237" t="n">
        <v>2</v>
      </c>
      <c r="W237" t="n">
        <v>0</v>
      </c>
      <c r="X237">
        <f>IFERROR(U237*V237*(1-W237/100),"")</f>
        <v/>
      </c>
      <c r="Y237">
        <f>IFERROR(ROUND(X237*0.13,2),"")</f>
        <v/>
      </c>
      <c r="Z237">
        <f>IFERROR(X237+Y237,"")</f>
        <v/>
      </c>
      <c r="AA237" t="inlineStr">
        <is>
          <t>Efectivo</t>
        </is>
      </c>
      <c r="AB237" t="inlineStr">
        <is>
          <t>entregar en bodega</t>
        </is>
      </c>
    </row>
    <row r="238">
      <c r="A238" t="inlineStr">
        <is>
          <t>F-10639</t>
        </is>
      </c>
      <c r="B238" s="3" t="n">
        <v>46229</v>
      </c>
      <c r="C238" t="inlineStr">
        <is>
          <t>Factura</t>
        </is>
      </c>
      <c r="D238" t="inlineStr">
        <is>
          <t>LL02</t>
        </is>
      </c>
      <c r="E238" t="inlineStr">
        <is>
          <t>Pto. La Libertad</t>
        </is>
      </c>
      <c r="F238" t="inlineStr">
        <is>
          <t>Calle El Malecón, Local 4</t>
        </is>
      </c>
      <c r="G238" t="inlineStr">
        <is>
          <t>La Libertad</t>
        </is>
      </c>
      <c r="H238" t="inlineStr">
        <is>
          <t>La Libertad</t>
        </is>
      </c>
      <c r="I238" t="inlineStr">
        <is>
          <t>Wendy Aguilar</t>
        </is>
      </c>
      <c r="J238" t="inlineStr">
        <is>
          <t>2335-6140</t>
        </is>
      </c>
      <c r="K238" t="inlineStr">
        <is>
          <t>Gabriela Saravia</t>
        </is>
      </c>
      <c r="L238" t="inlineStr">
        <is>
          <t>Xiomara Cornejo Guevara</t>
        </is>
      </c>
      <c r="M238" t="inlineStr">
        <is>
          <t>09840186-7</t>
        </is>
      </c>
      <c r="N238" t="inlineStr">
        <is>
          <t>2102-2322</t>
        </is>
      </c>
      <c r="O238" t="inlineStr">
        <is>
          <t>Consumidor final</t>
        </is>
      </c>
      <c r="P238" t="inlineStr">
        <is>
          <t>LAC-003</t>
        </is>
      </c>
      <c r="Q238" t="inlineStr">
        <is>
          <t>Leche entera 1L</t>
        </is>
      </c>
      <c r="R238" t="inlineStr">
        <is>
          <t>Lácteos</t>
        </is>
      </c>
      <c r="S238" t="inlineStr">
        <is>
          <t>Lácteos Chalate</t>
        </is>
      </c>
      <c r="T238" t="inlineStr">
        <is>
          <t>2335-1020</t>
        </is>
      </c>
      <c r="U238" t="inlineStr">
        <is>
          <t>1,20</t>
        </is>
      </c>
      <c r="V238" t="n">
        <v>3</v>
      </c>
      <c r="W238" t="n">
        <v>0</v>
      </c>
      <c r="X238">
        <f>IFERROR(U238*V238*(1-W238/100),"")</f>
        <v/>
      </c>
      <c r="Y238">
        <f>IFERROR(ROUND(X238*0.13,2),"")</f>
        <v/>
      </c>
      <c r="Z238">
        <f>IFERROR(X238+Y238,"")</f>
        <v/>
      </c>
      <c r="AA238" t="inlineStr">
        <is>
          <t>Efectivo</t>
        </is>
      </c>
      <c r="AB238" t="inlineStr"/>
    </row>
    <row r="239">
      <c r="A239" t="inlineStr">
        <is>
          <t>F-10639</t>
        </is>
      </c>
      <c r="B239" s="3" t="n">
        <v>46229</v>
      </c>
      <c r="C239" t="inlineStr">
        <is>
          <t>Factura</t>
        </is>
      </c>
      <c r="D239" t="inlineStr">
        <is>
          <t>LL02</t>
        </is>
      </c>
      <c r="E239" t="inlineStr">
        <is>
          <t>Pto. La Libertad</t>
        </is>
      </c>
      <c r="F239" t="inlineStr">
        <is>
          <t>Calle El Malecón, Local 4</t>
        </is>
      </c>
      <c r="G239" t="inlineStr">
        <is>
          <t>La Libertad</t>
        </is>
      </c>
      <c r="H239" t="inlineStr">
        <is>
          <t>La Libertad</t>
        </is>
      </c>
      <c r="I239" t="inlineStr">
        <is>
          <t>Wendy Aguilar</t>
        </is>
      </c>
      <c r="J239" t="inlineStr">
        <is>
          <t>2335-6140</t>
        </is>
      </c>
      <c r="K239" t="inlineStr">
        <is>
          <t>Gabriela Saravia</t>
        </is>
      </c>
      <c r="L239" t="inlineStr">
        <is>
          <t>Xiomara Cornejo Guevara</t>
        </is>
      </c>
      <c r="M239" t="inlineStr">
        <is>
          <t>09840186-7</t>
        </is>
      </c>
      <c r="N239" t="inlineStr">
        <is>
          <t>2102-2322</t>
        </is>
      </c>
      <c r="O239" t="inlineStr">
        <is>
          <t>Consumidor final</t>
        </is>
      </c>
      <c r="P239" t="inlineStr">
        <is>
          <t>PAN-001</t>
        </is>
      </c>
      <c r="Q239" t="inlineStr">
        <is>
          <t>Pan francés bolsa 10u</t>
        </is>
      </c>
      <c r="R239" t="inlineStr">
        <is>
          <t>Panaderia</t>
        </is>
      </c>
      <c r="S239" t="inlineStr">
        <is>
          <t>Panificadora Ilopango</t>
        </is>
      </c>
      <c r="T239" t="inlineStr">
        <is>
          <t>2295-0081</t>
        </is>
      </c>
      <c r="U239" t="n">
        <v>1</v>
      </c>
      <c r="V239" t="n">
        <v>1</v>
      </c>
      <c r="W239" t="n">
        <v>0</v>
      </c>
      <c r="X239">
        <f>IFERROR(U239*V239*(1-W239/100),"")</f>
        <v/>
      </c>
      <c r="Y239">
        <f>IFERROR(ROUND(X239*0.13,2),"")</f>
        <v/>
      </c>
      <c r="Z239">
        <f>IFERROR(X239+Y239,"")</f>
        <v/>
      </c>
      <c r="AA239" t="inlineStr">
        <is>
          <t>Efectivo</t>
        </is>
      </c>
      <c r="AB239" t="inlineStr"/>
    </row>
    <row r="240">
      <c r="A240" t="inlineStr">
        <is>
          <t>F-10642</t>
        </is>
      </c>
      <c r="B240" t="inlineStr">
        <is>
          <t>22/08/2026</t>
        </is>
      </c>
      <c r="C240" t="inlineStr">
        <is>
          <t>Factura</t>
        </is>
      </c>
      <c r="D240" t="inlineStr">
        <is>
          <t>SA01</t>
        </is>
      </c>
      <c r="E240" t="inlineStr">
        <is>
          <t>Santa Ana</t>
        </is>
      </c>
      <c r="F240" t="inlineStr">
        <is>
          <t>Av. Independencia Sur #12</t>
        </is>
      </c>
      <c r="G240" t="inlineStr">
        <is>
          <t>Santa Ana</t>
        </is>
      </c>
      <c r="H240" t="inlineStr">
        <is>
          <t>Santa Ana</t>
        </is>
      </c>
      <c r="I240" t="inlineStr">
        <is>
          <t>Mauricio Linares</t>
        </is>
      </c>
      <c r="J240" t="inlineStr">
        <is>
          <t>2440-9921</t>
        </is>
      </c>
      <c r="K240" t="inlineStr">
        <is>
          <t>Sofía Cáceres</t>
        </is>
      </c>
      <c r="L240" t="inlineStr">
        <is>
          <t>Rosa Argueta Ramírez</t>
        </is>
      </c>
      <c r="M240" t="inlineStr">
        <is>
          <t>08671348-2</t>
        </is>
      </c>
      <c r="N240" t="inlineStr">
        <is>
          <t>2777-4047</t>
        </is>
      </c>
      <c r="O240" t="inlineStr">
        <is>
          <t>Consumidor final</t>
        </is>
      </c>
      <c r="P240" t="inlineStr">
        <is>
          <t>PAN-001</t>
        </is>
      </c>
      <c r="Q240" t="inlineStr">
        <is>
          <t>Pan francés bolsa 10u</t>
        </is>
      </c>
      <c r="R240" t="inlineStr">
        <is>
          <t>Panadería</t>
        </is>
      </c>
      <c r="S240" t="inlineStr">
        <is>
          <t>Panificadora Ilopango</t>
        </is>
      </c>
      <c r="T240" t="inlineStr">
        <is>
          <t>2295-0081</t>
        </is>
      </c>
      <c r="U240" t="n">
        <v>1</v>
      </c>
      <c r="V240" t="n">
        <v>24</v>
      </c>
      <c r="W240" t="n">
        <v>0</v>
      </c>
      <c r="X240">
        <f>IFERROR(U240*V240*(1-W240/100),"")</f>
        <v/>
      </c>
      <c r="Y240">
        <f>IFERROR(ROUND(X240*0.13,2),"")</f>
        <v/>
      </c>
      <c r="Z240">
        <f>IFERROR(X240+Y240,"")</f>
        <v/>
      </c>
      <c r="AA240" t="inlineStr">
        <is>
          <t>Bitcoin</t>
        </is>
      </c>
      <c r="AB240" t="inlineStr"/>
    </row>
    <row r="241">
      <c r="A241" t="inlineStr">
        <is>
          <t>F-10642</t>
        </is>
      </c>
      <c r="B241" s="3" t="n">
        <v>46256</v>
      </c>
      <c r="C241" t="inlineStr">
        <is>
          <t>Factura</t>
        </is>
      </c>
      <c r="D241" t="inlineStr">
        <is>
          <t>SA01</t>
        </is>
      </c>
      <c r="E241" t="inlineStr">
        <is>
          <t>STA ANA</t>
        </is>
      </c>
      <c r="F241" t="inlineStr">
        <is>
          <t>Av. Independencia Sur #12</t>
        </is>
      </c>
      <c r="G241" t="inlineStr">
        <is>
          <t>Santa Ana</t>
        </is>
      </c>
      <c r="H241" t="inlineStr">
        <is>
          <t>Santa Ana</t>
        </is>
      </c>
      <c r="I241" t="inlineStr">
        <is>
          <t>Mauricio Linares</t>
        </is>
      </c>
      <c r="J241" t="inlineStr">
        <is>
          <t>2440-9921</t>
        </is>
      </c>
      <c r="K241" t="inlineStr">
        <is>
          <t>Sofía Cáceres</t>
        </is>
      </c>
      <c r="L241" t="inlineStr">
        <is>
          <t>Rosa Argueta Ramírez</t>
        </is>
      </c>
      <c r="M241" t="inlineStr">
        <is>
          <t>08671348-2</t>
        </is>
      </c>
      <c r="N241" t="inlineStr">
        <is>
          <t>2777-4047</t>
        </is>
      </c>
      <c r="O241" t="inlineStr">
        <is>
          <t>Consumidor final</t>
        </is>
      </c>
      <c r="P241" t="inlineStr">
        <is>
          <t>HIG-002</t>
        </is>
      </c>
      <c r="Q241" t="inlineStr">
        <is>
          <t>Papel higiénico 4 rollos</t>
        </is>
      </c>
      <c r="R241" t="inlineStr">
        <is>
          <t>Limpieza</t>
        </is>
      </c>
      <c r="S241" t="inlineStr">
        <is>
          <t>Higiene Total C.A.</t>
        </is>
      </c>
      <c r="T241" t="inlineStr">
        <is>
          <t>2207-5566</t>
        </is>
      </c>
      <c r="U241" t="inlineStr">
        <is>
          <t>2,15</t>
        </is>
      </c>
      <c r="V241" t="n">
        <v>1</v>
      </c>
      <c r="W241" t="n">
        <v>0</v>
      </c>
      <c r="X241">
        <f>IFERROR(U241*V241*(1-W241/100),"")</f>
        <v/>
      </c>
      <c r="Y241">
        <f>IFERROR(ROUND(X241*0.13,2),"")</f>
        <v/>
      </c>
      <c r="Z241">
        <f>IFERROR(X241+Y241,"")</f>
        <v/>
      </c>
      <c r="AA241" t="inlineStr">
        <is>
          <t>Bitcoin</t>
        </is>
      </c>
      <c r="AB241" t="inlineStr">
        <is>
          <t>Cliente frecuente</t>
        </is>
      </c>
    </row>
    <row r="242">
      <c r="A242" t="inlineStr">
        <is>
          <t>F-10642</t>
        </is>
      </c>
      <c r="B242" s="3" t="n">
        <v>46256</v>
      </c>
      <c r="C242" t="inlineStr">
        <is>
          <t>Factura</t>
        </is>
      </c>
      <c r="D242" t="inlineStr">
        <is>
          <t>SA01</t>
        </is>
      </c>
      <c r="E242" t="inlineStr">
        <is>
          <t>Santa Ana</t>
        </is>
      </c>
      <c r="F242" t="inlineStr">
        <is>
          <t>Av. Independencia Sur #12</t>
        </is>
      </c>
      <c r="G242" t="inlineStr">
        <is>
          <t>Santa Ana</t>
        </is>
      </c>
      <c r="H242" t="inlineStr">
        <is>
          <t>Santa Ana</t>
        </is>
      </c>
      <c r="I242" t="inlineStr">
        <is>
          <t>Mauricio Linares</t>
        </is>
      </c>
      <c r="J242" t="inlineStr">
        <is>
          <t>2440-9921</t>
        </is>
      </c>
      <c r="K242" t="inlineStr">
        <is>
          <t>Sofía Cáceres</t>
        </is>
      </c>
      <c r="L242" t="inlineStr">
        <is>
          <t>Rosa Argueta Ramírez</t>
        </is>
      </c>
      <c r="M242" t="inlineStr">
        <is>
          <t>08671348-2</t>
        </is>
      </c>
      <c r="N242" t="inlineStr">
        <is>
          <t>2777-4047</t>
        </is>
      </c>
      <c r="O242" t="inlineStr">
        <is>
          <t>Consumidor final</t>
        </is>
      </c>
      <c r="P242" t="inlineStr">
        <is>
          <t>CAF-002</t>
        </is>
      </c>
      <c r="Q242" t="inlineStr">
        <is>
          <t>Café en grano 1lb</t>
        </is>
      </c>
      <c r="R242" t="inlineStr">
        <is>
          <t>Abarrotes</t>
        </is>
      </c>
      <c r="S242" t="inlineStr">
        <is>
          <t>Café Volcán S.A.</t>
        </is>
      </c>
      <c r="T242" t="inlineStr">
        <is>
          <t>2510-3344</t>
        </is>
      </c>
      <c r="U242" t="n">
        <v>6.75</v>
      </c>
      <c r="V242" t="n">
        <v>2</v>
      </c>
      <c r="W242" t="n">
        <v>0</v>
      </c>
      <c r="X242">
        <f>IFERROR(U242*V242*(1-W242/100),"")</f>
        <v/>
      </c>
      <c r="Y242">
        <f>IFERROR(ROUND(X242*0.13,2),"")</f>
        <v/>
      </c>
      <c r="Z242">
        <f>IFERROR(X242+Y242,"")</f>
        <v/>
      </c>
      <c r="AA242" t="inlineStr">
        <is>
          <t>Bitcoin</t>
        </is>
      </c>
      <c r="AB242" t="inlineStr"/>
    </row>
    <row r="243">
      <c r="A243" t="inlineStr">
        <is>
          <t>F-10642</t>
        </is>
      </c>
      <c r="B243" s="3" t="n">
        <v>46256</v>
      </c>
      <c r="C243" t="inlineStr">
        <is>
          <t>Factura</t>
        </is>
      </c>
      <c r="D243" t="inlineStr">
        <is>
          <t>SA01</t>
        </is>
      </c>
      <c r="E243" t="inlineStr">
        <is>
          <t>STA ANA</t>
        </is>
      </c>
      <c r="F243" t="inlineStr">
        <is>
          <t>Av. Independencia Sur #12</t>
        </is>
      </c>
      <c r="G243" t="inlineStr">
        <is>
          <t>Santa Ana</t>
        </is>
      </c>
      <c r="H243" t="inlineStr">
        <is>
          <t>Santa Ana</t>
        </is>
      </c>
      <c r="I243" t="inlineStr">
        <is>
          <t>Mauricio Linares</t>
        </is>
      </c>
      <c r="J243" t="inlineStr">
        <is>
          <t>2440-9921</t>
        </is>
      </c>
      <c r="K243" t="inlineStr">
        <is>
          <t>Sofía Cáceres</t>
        </is>
      </c>
      <c r="L243" t="inlineStr">
        <is>
          <t>Rosa Argueta Ramírez</t>
        </is>
      </c>
      <c r="M243" t="inlineStr">
        <is>
          <t>08671348-2</t>
        </is>
      </c>
      <c r="N243" t="inlineStr">
        <is>
          <t>2777-4047</t>
        </is>
      </c>
      <c r="O243" t="inlineStr">
        <is>
          <t>Consumidor final</t>
        </is>
      </c>
      <c r="P243" t="inlineStr">
        <is>
          <t>BEB-002</t>
        </is>
      </c>
      <c r="Q243" t="inlineStr">
        <is>
          <t>Agua purificada 1 galón</t>
        </is>
      </c>
      <c r="R243" t="inlineStr">
        <is>
          <t>Bebidas</t>
        </is>
      </c>
      <c r="S243" t="inlineStr">
        <is>
          <t>Bebidas Izalco</t>
        </is>
      </c>
      <c r="T243" t="inlineStr">
        <is>
          <t>2450-7700</t>
        </is>
      </c>
      <c r="U243" t="n">
        <v>1.1</v>
      </c>
      <c r="V243" t="n">
        <v>3</v>
      </c>
      <c r="W243" t="n">
        <v>0</v>
      </c>
      <c r="X243">
        <f>IFERROR(U243*V243*(1-W243/100),"")</f>
        <v/>
      </c>
      <c r="Y243">
        <f>IFERROR(ROUND(X243*0.13,2),"")</f>
        <v/>
      </c>
      <c r="Z243">
        <f>IFERROR(X243+Y243,"")</f>
        <v/>
      </c>
      <c r="AA243" t="inlineStr">
        <is>
          <t>Bitcoin</t>
        </is>
      </c>
      <c r="AB243" t="inlineStr"/>
    </row>
    <row r="244">
      <c r="A244" t="inlineStr">
        <is>
          <t>F-10645</t>
        </is>
      </c>
      <c r="B244" t="inlineStr">
        <is>
          <t>13/08/2026</t>
        </is>
      </c>
      <c r="C244" t="inlineStr">
        <is>
          <t>FCF</t>
        </is>
      </c>
      <c r="D244" t="inlineStr">
        <is>
          <t>SO01</t>
        </is>
      </c>
      <c r="E244" t="inlineStr">
        <is>
          <t>SONSONATE</t>
        </is>
      </c>
      <c r="F244" t="inlineStr">
        <is>
          <t>Calle Obispo Marroquín #3</t>
        </is>
      </c>
      <c r="G244" t="inlineStr">
        <is>
          <t>Sonsonate</t>
        </is>
      </c>
      <c r="H244" t="inlineStr">
        <is>
          <t>Sonsonate</t>
        </is>
      </c>
      <c r="I244" t="inlineStr">
        <is>
          <t>Ernesto Chávez</t>
        </is>
      </c>
      <c r="J244" t="inlineStr">
        <is>
          <t>2451-2288</t>
        </is>
      </c>
      <c r="K244" t="inlineStr">
        <is>
          <t>Ricardo Funes</t>
        </is>
      </c>
      <c r="L244" t="inlineStr">
        <is>
          <t>Xiomara Flores Rivera</t>
        </is>
      </c>
      <c r="M244" t="inlineStr">
        <is>
          <t>09919727-8</t>
        </is>
      </c>
      <c r="N244" t="inlineStr">
        <is>
          <t>2544-6511</t>
        </is>
      </c>
      <c r="O244" t="inlineStr">
        <is>
          <t>Consumidor final</t>
        </is>
      </c>
      <c r="P244" t="inlineStr">
        <is>
          <t>HIG-001</t>
        </is>
      </c>
      <c r="Q244" t="inlineStr">
        <is>
          <t>Detergente 1kg</t>
        </is>
      </c>
      <c r="R244" t="inlineStr">
        <is>
          <t>limpieza</t>
        </is>
      </c>
      <c r="S244" t="inlineStr">
        <is>
          <t>Higiene Total C.A.</t>
        </is>
      </c>
      <c r="T244" t="inlineStr">
        <is>
          <t>2207-5566</t>
        </is>
      </c>
      <c r="U244" t="n">
        <v>3.45</v>
      </c>
      <c r="V244" t="n">
        <v>6</v>
      </c>
      <c r="W244" t="n">
        <v>0</v>
      </c>
      <c r="X244">
        <f>IFERROR(U244*V244*(1-W244/100),"")</f>
        <v/>
      </c>
      <c r="Y244">
        <f>IFERROR(ROUND(X244*0.13,2),"")</f>
        <v/>
      </c>
      <c r="Z244">
        <f>IFERROR(X244+Y244,"")</f>
        <v/>
      </c>
      <c r="AA244" t="inlineStr">
        <is>
          <t>Tarjeta</t>
        </is>
      </c>
      <c r="AB244" t="inlineStr"/>
    </row>
    <row r="245">
      <c r="A245" t="inlineStr">
        <is>
          <t>F-10645</t>
        </is>
      </c>
      <c r="B245" s="3" t="n">
        <v>46247</v>
      </c>
      <c r="C245" t="inlineStr">
        <is>
          <t>FCF</t>
        </is>
      </c>
      <c r="D245" t="inlineStr">
        <is>
          <t>SO01</t>
        </is>
      </c>
      <c r="E245" t="inlineStr">
        <is>
          <t>SONSONATE</t>
        </is>
      </c>
      <c r="F245" t="inlineStr">
        <is>
          <t>Calle Obispo Marroquín #3</t>
        </is>
      </c>
      <c r="G245" t="inlineStr">
        <is>
          <t>Sonsonate</t>
        </is>
      </c>
      <c r="H245" t="inlineStr">
        <is>
          <t>Sonsonate</t>
        </is>
      </c>
      <c r="I245" t="inlineStr">
        <is>
          <t>Ernesto Chávez</t>
        </is>
      </c>
      <c r="J245" t="inlineStr">
        <is>
          <t>2451-2288</t>
        </is>
      </c>
      <c r="K245" t="inlineStr">
        <is>
          <t>Ricardo Funes</t>
        </is>
      </c>
      <c r="L245" t="inlineStr">
        <is>
          <t>Xiomara Flores Rivera</t>
        </is>
      </c>
      <c r="M245" t="inlineStr">
        <is>
          <t>09919727-8</t>
        </is>
      </c>
      <c r="N245" t="inlineStr">
        <is>
          <t>2544-6511</t>
        </is>
      </c>
      <c r="O245" t="inlineStr">
        <is>
          <t>Consumidor final</t>
        </is>
      </c>
      <c r="P245" t="inlineStr">
        <is>
          <t>FRI-001</t>
        </is>
      </c>
      <c r="Q245" t="inlineStr">
        <is>
          <t>Frijol rojo de seda 2lb</t>
        </is>
      </c>
      <c r="R245" t="inlineStr">
        <is>
          <t>Granos básicos</t>
        </is>
      </c>
      <c r="S245" t="inlineStr">
        <is>
          <t>Granos del Pacífico</t>
        </is>
      </c>
      <c r="T245" t="inlineStr">
        <is>
          <t>2234-8890</t>
        </is>
      </c>
      <c r="U245" t="n">
        <v>2.4</v>
      </c>
      <c r="V245" t="n">
        <v>12</v>
      </c>
      <c r="W245" t="n">
        <v>0</v>
      </c>
      <c r="X245">
        <f>IFERROR(U245*V245*(1-W245/100),"")</f>
        <v/>
      </c>
      <c r="Y245">
        <f>IFERROR(ROUND(X245*0.13,2),"")</f>
        <v/>
      </c>
      <c r="Z245">
        <f>IFERROR(X245+Y245,"")</f>
        <v/>
      </c>
      <c r="AA245" t="inlineStr">
        <is>
          <t>Tarjeta</t>
        </is>
      </c>
      <c r="AB245" t="inlineStr"/>
    </row>
    <row r="246">
      <c r="A246" t="inlineStr">
        <is>
          <t>F-10645</t>
        </is>
      </c>
      <c r="B246" t="inlineStr">
        <is>
          <t>13-Aug-26</t>
        </is>
      </c>
      <c r="C246" t="inlineStr">
        <is>
          <t>FCF</t>
        </is>
      </c>
      <c r="D246" t="inlineStr">
        <is>
          <t>SO01</t>
        </is>
      </c>
      <c r="E246" t="inlineStr">
        <is>
          <t>Sonsonate</t>
        </is>
      </c>
      <c r="F246" t="inlineStr">
        <is>
          <t>Calle Obispo Marroquín #3</t>
        </is>
      </c>
      <c r="G246" t="inlineStr">
        <is>
          <t>Sonsonate</t>
        </is>
      </c>
      <c r="H246" t="inlineStr">
        <is>
          <t>Sonsonate</t>
        </is>
      </c>
      <c r="I246" t="inlineStr">
        <is>
          <t>Ernesto Chávez</t>
        </is>
      </c>
      <c r="J246" t="inlineStr">
        <is>
          <t>2451-2288</t>
        </is>
      </c>
      <c r="K246" t="inlineStr">
        <is>
          <t>Ricardo Funes</t>
        </is>
      </c>
      <c r="L246" t="inlineStr">
        <is>
          <t>Xiomara Flores Rivera</t>
        </is>
      </c>
      <c r="M246" t="inlineStr">
        <is>
          <t>09919727-8</t>
        </is>
      </c>
      <c r="N246" t="inlineStr">
        <is>
          <t>2544-6511</t>
        </is>
      </c>
      <c r="O246" t="inlineStr">
        <is>
          <t>Consumidor final</t>
        </is>
      </c>
      <c r="P246" t="inlineStr">
        <is>
          <t>CAF-001</t>
        </is>
      </c>
      <c r="Q246" t="inlineStr">
        <is>
          <t>Café molido 400g</t>
        </is>
      </c>
      <c r="R246" t="inlineStr">
        <is>
          <t>ABARROTES</t>
        </is>
      </c>
      <c r="S246" t="inlineStr">
        <is>
          <t>Café Volcán S.A.</t>
        </is>
      </c>
      <c r="T246" t="inlineStr">
        <is>
          <t>2510-3344</t>
        </is>
      </c>
      <c r="U246" t="inlineStr">
        <is>
          <t>$4.25</t>
        </is>
      </c>
      <c r="V246" t="n">
        <v>2</v>
      </c>
      <c r="W246" t="n">
        <v>0</v>
      </c>
      <c r="X246">
        <f>IFERROR(U246*V246*(1-W246/100),"")</f>
        <v/>
      </c>
      <c r="Y246">
        <f>IFERROR(ROUND(X246*0.13,2),"")</f>
        <v/>
      </c>
      <c r="Z246">
        <f>IFERROR(X246+Y246,"")</f>
        <v/>
      </c>
      <c r="AA246" t="inlineStr">
        <is>
          <t>Tarjeta</t>
        </is>
      </c>
      <c r="AB246" t="inlineStr"/>
    </row>
    <row r="247">
      <c r="A247" t="inlineStr">
        <is>
          <t>F-10647</t>
        </is>
      </c>
      <c r="B247" s="3" t="n">
        <v>46263</v>
      </c>
      <c r="C247" t="inlineStr">
        <is>
          <t>FCF</t>
        </is>
      </c>
      <c r="D247" t="inlineStr">
        <is>
          <t>LL02</t>
        </is>
      </c>
      <c r="E247" t="inlineStr">
        <is>
          <t>Pto. La Libertad</t>
        </is>
      </c>
      <c r="F247" t="inlineStr">
        <is>
          <t>Calle El Malecón, Local 4</t>
        </is>
      </c>
      <c r="G247" t="inlineStr">
        <is>
          <t>La Libertad</t>
        </is>
      </c>
      <c r="H247" t="inlineStr">
        <is>
          <t>La Libertad</t>
        </is>
      </c>
      <c r="I247" t="inlineStr">
        <is>
          <t>Wendy Aguilar</t>
        </is>
      </c>
      <c r="J247" t="inlineStr">
        <is>
          <t>2335-6140</t>
        </is>
      </c>
      <c r="K247" t="inlineStr">
        <is>
          <t>Gabriela Saravia</t>
        </is>
      </c>
      <c r="L247" t="inlineStr">
        <is>
          <t>Silvia Cornejo Guevara</t>
        </is>
      </c>
      <c r="M247" t="inlineStr">
        <is>
          <t>01953672-6</t>
        </is>
      </c>
      <c r="N247" t="inlineStr">
        <is>
          <t>7921-9045</t>
        </is>
      </c>
      <c r="O247" t="inlineStr">
        <is>
          <t>Consumidor final</t>
        </is>
      </c>
      <c r="P247" t="inlineStr">
        <is>
          <t>HIG-001</t>
        </is>
      </c>
      <c r="Q247" t="inlineStr">
        <is>
          <t>Detergente 1kg</t>
        </is>
      </c>
      <c r="R247" t="inlineStr">
        <is>
          <t>Limpieza</t>
        </is>
      </c>
      <c r="S247" t="inlineStr">
        <is>
          <t>Higiene Total C.A.</t>
        </is>
      </c>
      <c r="T247" t="inlineStr">
        <is>
          <t>2207-5566</t>
        </is>
      </c>
      <c r="U247" t="n">
        <v>3.45</v>
      </c>
      <c r="V247" t="n">
        <v>4</v>
      </c>
      <c r="W247" t="n">
        <v>0</v>
      </c>
      <c r="X247">
        <f>IFERROR(U247*V247*(1-W247/100),"")</f>
        <v/>
      </c>
      <c r="Y247">
        <f>IFERROR(ROUND(X247*0.13,2),"")</f>
        <v/>
      </c>
      <c r="Z247">
        <f>IFERROR(X247+Y247,"")</f>
        <v/>
      </c>
      <c r="AA247" t="inlineStr">
        <is>
          <t>Tarjeta</t>
        </is>
      </c>
      <c r="AB247" t="inlineStr"/>
    </row>
    <row r="248">
      <c r="A248" t="inlineStr">
        <is>
          <t>F-10647</t>
        </is>
      </c>
      <c r="B248" s="3" t="n">
        <v>46263</v>
      </c>
      <c r="C248" t="inlineStr">
        <is>
          <t>FCF</t>
        </is>
      </c>
      <c r="D248" t="inlineStr">
        <is>
          <t>LL02</t>
        </is>
      </c>
      <c r="E248" t="inlineStr">
        <is>
          <t>Puerto de La Libertad</t>
        </is>
      </c>
      <c r="F248" t="inlineStr">
        <is>
          <t>Calle El Malecón, Local 4</t>
        </is>
      </c>
      <c r="G248" t="inlineStr">
        <is>
          <t>La Libertad</t>
        </is>
      </c>
      <c r="H248" t="inlineStr">
        <is>
          <t>La Libertad</t>
        </is>
      </c>
      <c r="I248" t="inlineStr">
        <is>
          <t>Wendy Aguilar</t>
        </is>
      </c>
      <c r="J248" t="inlineStr">
        <is>
          <t>2335-6140</t>
        </is>
      </c>
      <c r="K248" t="inlineStr">
        <is>
          <t>Gabriela Saravia</t>
        </is>
      </c>
      <c r="L248" t="inlineStr">
        <is>
          <t>Silvia Cornejo Guevara</t>
        </is>
      </c>
      <c r="M248" t="inlineStr">
        <is>
          <t>01953672-6</t>
        </is>
      </c>
      <c r="N248" t="inlineStr">
        <is>
          <t>7921-9045</t>
        </is>
      </c>
      <c r="O248" t="inlineStr">
        <is>
          <t>Consumidor final</t>
        </is>
      </c>
      <c r="P248" t="inlineStr">
        <is>
          <t>ARR-001</t>
        </is>
      </c>
      <c r="Q248" t="inlineStr">
        <is>
          <t>Arroz blanco 5lb</t>
        </is>
      </c>
      <c r="R248" t="inlineStr">
        <is>
          <t>Abarrotes</t>
        </is>
      </c>
      <c r="S248" t="inlineStr">
        <is>
          <t>Granos del Pacífico</t>
        </is>
      </c>
      <c r="T248" t="inlineStr">
        <is>
          <t>2234-8890</t>
        </is>
      </c>
      <c r="U248" t="n">
        <v>3.95</v>
      </c>
      <c r="V248" t="n">
        <v>1</v>
      </c>
      <c r="W248" t="n">
        <v>0</v>
      </c>
      <c r="X248">
        <f>IFERROR(U248*V248*(1-W248/100),"")</f>
        <v/>
      </c>
      <c r="Y248">
        <f>IFERROR(ROUND(X248*0.13,2),"")</f>
        <v/>
      </c>
      <c r="Z248">
        <f>IFERROR(X248+Y248,"")</f>
        <v/>
      </c>
      <c r="AA248" t="inlineStr">
        <is>
          <t>Tarjeta</t>
        </is>
      </c>
      <c r="AB248" t="inlineStr">
        <is>
          <t>pagó con billete de $100</t>
        </is>
      </c>
    </row>
    <row r="249">
      <c r="A249" t="inlineStr">
        <is>
          <t>F-10647</t>
        </is>
      </c>
      <c r="B249" t="inlineStr">
        <is>
          <t>2026-08-29</t>
        </is>
      </c>
      <c r="C249" t="inlineStr">
        <is>
          <t>FCF</t>
        </is>
      </c>
      <c r="D249" t="inlineStr">
        <is>
          <t>LL02</t>
        </is>
      </c>
      <c r="E249" t="inlineStr">
        <is>
          <t>Puerto de La Libertad</t>
        </is>
      </c>
      <c r="F249" t="inlineStr">
        <is>
          <t>Calle El Malecón, Local 4</t>
        </is>
      </c>
      <c r="G249" t="inlineStr">
        <is>
          <t>La Libertad</t>
        </is>
      </c>
      <c r="H249" t="inlineStr">
        <is>
          <t>La Libertad</t>
        </is>
      </c>
      <c r="I249" t="inlineStr">
        <is>
          <t>Wendy Aguilar</t>
        </is>
      </c>
      <c r="J249" t="inlineStr">
        <is>
          <t>2335-6140</t>
        </is>
      </c>
      <c r="K249" t="inlineStr">
        <is>
          <t>Gabriela Saravia</t>
        </is>
      </c>
      <c r="L249" t="inlineStr">
        <is>
          <t>Silvia Cornejo Guevara</t>
        </is>
      </c>
      <c r="M249" t="inlineStr">
        <is>
          <t>01953672-6</t>
        </is>
      </c>
      <c r="N249" t="inlineStr">
        <is>
          <t>7921-9045</t>
        </is>
      </c>
      <c r="O249" t="inlineStr">
        <is>
          <t>Consumidor final</t>
        </is>
      </c>
      <c r="P249" t="inlineStr">
        <is>
          <t>BEB-003</t>
        </is>
      </c>
      <c r="Q249" t="inlineStr">
        <is>
          <t>Horchata en polvo 400g</t>
        </is>
      </c>
      <c r="R249" t="inlineStr">
        <is>
          <t>Bebidas</t>
        </is>
      </c>
      <c r="S249" t="inlineStr">
        <is>
          <t>Bebidas Izalco</t>
        </is>
      </c>
      <c r="T249" t="inlineStr">
        <is>
          <t>2450-7700</t>
        </is>
      </c>
      <c r="U249" t="n">
        <v>2.6</v>
      </c>
      <c r="V249" t="n">
        <v>24</v>
      </c>
      <c r="W249" t="n">
        <v>0</v>
      </c>
      <c r="X249">
        <f>IFERROR(U249*V249*(1-W249/100),"")</f>
        <v/>
      </c>
      <c r="Y249">
        <f>IFERROR(ROUND(X249*0.13,2),"")</f>
        <v/>
      </c>
      <c r="Z249">
        <f>IFERROR(X249+Y249,"")</f>
        <v/>
      </c>
      <c r="AA249" t="inlineStr">
        <is>
          <t>Tarjeta</t>
        </is>
      </c>
      <c r="AB249" t="inlineStr"/>
    </row>
    <row r="250">
      <c r="A250" t="inlineStr">
        <is>
          <t>F-10647</t>
        </is>
      </c>
      <c r="B250" t="inlineStr">
        <is>
          <t>2026-08-29</t>
        </is>
      </c>
      <c r="C250" t="inlineStr">
        <is>
          <t>FCF</t>
        </is>
      </c>
      <c r="D250" t="inlineStr">
        <is>
          <t>LL02</t>
        </is>
      </c>
      <c r="E250" t="inlineStr">
        <is>
          <t>Pto. La Libertad</t>
        </is>
      </c>
      <c r="F250" t="inlineStr">
        <is>
          <t>Calle El Malecón, Local 4</t>
        </is>
      </c>
      <c r="G250" t="inlineStr">
        <is>
          <t>La Libertad</t>
        </is>
      </c>
      <c r="H250" t="inlineStr">
        <is>
          <t>La Libertad</t>
        </is>
      </c>
      <c r="I250" t="inlineStr">
        <is>
          <t>Wendy Aguilar</t>
        </is>
      </c>
      <c r="J250" t="inlineStr">
        <is>
          <t>2335-6140</t>
        </is>
      </c>
      <c r="K250" t="inlineStr">
        <is>
          <t>Gabriela Saravia</t>
        </is>
      </c>
      <c r="L250" t="inlineStr">
        <is>
          <t>Silvia Cornejo Guevara</t>
        </is>
      </c>
      <c r="M250" t="inlineStr">
        <is>
          <t>01953672-6</t>
        </is>
      </c>
      <c r="N250" t="inlineStr">
        <is>
          <t>7921-9045</t>
        </is>
      </c>
      <c r="O250" t="inlineStr">
        <is>
          <t>Consumidor final</t>
        </is>
      </c>
      <c r="P250" t="inlineStr">
        <is>
          <t>CAF-002</t>
        </is>
      </c>
      <c r="Q250" t="inlineStr">
        <is>
          <t>Café en grano 1lb</t>
        </is>
      </c>
      <c r="R250" t="inlineStr">
        <is>
          <t>Abarrotes</t>
        </is>
      </c>
      <c r="S250" t="inlineStr">
        <is>
          <t>Café Volcán S.A.</t>
        </is>
      </c>
      <c r="T250" t="inlineStr">
        <is>
          <t>2510-3344</t>
        </is>
      </c>
      <c r="U250" t="n">
        <v>6.75</v>
      </c>
      <c r="V250" t="n">
        <v>1</v>
      </c>
      <c r="W250" t="n">
        <v>0</v>
      </c>
      <c r="X250">
        <f>IFERROR(U250*V250*(1-W250/100),"")</f>
        <v/>
      </c>
      <c r="Y250">
        <f>IFERROR(ROUND(X250*0.13,2),"")</f>
        <v/>
      </c>
      <c r="Z250">
        <f>IFERROR(X250+Y250,"")</f>
        <v/>
      </c>
      <c r="AA250" t="inlineStr">
        <is>
          <t>Tarjeta</t>
        </is>
      </c>
      <c r="AB250" t="inlineStr">
        <is>
          <t>entregar en bodega</t>
        </is>
      </c>
    </row>
    <row r="251">
      <c r="A251" t="inlineStr">
        <is>
          <t>F-10649</t>
        </is>
      </c>
      <c r="B251" t="inlineStr">
        <is>
          <t>16/07/2026</t>
        </is>
      </c>
      <c r="C251" t="inlineStr">
        <is>
          <t>Factura</t>
        </is>
      </c>
      <c r="D251" t="inlineStr">
        <is>
          <t>SS02</t>
        </is>
      </c>
      <c r="E251" t="inlineStr">
        <is>
          <t>Escalón</t>
        </is>
      </c>
      <c r="F251" t="inlineStr">
        <is>
          <t>Paseo General Escalón #3910</t>
        </is>
      </c>
      <c r="G251" t="inlineStr">
        <is>
          <t>San Salvador</t>
        </is>
      </c>
      <c r="H251" t="inlineStr">
        <is>
          <t>San Salvador</t>
        </is>
      </c>
      <c r="I251" t="inlineStr">
        <is>
          <t>Claudia Menjívar</t>
        </is>
      </c>
      <c r="J251" t="inlineStr">
        <is>
          <t>2264-1190</t>
        </is>
      </c>
      <c r="K251" t="inlineStr">
        <is>
          <t>Kevin Benítez</t>
        </is>
      </c>
      <c r="L251" t="inlineStr">
        <is>
          <t>Rosa Argueta Ramírez</t>
        </is>
      </c>
      <c r="M251" t="inlineStr">
        <is>
          <t>08671348-2</t>
        </is>
      </c>
      <c r="N251" t="inlineStr">
        <is>
          <t>2777-4047</t>
        </is>
      </c>
      <c r="O251" t="inlineStr">
        <is>
          <t>Consumidor final</t>
        </is>
      </c>
      <c r="P251" t="inlineStr">
        <is>
          <t>CAF-001</t>
        </is>
      </c>
      <c r="Q251" t="inlineStr">
        <is>
          <t>Café molido 400g</t>
        </is>
      </c>
      <c r="R251" t="inlineStr">
        <is>
          <t>abarrotes</t>
        </is>
      </c>
      <c r="S251" t="inlineStr">
        <is>
          <t>Café Volcán S.A.</t>
        </is>
      </c>
      <c r="T251" t="inlineStr">
        <is>
          <t>2510-3344</t>
        </is>
      </c>
      <c r="U251" t="inlineStr">
        <is>
          <t>4,25</t>
        </is>
      </c>
      <c r="V251" t="n">
        <v>2</v>
      </c>
      <c r="W251" t="n">
        <v>0</v>
      </c>
      <c r="X251">
        <f>IFERROR(U251*V251*(1-W251/100),"")</f>
        <v/>
      </c>
      <c r="Y251">
        <f>IFERROR(ROUND(X251*0.13,2),"")</f>
        <v/>
      </c>
      <c r="Z251">
        <f>IFERROR(X251+Y251,"")</f>
        <v/>
      </c>
      <c r="AA251" t="inlineStr">
        <is>
          <t>Chivo</t>
        </is>
      </c>
      <c r="AB251" t="inlineStr"/>
    </row>
    <row r="252">
      <c r="A252" t="inlineStr">
        <is>
          <t>F-10649</t>
        </is>
      </c>
      <c r="B252" s="3" t="n">
        <v>46219</v>
      </c>
      <c r="C252" t="inlineStr">
        <is>
          <t>Factura</t>
        </is>
      </c>
      <c r="D252" t="inlineStr">
        <is>
          <t>SS02</t>
        </is>
      </c>
      <c r="E252" t="inlineStr">
        <is>
          <t>Escalón</t>
        </is>
      </c>
      <c r="F252" t="inlineStr">
        <is>
          <t>Paseo General Escalón #3910</t>
        </is>
      </c>
      <c r="G252" t="inlineStr">
        <is>
          <t>San Salvador</t>
        </is>
      </c>
      <c r="H252" t="inlineStr">
        <is>
          <t>San Salvador</t>
        </is>
      </c>
      <c r="I252" t="inlineStr">
        <is>
          <t>Claudia Menjívar</t>
        </is>
      </c>
      <c r="J252" t="inlineStr">
        <is>
          <t>2264-1190</t>
        </is>
      </c>
      <c r="K252" t="inlineStr">
        <is>
          <t>Kevin Benítez</t>
        </is>
      </c>
      <c r="L252" t="inlineStr">
        <is>
          <t>Rosa Argueta Ramírez</t>
        </is>
      </c>
      <c r="M252" t="inlineStr">
        <is>
          <t>08671348-2</t>
        </is>
      </c>
      <c r="N252" t="inlineStr">
        <is>
          <t>2777-4047</t>
        </is>
      </c>
      <c r="O252" t="inlineStr">
        <is>
          <t>Consumidor final</t>
        </is>
      </c>
      <c r="P252" t="inlineStr">
        <is>
          <t>ARR-001</t>
        </is>
      </c>
      <c r="Q252" t="inlineStr">
        <is>
          <t>Arroz blanco 5lb</t>
        </is>
      </c>
      <c r="R252" t="inlineStr">
        <is>
          <t>Granos básicos</t>
        </is>
      </c>
      <c r="S252" t="inlineStr">
        <is>
          <t>Granos del Pacífico</t>
        </is>
      </c>
      <c r="T252" t="inlineStr">
        <is>
          <t>2234-8890</t>
        </is>
      </c>
      <c r="U252" t="n">
        <v>3.95</v>
      </c>
      <c r="V252" t="n">
        <v>2</v>
      </c>
      <c r="W252" t="n">
        <v>0</v>
      </c>
      <c r="X252">
        <f>IFERROR(U252*V252*(1-W252/100),"")</f>
        <v/>
      </c>
      <c r="Y252">
        <f>IFERROR(ROUND(X252*0.13,2),"")</f>
        <v/>
      </c>
      <c r="Z252">
        <f>IFERROR(X252+Y252,"")</f>
        <v/>
      </c>
      <c r="AA252" t="inlineStr">
        <is>
          <t>Chivo</t>
        </is>
      </c>
      <c r="AB252" t="inlineStr"/>
    </row>
    <row r="253">
      <c r="A253" t="inlineStr">
        <is>
          <t>F-10649</t>
        </is>
      </c>
      <c r="B253" s="3" t="n">
        <v>46219</v>
      </c>
      <c r="C253" t="inlineStr">
        <is>
          <t>Factura</t>
        </is>
      </c>
      <c r="D253" t="inlineStr">
        <is>
          <t>SS02</t>
        </is>
      </c>
      <c r="E253" t="inlineStr">
        <is>
          <t>Escalon</t>
        </is>
      </c>
      <c r="F253" t="inlineStr">
        <is>
          <t>Paseo General Escalón #3910</t>
        </is>
      </c>
      <c r="G253" t="inlineStr">
        <is>
          <t>San Salvador</t>
        </is>
      </c>
      <c r="H253" t="inlineStr">
        <is>
          <t>San Salvador</t>
        </is>
      </c>
      <c r="I253" t="inlineStr">
        <is>
          <t>Claudia Menjívar</t>
        </is>
      </c>
      <c r="J253" t="inlineStr">
        <is>
          <t>2264-1190</t>
        </is>
      </c>
      <c r="K253" t="inlineStr">
        <is>
          <t>Kevin Benítez</t>
        </is>
      </c>
      <c r="L253" t="inlineStr">
        <is>
          <t>Rosa Argueta Ramírez</t>
        </is>
      </c>
      <c r="M253" t="inlineStr">
        <is>
          <t>08671348-2</t>
        </is>
      </c>
      <c r="N253" t="inlineStr">
        <is>
          <t>2777-4047</t>
        </is>
      </c>
      <c r="O253" t="inlineStr">
        <is>
          <t>Consumidor final</t>
        </is>
      </c>
      <c r="P253" t="inlineStr">
        <is>
          <t>CAF-002</t>
        </is>
      </c>
      <c r="Q253" t="inlineStr">
        <is>
          <t>Café en grano 1lb</t>
        </is>
      </c>
      <c r="R253" t="inlineStr">
        <is>
          <t>Abarrotes</t>
        </is>
      </c>
      <c r="S253" t="inlineStr">
        <is>
          <t>Café Volcán S.A.</t>
        </is>
      </c>
      <c r="T253" t="inlineStr">
        <is>
          <t>2510-3344</t>
        </is>
      </c>
      <c r="U253" t="inlineStr">
        <is>
          <t>6,75</t>
        </is>
      </c>
      <c r="V253" t="n">
        <v>24</v>
      </c>
      <c r="W253" t="n">
        <v>0</v>
      </c>
      <c r="X253">
        <f>IFERROR(U253*V253*(1-W253/100),"")</f>
        <v/>
      </c>
      <c r="Y253">
        <f>IFERROR(ROUND(X253*0.13,2),"")</f>
        <v/>
      </c>
      <c r="Z253">
        <f>IFERROR(X253+Y253,"")</f>
        <v/>
      </c>
      <c r="AA253" t="inlineStr">
        <is>
          <t>Chivo</t>
        </is>
      </c>
      <c r="AB253" t="inlineStr">
        <is>
          <t>precio especial autorizado por gerente</t>
        </is>
      </c>
    </row>
    <row r="254">
      <c r="A254" t="inlineStr">
        <is>
          <t>F-10649</t>
        </is>
      </c>
      <c r="B254" s="3" t="n">
        <v>46219</v>
      </c>
      <c r="C254" t="inlineStr">
        <is>
          <t>Factura</t>
        </is>
      </c>
      <c r="D254" t="inlineStr">
        <is>
          <t>SS02</t>
        </is>
      </c>
      <c r="E254" t="inlineStr">
        <is>
          <t>Escalon</t>
        </is>
      </c>
      <c r="F254" t="inlineStr">
        <is>
          <t>Paseo General Escalón #3910</t>
        </is>
      </c>
      <c r="G254" t="inlineStr">
        <is>
          <t>San Salvador</t>
        </is>
      </c>
      <c r="H254" t="inlineStr">
        <is>
          <t>San Salvador</t>
        </is>
      </c>
      <c r="I254" t="inlineStr">
        <is>
          <t>Claudia Menjívar</t>
        </is>
      </c>
      <c r="J254" t="inlineStr">
        <is>
          <t>2264-1190</t>
        </is>
      </c>
      <c r="K254" t="inlineStr">
        <is>
          <t>Kevin Benítez</t>
        </is>
      </c>
      <c r="L254" t="inlineStr">
        <is>
          <t>Rosa Argueta Ramírez</t>
        </is>
      </c>
      <c r="M254" t="inlineStr">
        <is>
          <t>08671348-2</t>
        </is>
      </c>
      <c r="N254" t="inlineStr">
        <is>
          <t>2777-4047</t>
        </is>
      </c>
      <c r="O254" t="inlineStr">
        <is>
          <t>Consumidor final</t>
        </is>
      </c>
      <c r="P254" t="inlineStr">
        <is>
          <t>BEB-003</t>
        </is>
      </c>
      <c r="Q254" t="inlineStr">
        <is>
          <t>Horchata en polvo 400g</t>
        </is>
      </c>
      <c r="R254" t="inlineStr">
        <is>
          <t>Abarrotes</t>
        </is>
      </c>
      <c r="S254" t="inlineStr">
        <is>
          <t>Bebidas Izalco</t>
        </is>
      </c>
      <c r="T254" t="inlineStr">
        <is>
          <t>2450-7700</t>
        </is>
      </c>
      <c r="U254" t="n">
        <v>2.6</v>
      </c>
      <c r="V254" t="n">
        <v>2</v>
      </c>
      <c r="W254" t="n">
        <v>0</v>
      </c>
      <c r="X254">
        <f>IFERROR(U254*V254*(1-W254/100),"")</f>
        <v/>
      </c>
      <c r="Y254">
        <f>IFERROR(ROUND(X254*0.13,2),"")</f>
        <v/>
      </c>
      <c r="Z254">
        <f>IFERROR(X254+Y254,"")</f>
        <v/>
      </c>
      <c r="AA254" t="inlineStr">
        <is>
          <t>Chivo</t>
        </is>
      </c>
      <c r="AB254" t="inlineStr">
        <is>
          <t>Llamar al 7788-1234 antes de entregar</t>
        </is>
      </c>
    </row>
    <row r="255">
      <c r="A255" t="inlineStr">
        <is>
          <t>F-10652</t>
        </is>
      </c>
      <c r="B255" s="3" t="n">
        <v>46264</v>
      </c>
      <c r="C255" t="inlineStr">
        <is>
          <t>Factura</t>
        </is>
      </c>
      <c r="D255" t="inlineStr">
        <is>
          <t>LL01</t>
        </is>
      </c>
      <c r="E255" t="inlineStr">
        <is>
          <t>SANTA TECLA</t>
        </is>
      </c>
      <c r="F255" t="inlineStr">
        <is>
          <t>Calle Daniel Hernández #18</t>
        </is>
      </c>
      <c r="G255" t="inlineStr">
        <is>
          <t>Santa Tecla</t>
        </is>
      </c>
      <c r="H255" t="inlineStr">
        <is>
          <t>La Libertad</t>
        </is>
      </c>
      <c r="I255" t="inlineStr">
        <is>
          <t>Óscar Rivas</t>
        </is>
      </c>
      <c r="J255" t="inlineStr">
        <is>
          <t>2228-7731</t>
        </is>
      </c>
      <c r="K255" t="inlineStr">
        <is>
          <t>Andrea Pineda</t>
        </is>
      </c>
      <c r="L255" t="inlineStr">
        <is>
          <t>Walter Mejía Castillo</t>
        </is>
      </c>
      <c r="M255" t="inlineStr">
        <is>
          <t>02326285-9</t>
        </is>
      </c>
      <c r="N255" t="inlineStr">
        <is>
          <t>2959-3937</t>
        </is>
      </c>
      <c r="O255" t="inlineStr">
        <is>
          <t>Consumidor final</t>
        </is>
      </c>
      <c r="P255" t="inlineStr">
        <is>
          <t>HAR-001</t>
        </is>
      </c>
      <c r="Q255" t="inlineStr">
        <is>
          <t>Harina de maíz 2lb</t>
        </is>
      </c>
      <c r="R255" t="inlineStr">
        <is>
          <t>Abarrotes</t>
        </is>
      </c>
      <c r="S255" t="inlineStr">
        <is>
          <t>Granos del Pacífico</t>
        </is>
      </c>
      <c r="T255" t="inlineStr">
        <is>
          <t>2234-8890</t>
        </is>
      </c>
      <c r="U255" t="n">
        <v>1.35</v>
      </c>
      <c r="V255" t="n">
        <v>1</v>
      </c>
      <c r="W255" t="n">
        <v>0</v>
      </c>
      <c r="X255">
        <f>IFERROR(U255*V255*(1-W255/100),"")</f>
        <v/>
      </c>
      <c r="Y255">
        <f>IFERROR(ROUND(X255*0.13,2),"")</f>
        <v/>
      </c>
      <c r="Z255">
        <f>IFERROR(X255+Y255,"")</f>
        <v/>
      </c>
      <c r="AA255" t="inlineStr">
        <is>
          <t>Transferencia</t>
        </is>
      </c>
      <c r="AB255" t="inlineStr">
        <is>
          <t>precio especial autorizado por gerente</t>
        </is>
      </c>
    </row>
    <row r="256">
      <c r="A256" t="inlineStr">
        <is>
          <t>F-10652</t>
        </is>
      </c>
      <c r="B256" s="3" t="n">
        <v>46264</v>
      </c>
      <c r="C256" t="inlineStr">
        <is>
          <t>Factura</t>
        </is>
      </c>
      <c r="D256" t="inlineStr">
        <is>
          <t>LL01</t>
        </is>
      </c>
      <c r="E256" t="inlineStr">
        <is>
          <t>SANTA TECLA</t>
        </is>
      </c>
      <c r="F256" t="inlineStr">
        <is>
          <t>Calle Daniel Hernández #18</t>
        </is>
      </c>
      <c r="G256" t="inlineStr">
        <is>
          <t>Santa Tecla</t>
        </is>
      </c>
      <c r="H256" t="inlineStr">
        <is>
          <t>La Libertad</t>
        </is>
      </c>
      <c r="I256" t="inlineStr">
        <is>
          <t>Óscar Rivas</t>
        </is>
      </c>
      <c r="J256" t="inlineStr">
        <is>
          <t>2228-7731</t>
        </is>
      </c>
      <c r="K256" t="inlineStr">
        <is>
          <t>Andrea Pineda</t>
        </is>
      </c>
      <c r="L256" t="inlineStr">
        <is>
          <t>Walter Mejía Castillo</t>
        </is>
      </c>
      <c r="M256" t="inlineStr">
        <is>
          <t>02326285-9</t>
        </is>
      </c>
      <c r="N256" t="inlineStr">
        <is>
          <t>2959-3937</t>
        </is>
      </c>
      <c r="O256" t="inlineStr">
        <is>
          <t>Consumidor final</t>
        </is>
      </c>
      <c r="P256" t="inlineStr">
        <is>
          <t>BEB-001</t>
        </is>
      </c>
      <c r="Q256" t="inlineStr">
        <is>
          <t>Gaseosa 2.5L</t>
        </is>
      </c>
      <c r="R256" t="inlineStr">
        <is>
          <t>Bebidas</t>
        </is>
      </c>
      <c r="S256" t="inlineStr">
        <is>
          <t>Bebidas Izalco</t>
        </is>
      </c>
      <c r="T256" t="inlineStr">
        <is>
          <t>2450-7700</t>
        </is>
      </c>
      <c r="U256" t="inlineStr">
        <is>
          <t>1,95</t>
        </is>
      </c>
      <c r="V256" t="n">
        <v>12</v>
      </c>
      <c r="W256" t="n">
        <v>0</v>
      </c>
      <c r="X256">
        <f>IFERROR(U256*V256*(1-W256/100),"")</f>
        <v/>
      </c>
      <c r="Y256">
        <f>IFERROR(ROUND(X256*0.13,2),"")</f>
        <v/>
      </c>
      <c r="Z256">
        <f>IFERROR(X256+Y256,"")</f>
        <v/>
      </c>
      <c r="AA256" t="inlineStr">
        <is>
          <t>Transferencia</t>
        </is>
      </c>
      <c r="AB256" t="inlineStr">
        <is>
          <t>pagó con billete de $100</t>
        </is>
      </c>
    </row>
    <row r="257">
      <c r="A257" t="inlineStr">
        <is>
          <t>F-10652</t>
        </is>
      </c>
      <c r="B257" s="3" t="n">
        <v>46264</v>
      </c>
      <c r="C257" t="inlineStr">
        <is>
          <t>Factura</t>
        </is>
      </c>
      <c r="D257" t="inlineStr">
        <is>
          <t>LL01</t>
        </is>
      </c>
      <c r="E257" t="inlineStr">
        <is>
          <t>Sta. Tecla</t>
        </is>
      </c>
      <c r="F257" t="inlineStr">
        <is>
          <t>Calle Daniel Hernández #18</t>
        </is>
      </c>
      <c r="G257" t="inlineStr">
        <is>
          <t>Santa Tecla</t>
        </is>
      </c>
      <c r="H257" t="inlineStr">
        <is>
          <t>La Libertad</t>
        </is>
      </c>
      <c r="I257" t="inlineStr">
        <is>
          <t>Óscar Rivas</t>
        </is>
      </c>
      <c r="J257" t="inlineStr">
        <is>
          <t>2228-7731</t>
        </is>
      </c>
      <c r="K257" t="inlineStr">
        <is>
          <t>Andrea Pineda</t>
        </is>
      </c>
      <c r="L257" t="inlineStr">
        <is>
          <t>WALTER MEJÍA CASTILLO</t>
        </is>
      </c>
      <c r="M257" t="inlineStr">
        <is>
          <t>02326285-9</t>
        </is>
      </c>
      <c r="N257" t="inlineStr">
        <is>
          <t>2959-3937</t>
        </is>
      </c>
      <c r="O257" t="inlineStr">
        <is>
          <t>Consumidor final</t>
        </is>
      </c>
      <c r="P257" t="inlineStr">
        <is>
          <t>HIG-002</t>
        </is>
      </c>
      <c r="Q257" t="inlineStr">
        <is>
          <t>Papel higiénico 4 rollos</t>
        </is>
      </c>
      <c r="R257" t="inlineStr">
        <is>
          <t>Limpieza</t>
        </is>
      </c>
      <c r="S257" t="inlineStr">
        <is>
          <t>Higiene Total C.A.</t>
        </is>
      </c>
      <c r="T257" t="inlineStr">
        <is>
          <t>2207-5566</t>
        </is>
      </c>
      <c r="U257" t="inlineStr">
        <is>
          <t>2,15</t>
        </is>
      </c>
      <c r="V257" t="n">
        <v>1</v>
      </c>
      <c r="W257" t="n">
        <v>0</v>
      </c>
      <c r="X257">
        <f>IFERROR(U257*V257*(1-W257/100),"")</f>
        <v/>
      </c>
      <c r="Y257">
        <f>IFERROR(ROUND(X257*0.13,2),"")</f>
        <v/>
      </c>
      <c r="Z257">
        <f>IFERROR(X257+Y257,"")</f>
        <v/>
      </c>
      <c r="AA257" t="inlineStr">
        <is>
          <t>Transferencia</t>
        </is>
      </c>
      <c r="AB257" t="inlineStr">
        <is>
          <t>precio especial autorizado por gerente</t>
        </is>
      </c>
    </row>
    <row r="258">
      <c r="A258" t="inlineStr">
        <is>
          <t>F-10654</t>
        </is>
      </c>
      <c r="B258" t="inlineStr">
        <is>
          <t>2026-08-24</t>
        </is>
      </c>
      <c r="C258" t="inlineStr">
        <is>
          <t>Factura</t>
        </is>
      </c>
      <c r="D258" t="inlineStr">
        <is>
          <t>SO01</t>
        </is>
      </c>
      <c r="E258" t="inlineStr">
        <is>
          <t>SONSONATE</t>
        </is>
      </c>
      <c r="F258" t="inlineStr">
        <is>
          <t>Calle Obispo Marroquín #3</t>
        </is>
      </c>
      <c r="G258" t="inlineStr">
        <is>
          <t>Sonsonate</t>
        </is>
      </c>
      <c r="H258" t="inlineStr">
        <is>
          <t>Sonsonate</t>
        </is>
      </c>
      <c r="I258" t="inlineStr">
        <is>
          <t>Ernesto Chávez</t>
        </is>
      </c>
      <c r="J258" t="inlineStr">
        <is>
          <t>2451-2288</t>
        </is>
      </c>
      <c r="K258" t="inlineStr">
        <is>
          <t>Ricardo Funes</t>
        </is>
      </c>
      <c r="L258" t="inlineStr">
        <is>
          <t>Carmen Flores Sorto</t>
        </is>
      </c>
      <c r="M258" t="inlineStr"/>
      <c r="N258" t="inlineStr">
        <is>
          <t>2462-9572</t>
        </is>
      </c>
      <c r="O258" t="inlineStr">
        <is>
          <t>Consumidor final</t>
        </is>
      </c>
      <c r="P258" t="inlineStr">
        <is>
          <t>LAC-001</t>
        </is>
      </c>
      <c r="Q258" t="inlineStr">
        <is>
          <t>Quesillo 1lb</t>
        </is>
      </c>
      <c r="R258" t="inlineStr">
        <is>
          <t>Lacteos</t>
        </is>
      </c>
      <c r="S258" t="inlineStr">
        <is>
          <t>Lácteos Chalate</t>
        </is>
      </c>
      <c r="T258" t="inlineStr">
        <is>
          <t>2335-1020</t>
        </is>
      </c>
      <c r="U258" t="inlineStr">
        <is>
          <t>$3.80</t>
        </is>
      </c>
      <c r="V258" t="n">
        <v>1</v>
      </c>
      <c r="W258" t="n">
        <v>0</v>
      </c>
      <c r="X258">
        <f>IFERROR(U258*V258*(1-W258/100),"")</f>
        <v/>
      </c>
      <c r="Y258">
        <f>IFERROR(ROUND(X258*0.13,2),"")</f>
        <v/>
      </c>
      <c r="Z258">
        <f>IFERROR(X258+Y258,"")</f>
        <v/>
      </c>
      <c r="AA258" t="inlineStr">
        <is>
          <t>Efectivo</t>
        </is>
      </c>
      <c r="AB258" t="inlineStr">
        <is>
          <t>pagó con billete de $100</t>
        </is>
      </c>
    </row>
    <row r="259">
      <c r="A259" t="inlineStr">
        <is>
          <t>10654</t>
        </is>
      </c>
      <c r="B259" t="inlineStr">
        <is>
          <t>24-Aug-26</t>
        </is>
      </c>
      <c r="C259" t="inlineStr">
        <is>
          <t>Factura</t>
        </is>
      </c>
      <c r="D259" t="inlineStr">
        <is>
          <t>SO01</t>
        </is>
      </c>
      <c r="E259" t="inlineStr">
        <is>
          <t>SONSONATE</t>
        </is>
      </c>
      <c r="F259" t="inlineStr">
        <is>
          <t>Calle Obispo Marroquín #3</t>
        </is>
      </c>
      <c r="G259" t="inlineStr">
        <is>
          <t>Sonsonate</t>
        </is>
      </c>
      <c r="H259" t="inlineStr">
        <is>
          <t>Sonsonate</t>
        </is>
      </c>
      <c r="I259" t="inlineStr">
        <is>
          <t>Ernesto Chávez</t>
        </is>
      </c>
      <c r="J259" t="inlineStr">
        <is>
          <t>2451-2288</t>
        </is>
      </c>
      <c r="K259" t="inlineStr">
        <is>
          <t>Ricardo Funes</t>
        </is>
      </c>
      <c r="L259" t="inlineStr">
        <is>
          <t>Carmen Flores Sorto</t>
        </is>
      </c>
      <c r="M259" t="inlineStr"/>
      <c r="N259" t="inlineStr">
        <is>
          <t>2462-9572</t>
        </is>
      </c>
      <c r="O259" t="inlineStr">
        <is>
          <t>Consumidor final</t>
        </is>
      </c>
      <c r="P259" t="inlineStr">
        <is>
          <t>PAN-001</t>
        </is>
      </c>
      <c r="Q259" t="inlineStr">
        <is>
          <t>Pan francés bolsa 10u</t>
        </is>
      </c>
      <c r="R259" t="inlineStr">
        <is>
          <t>Panadería</t>
        </is>
      </c>
      <c r="S259" t="inlineStr">
        <is>
          <t>Panificadora Ilopango</t>
        </is>
      </c>
      <c r="T259" t="inlineStr">
        <is>
          <t>2295-0081</t>
        </is>
      </c>
      <c r="U259" t="n">
        <v>1</v>
      </c>
      <c r="V259" t="n">
        <v>4</v>
      </c>
      <c r="W259" t="n">
        <v>0</v>
      </c>
      <c r="X259">
        <f>IFERROR(U259*V259*(1-W259/100),"")</f>
        <v/>
      </c>
      <c r="Y259">
        <f>IFERROR(ROUND(X259*0.13,2),"")</f>
        <v/>
      </c>
      <c r="Z259">
        <f>IFERROR(X259+Y259,"")</f>
        <v/>
      </c>
      <c r="AA259" t="inlineStr">
        <is>
          <t>Efectivo</t>
        </is>
      </c>
      <c r="AB259" t="inlineStr"/>
    </row>
    <row r="260">
      <c r="A260" t="inlineStr">
        <is>
          <t>F-10654</t>
        </is>
      </c>
      <c r="B260" t="inlineStr">
        <is>
          <t>24/08/2026</t>
        </is>
      </c>
      <c r="C260" t="inlineStr">
        <is>
          <t>Factura</t>
        </is>
      </c>
      <c r="D260" t="inlineStr">
        <is>
          <t>SO01</t>
        </is>
      </c>
      <c r="E260" t="inlineStr">
        <is>
          <t>SONSONATE</t>
        </is>
      </c>
      <c r="F260" t="inlineStr">
        <is>
          <t>Calle Obispo Marroquín #3</t>
        </is>
      </c>
      <c r="G260" t="inlineStr">
        <is>
          <t>Sonsonate</t>
        </is>
      </c>
      <c r="H260" t="inlineStr">
        <is>
          <t>Sonsonate</t>
        </is>
      </c>
      <c r="I260" t="inlineStr">
        <is>
          <t>Ernesto Chávez</t>
        </is>
      </c>
      <c r="J260" t="inlineStr">
        <is>
          <t>2451-2288</t>
        </is>
      </c>
      <c r="K260" t="inlineStr">
        <is>
          <t>Ricardo Funes</t>
        </is>
      </c>
      <c r="L260" t="inlineStr">
        <is>
          <t>Carmen Flores Sorto</t>
        </is>
      </c>
      <c r="M260" t="inlineStr">
        <is>
          <t>02579994-7</t>
        </is>
      </c>
      <c r="N260" t="inlineStr">
        <is>
          <t>2462-9572</t>
        </is>
      </c>
      <c r="O260" t="inlineStr">
        <is>
          <t>Consumidor final</t>
        </is>
      </c>
      <c r="P260" t="inlineStr">
        <is>
          <t>LAC-003</t>
        </is>
      </c>
      <c r="Q260" t="inlineStr">
        <is>
          <t>Leche entera 1L</t>
        </is>
      </c>
      <c r="R260" t="inlineStr">
        <is>
          <t>Lácteos</t>
        </is>
      </c>
      <c r="S260" t="inlineStr">
        <is>
          <t>Lácteos Chalate</t>
        </is>
      </c>
      <c r="T260" t="inlineStr">
        <is>
          <t>2335-1020</t>
        </is>
      </c>
      <c r="U260" t="n">
        <v>1.2</v>
      </c>
      <c r="V260" t="n">
        <v>2</v>
      </c>
      <c r="W260" t="n">
        <v>0</v>
      </c>
      <c r="X260">
        <f>IFERROR(U260*V260*(1-W260/100),"")</f>
        <v/>
      </c>
      <c r="Y260">
        <f>IFERROR(ROUND(X260*0.13,2),"")</f>
        <v/>
      </c>
      <c r="Z260">
        <f>IFERROR(X260+Y260,"")</f>
        <v/>
      </c>
      <c r="AA260" t="inlineStr">
        <is>
          <t>Efectivo</t>
        </is>
      </c>
      <c r="AB260" t="inlineStr">
        <is>
          <t>pagó con billete de $100</t>
        </is>
      </c>
    </row>
    <row r="261">
      <c r="A261" t="inlineStr">
        <is>
          <t>F-10656</t>
        </is>
      </c>
      <c r="B261" s="3" t="n">
        <v>46295</v>
      </c>
      <c r="C261" t="inlineStr">
        <is>
          <t>FCF</t>
        </is>
      </c>
      <c r="D261" t="inlineStr">
        <is>
          <t>SS02</t>
        </is>
      </c>
      <c r="E261" t="inlineStr">
        <is>
          <t>Col. Escalón</t>
        </is>
      </c>
      <c r="F261" t="inlineStr">
        <is>
          <t>Paseo General Escalón #3910</t>
        </is>
      </c>
      <c r="G261" t="inlineStr">
        <is>
          <t>San Salvador</t>
        </is>
      </c>
      <c r="H261" t="inlineStr">
        <is>
          <t>San Salvador</t>
        </is>
      </c>
      <c r="I261" t="inlineStr">
        <is>
          <t>Claudia Menjívar</t>
        </is>
      </c>
      <c r="J261" t="inlineStr">
        <is>
          <t>2264-1190</t>
        </is>
      </c>
      <c r="K261" t="inlineStr">
        <is>
          <t>Fátima Rosales</t>
        </is>
      </c>
      <c r="L261" t="inlineStr">
        <is>
          <t>Walter García Alvarado</t>
        </is>
      </c>
      <c r="M261" t="inlineStr">
        <is>
          <t>08409777-4</t>
        </is>
      </c>
      <c r="N261" t="inlineStr">
        <is>
          <t>6398-6837</t>
        </is>
      </c>
      <c r="O261" t="inlineStr">
        <is>
          <t>Consumidor final</t>
        </is>
      </c>
      <c r="P261" t="inlineStr">
        <is>
          <t>HAR-001</t>
        </is>
      </c>
      <c r="Q261" t="inlineStr">
        <is>
          <t>Harina de maíz 2lb</t>
        </is>
      </c>
      <c r="R261" t="inlineStr">
        <is>
          <t>Abarrotes</t>
        </is>
      </c>
      <c r="S261" t="inlineStr">
        <is>
          <t>Granos del Pacífico</t>
        </is>
      </c>
      <c r="T261" t="inlineStr">
        <is>
          <t>2234-8890</t>
        </is>
      </c>
      <c r="U261" t="inlineStr">
        <is>
          <t>$1.35</t>
        </is>
      </c>
      <c r="V261" t="n">
        <v>4</v>
      </c>
      <c r="W261" t="n">
        <v>0</v>
      </c>
      <c r="X261">
        <f>IFERROR(U261*V261*(1-W261/100),"")</f>
        <v/>
      </c>
      <c r="Y261">
        <f>IFERROR(ROUND(X261*0.13,2),"")</f>
        <v/>
      </c>
      <c r="Z261">
        <f>IFERROR(X261+Y261,"")</f>
        <v/>
      </c>
      <c r="AA261" t="inlineStr">
        <is>
          <t>Bitcoin</t>
        </is>
      </c>
      <c r="AB261" t="inlineStr"/>
    </row>
    <row r="262">
      <c r="A262" t="inlineStr">
        <is>
          <t>F-10656</t>
        </is>
      </c>
      <c r="B262" s="4" t="n">
        <v>46295</v>
      </c>
      <c r="C262" t="inlineStr">
        <is>
          <t>FCF</t>
        </is>
      </c>
      <c r="D262" t="inlineStr">
        <is>
          <t>SS02</t>
        </is>
      </c>
      <c r="E262" t="inlineStr">
        <is>
          <t>Col. Escalón</t>
        </is>
      </c>
      <c r="F262" t="inlineStr">
        <is>
          <t>Paseo General Escalón #3910</t>
        </is>
      </c>
      <c r="G262" t="inlineStr">
        <is>
          <t>San Salvador</t>
        </is>
      </c>
      <c r="H262" t="inlineStr">
        <is>
          <t>San Salvador</t>
        </is>
      </c>
      <c r="I262" t="inlineStr">
        <is>
          <t>Claudia Menjívar</t>
        </is>
      </c>
      <c r="J262" t="inlineStr">
        <is>
          <t>2264-1190</t>
        </is>
      </c>
      <c r="K262" t="inlineStr">
        <is>
          <t>Fátima Rosales</t>
        </is>
      </c>
      <c r="L262" t="inlineStr">
        <is>
          <t>Walter García Alvarado</t>
        </is>
      </c>
      <c r="M262" t="inlineStr">
        <is>
          <t>08409777-4</t>
        </is>
      </c>
      <c r="N262" t="inlineStr">
        <is>
          <t>6398-6837</t>
        </is>
      </c>
      <c r="O262" t="inlineStr">
        <is>
          <t>Consumidor final</t>
        </is>
      </c>
      <c r="P262" t="inlineStr">
        <is>
          <t>HAR-001</t>
        </is>
      </c>
      <c r="Q262" t="inlineStr">
        <is>
          <t>Harina de maíz 2lb</t>
        </is>
      </c>
      <c r="R262" t="inlineStr">
        <is>
          <t>Abarrotes</t>
        </is>
      </c>
      <c r="S262" t="inlineStr">
        <is>
          <t>Granos del Pacífico</t>
        </is>
      </c>
      <c r="T262" t="inlineStr">
        <is>
          <t>2234-8890</t>
        </is>
      </c>
      <c r="U262" t="inlineStr">
        <is>
          <t>$1.35</t>
        </is>
      </c>
      <c r="V262" t="n">
        <v>4</v>
      </c>
      <c r="W262" t="n">
        <v>0</v>
      </c>
      <c r="X262">
        <f>IFERROR(U262*V262*(1-W262/100),"")</f>
        <v/>
      </c>
      <c r="Y262">
        <f>IFERROR(ROUND(X262*0.13,2),"")</f>
        <v/>
      </c>
      <c r="Z262">
        <f>IFERROR(X262+Y262,"")</f>
        <v/>
      </c>
      <c r="AA262" t="inlineStr">
        <is>
          <t>Bitcoin</t>
        </is>
      </c>
      <c r="AB262" t="inlineStr"/>
    </row>
    <row r="263">
      <c r="A263" t="inlineStr">
        <is>
          <t>F-10656</t>
        </is>
      </c>
      <c r="B263" t="inlineStr">
        <is>
          <t>30/09/2026</t>
        </is>
      </c>
      <c r="C263" t="inlineStr">
        <is>
          <t>FCF</t>
        </is>
      </c>
      <c r="D263" t="inlineStr">
        <is>
          <t>SS02</t>
        </is>
      </c>
      <c r="E263" t="inlineStr">
        <is>
          <t>Escalón</t>
        </is>
      </c>
      <c r="F263" t="inlineStr">
        <is>
          <t>Paseo General Escalón #3910</t>
        </is>
      </c>
      <c r="G263" t="inlineStr">
        <is>
          <t>San Salvador</t>
        </is>
      </c>
      <c r="H263" t="inlineStr">
        <is>
          <t>San Salvador</t>
        </is>
      </c>
      <c r="I263" t="inlineStr">
        <is>
          <t>Claudia Menjívar</t>
        </is>
      </c>
      <c r="J263" t="inlineStr">
        <is>
          <t>2264-1190</t>
        </is>
      </c>
      <c r="K263" t="inlineStr">
        <is>
          <t>Fátima Rosales</t>
        </is>
      </c>
      <c r="L263" t="inlineStr">
        <is>
          <t>Walter García Alvarado</t>
        </is>
      </c>
      <c r="M263" t="inlineStr">
        <is>
          <t>08409777-4</t>
        </is>
      </c>
      <c r="N263" t="inlineStr">
        <is>
          <t>6398-6837</t>
        </is>
      </c>
      <c r="O263" t="inlineStr">
        <is>
          <t>Consumidor final</t>
        </is>
      </c>
      <c r="P263" t="inlineStr">
        <is>
          <t>FRI-001</t>
        </is>
      </c>
      <c r="Q263" t="inlineStr">
        <is>
          <t>Frijol rojo de seda 2lb</t>
        </is>
      </c>
      <c r="R263" t="inlineStr">
        <is>
          <t>Abarrotes</t>
        </is>
      </c>
      <c r="S263" t="inlineStr">
        <is>
          <t>Granos del Pacífico</t>
        </is>
      </c>
      <c r="T263" t="inlineStr">
        <is>
          <t>2234-8890</t>
        </is>
      </c>
      <c r="U263" t="inlineStr">
        <is>
          <t>2,40</t>
        </is>
      </c>
      <c r="V263" t="n">
        <v>1</v>
      </c>
      <c r="W263" t="n">
        <v>0</v>
      </c>
      <c r="X263">
        <f>IFERROR(U263*V263*(1-W263/100),"")</f>
        <v/>
      </c>
      <c r="Y263">
        <f>IFERROR(ROUND(X263*0.13,2),"")</f>
        <v/>
      </c>
      <c r="Z263">
        <f>IFERROR(X263+Y263,"")</f>
        <v/>
      </c>
      <c r="AA263" t="inlineStr">
        <is>
          <t>Bitcoin</t>
        </is>
      </c>
      <c r="AB263" t="inlineStr"/>
    </row>
    <row r="264">
      <c r="A264" t="inlineStr">
        <is>
          <t>F-10656</t>
        </is>
      </c>
      <c r="B264" s="3" t="n">
        <v>46295</v>
      </c>
      <c r="C264" t="inlineStr">
        <is>
          <t>FCF</t>
        </is>
      </c>
      <c r="D264" t="inlineStr">
        <is>
          <t>SS02</t>
        </is>
      </c>
      <c r="E264" t="inlineStr">
        <is>
          <t>Col. Escalón</t>
        </is>
      </c>
      <c r="F264" t="inlineStr">
        <is>
          <t>Paseo General Escalón #3910</t>
        </is>
      </c>
      <c r="G264" t="inlineStr">
        <is>
          <t>San Salvador</t>
        </is>
      </c>
      <c r="H264" t="inlineStr">
        <is>
          <t>San Salvador</t>
        </is>
      </c>
      <c r="I264" t="inlineStr">
        <is>
          <t>Claudia Menjívar</t>
        </is>
      </c>
      <c r="J264" t="inlineStr">
        <is>
          <t>2264-1190</t>
        </is>
      </c>
      <c r="K264" t="inlineStr">
        <is>
          <t>Fátima Rosales</t>
        </is>
      </c>
      <c r="L264" t="inlineStr">
        <is>
          <t>Walter García Alvarado</t>
        </is>
      </c>
      <c r="M264" t="inlineStr">
        <is>
          <t>08409777-4</t>
        </is>
      </c>
      <c r="N264" t="inlineStr">
        <is>
          <t>6398-6837</t>
        </is>
      </c>
      <c r="O264" t="inlineStr">
        <is>
          <t>Consumidor final</t>
        </is>
      </c>
      <c r="P264" t="inlineStr">
        <is>
          <t>HIG-003</t>
        </is>
      </c>
      <c r="Q264" t="inlineStr">
        <is>
          <t>Jabón de lavar barra</t>
        </is>
      </c>
      <c r="R264" t="inlineStr">
        <is>
          <t>Limpieza</t>
        </is>
      </c>
      <c r="S264" t="inlineStr">
        <is>
          <t>Higiene Total C.A.</t>
        </is>
      </c>
      <c r="T264" t="inlineStr">
        <is>
          <t>2207-5566</t>
        </is>
      </c>
      <c r="U264" t="n">
        <v>0.75</v>
      </c>
      <c r="V264" t="n">
        <v>4</v>
      </c>
      <c r="W264" t="n">
        <v>0</v>
      </c>
      <c r="X264">
        <f>IFERROR(U264*V264*(1-W264/100),"")</f>
        <v/>
      </c>
      <c r="Y264">
        <f>IFERROR(ROUND(X264*0.13,2),"")</f>
        <v/>
      </c>
      <c r="Z264">
        <f>IFERROR(X264+Y264,"")</f>
        <v/>
      </c>
      <c r="AA264" t="inlineStr">
        <is>
          <t>Bitcoin</t>
        </is>
      </c>
      <c r="AB264" t="inlineStr">
        <is>
          <t>precio especial autorizado por gerente</t>
        </is>
      </c>
    </row>
    <row r="265">
      <c r="A265" t="inlineStr">
        <is>
          <t>F-10657</t>
        </is>
      </c>
      <c r="B265" s="3" t="n">
        <v>46232</v>
      </c>
      <c r="C265" t="inlineStr">
        <is>
          <t>Factura</t>
        </is>
      </c>
      <c r="D265" t="inlineStr">
        <is>
          <t>SM01</t>
        </is>
      </c>
      <c r="E265" t="inlineStr">
        <is>
          <t>SAN MIGUEL</t>
        </is>
      </c>
      <c r="F265" t="inlineStr">
        <is>
          <t>Av. Roosevelt Sur #7</t>
        </is>
      </c>
      <c r="G265" t="inlineStr">
        <is>
          <t>San Miguel</t>
        </is>
      </c>
      <c r="H265" t="inlineStr">
        <is>
          <t>San Miguel</t>
        </is>
      </c>
      <c r="I265" t="inlineStr">
        <is>
          <t>Iris Portillo</t>
        </is>
      </c>
      <c r="J265" t="inlineStr">
        <is>
          <t>2661-5076</t>
        </is>
      </c>
      <c r="K265" t="inlineStr">
        <is>
          <t>Paola Cruz</t>
        </is>
      </c>
      <c r="L265" t="inlineStr">
        <is>
          <t>Rosa Argueta Ramírez</t>
        </is>
      </c>
      <c r="M265" t="inlineStr"/>
      <c r="N265" t="inlineStr">
        <is>
          <t>2777-4047</t>
        </is>
      </c>
      <c r="O265" t="inlineStr">
        <is>
          <t>Consumidor final</t>
        </is>
      </c>
      <c r="P265" t="inlineStr">
        <is>
          <t>CAF-002</t>
        </is>
      </c>
      <c r="Q265" t="inlineStr">
        <is>
          <t>Café en grano 1lb</t>
        </is>
      </c>
      <c r="R265" t="inlineStr">
        <is>
          <t>Abarrotes</t>
        </is>
      </c>
      <c r="S265" t="inlineStr">
        <is>
          <t>Café Volcán S.A.</t>
        </is>
      </c>
      <c r="T265" t="inlineStr">
        <is>
          <t>2510-3344</t>
        </is>
      </c>
      <c r="U265" t="n">
        <v>6.75</v>
      </c>
      <c r="V265" t="n">
        <v>4</v>
      </c>
      <c r="W265" t="n">
        <v>0</v>
      </c>
      <c r="X265">
        <f>IFERROR(U265*V265*(1-W265/100),"")</f>
        <v/>
      </c>
      <c r="Y265">
        <f>IFERROR(ROUND(X265*0.13,2),"")</f>
        <v/>
      </c>
      <c r="Z265">
        <f>IFERROR(X265+Y265,"")</f>
        <v/>
      </c>
      <c r="AA265" t="inlineStr">
        <is>
          <t>Tarjeta</t>
        </is>
      </c>
      <c r="AB265" t="inlineStr">
        <is>
          <t>entregar en bodega</t>
        </is>
      </c>
    </row>
    <row r="266">
      <c r="A266" t="inlineStr">
        <is>
          <t>F-10657</t>
        </is>
      </c>
      <c r="B266" s="3" t="n">
        <v>46232</v>
      </c>
      <c r="C266" t="inlineStr">
        <is>
          <t>Factura</t>
        </is>
      </c>
      <c r="D266" t="inlineStr">
        <is>
          <t>SM01</t>
        </is>
      </c>
      <c r="E266" t="inlineStr">
        <is>
          <t>S. Miguel</t>
        </is>
      </c>
      <c r="F266" t="inlineStr">
        <is>
          <t>Av. Roosevelt Sur #7</t>
        </is>
      </c>
      <c r="G266" t="inlineStr">
        <is>
          <t>San Miguel</t>
        </is>
      </c>
      <c r="H266" t="inlineStr">
        <is>
          <t>San Miguel</t>
        </is>
      </c>
      <c r="I266" t="inlineStr">
        <is>
          <t>Iris Portillo</t>
        </is>
      </c>
      <c r="J266" t="inlineStr">
        <is>
          <t>2661-5076</t>
        </is>
      </c>
      <c r="K266" t="inlineStr">
        <is>
          <t>Paola Cruz</t>
        </is>
      </c>
      <c r="L266" t="inlineStr">
        <is>
          <t>Rosa Argueta Ramírez</t>
        </is>
      </c>
      <c r="M266" t="inlineStr">
        <is>
          <t>08671348-2</t>
        </is>
      </c>
      <c r="N266" t="inlineStr">
        <is>
          <t>2777-4047</t>
        </is>
      </c>
      <c r="O266" t="inlineStr">
        <is>
          <t>Consumidor final</t>
        </is>
      </c>
      <c r="P266" t="inlineStr">
        <is>
          <t>LAC-003</t>
        </is>
      </c>
      <c r="Q266" t="inlineStr">
        <is>
          <t>Leche entera 1L</t>
        </is>
      </c>
      <c r="R266" t="inlineStr">
        <is>
          <t>Lácteos</t>
        </is>
      </c>
      <c r="S266" t="inlineStr">
        <is>
          <t>Lácteos Chalate</t>
        </is>
      </c>
      <c r="T266" t="inlineStr">
        <is>
          <t>7120-4455</t>
        </is>
      </c>
      <c r="U266" t="n">
        <v>1.2</v>
      </c>
      <c r="V266" t="n">
        <v>1</v>
      </c>
      <c r="W266" t="n">
        <v>0</v>
      </c>
      <c r="X266">
        <f>IFERROR(U266*V266*(1-W266/100),"")</f>
        <v/>
      </c>
      <c r="Y266">
        <f>IFERROR(ROUND(X266*0.13,2),"")</f>
        <v/>
      </c>
      <c r="Z266">
        <f>IFERROR(X266+Y266,"")</f>
        <v/>
      </c>
      <c r="AA266" t="inlineStr">
        <is>
          <t>Tarjeta</t>
        </is>
      </c>
      <c r="AB266" t="inlineStr"/>
    </row>
    <row r="267">
      <c r="A267" t="inlineStr">
        <is>
          <t>F-10657</t>
        </is>
      </c>
      <c r="B267" s="3" t="n">
        <v>46232</v>
      </c>
      <c r="C267" t="inlineStr">
        <is>
          <t>Factura</t>
        </is>
      </c>
      <c r="D267" t="inlineStr">
        <is>
          <t>SM01</t>
        </is>
      </c>
      <c r="E267" t="inlineStr">
        <is>
          <t>S. Miguel</t>
        </is>
      </c>
      <c r="F267" t="inlineStr">
        <is>
          <t>Av. Roosevelt Sur #7</t>
        </is>
      </c>
      <c r="G267" t="inlineStr">
        <is>
          <t>San Miguel</t>
        </is>
      </c>
      <c r="H267" t="inlineStr">
        <is>
          <t>San Miguel</t>
        </is>
      </c>
      <c r="I267" t="inlineStr">
        <is>
          <t>Iris Portillo</t>
        </is>
      </c>
      <c r="J267" t="inlineStr">
        <is>
          <t>2661-5076</t>
        </is>
      </c>
      <c r="K267" t="inlineStr">
        <is>
          <t>Paola Cruz</t>
        </is>
      </c>
      <c r="L267" t="inlineStr">
        <is>
          <t>Rosa Argueta Ramírez</t>
        </is>
      </c>
      <c r="M267" t="inlineStr">
        <is>
          <t>08671348-2</t>
        </is>
      </c>
      <c r="N267" t="inlineStr">
        <is>
          <t>2777-4047</t>
        </is>
      </c>
      <c r="O267" t="inlineStr">
        <is>
          <t>Consumidor final</t>
        </is>
      </c>
      <c r="P267" t="inlineStr">
        <is>
          <t>BEB-001</t>
        </is>
      </c>
      <c r="Q267" t="inlineStr">
        <is>
          <t>Gaseosa 2.5L</t>
        </is>
      </c>
      <c r="R267" t="inlineStr">
        <is>
          <t>Bebidas</t>
        </is>
      </c>
      <c r="S267" t="inlineStr">
        <is>
          <t>Bebidas Izalco</t>
        </is>
      </c>
      <c r="T267" t="inlineStr">
        <is>
          <t>2450-7700</t>
        </is>
      </c>
      <c r="U267" t="n">
        <v>1.95</v>
      </c>
      <c r="V267" t="n">
        <v>1</v>
      </c>
      <c r="W267" t="n">
        <v>0</v>
      </c>
      <c r="X267">
        <f>IFERROR(U267*V267*(1-W267/100),"")</f>
        <v/>
      </c>
      <c r="Y267">
        <f>IFERROR(ROUND(X267*0.13,2),"")</f>
        <v/>
      </c>
      <c r="Z267">
        <f>IFERROR(X267+Y267,"")</f>
        <v/>
      </c>
      <c r="AA267" t="inlineStr">
        <is>
          <t>Tarjeta</t>
        </is>
      </c>
      <c r="AB267" t="inlineStr"/>
    </row>
    <row r="268">
      <c r="A268" t="inlineStr">
        <is>
          <t>F-10657</t>
        </is>
      </c>
      <c r="B268" s="3" t="n">
        <v>46232</v>
      </c>
      <c r="C268" t="inlineStr">
        <is>
          <t>Factura</t>
        </is>
      </c>
      <c r="D268" t="inlineStr">
        <is>
          <t>SM01</t>
        </is>
      </c>
      <c r="E268" t="inlineStr">
        <is>
          <t>San Miguel</t>
        </is>
      </c>
      <c r="F268" t="inlineStr">
        <is>
          <t>Av. Roosevelt Sur #7</t>
        </is>
      </c>
      <c r="G268" t="inlineStr">
        <is>
          <t>San Miguel</t>
        </is>
      </c>
      <c r="H268" t="inlineStr">
        <is>
          <t>San Miguel</t>
        </is>
      </c>
      <c r="I268" t="inlineStr">
        <is>
          <t>Iris Portillo</t>
        </is>
      </c>
      <c r="J268" t="inlineStr">
        <is>
          <t>2661-5076</t>
        </is>
      </c>
      <c r="K268" t="inlineStr">
        <is>
          <t>Paola Cruz</t>
        </is>
      </c>
      <c r="L268" t="inlineStr">
        <is>
          <t>Rosa Argueta Ramírez</t>
        </is>
      </c>
      <c r="M268" t="inlineStr">
        <is>
          <t>08671348-2</t>
        </is>
      </c>
      <c r="N268" t="inlineStr">
        <is>
          <t>2777-4047</t>
        </is>
      </c>
      <c r="O268" t="inlineStr">
        <is>
          <t>Consumidor final</t>
        </is>
      </c>
      <c r="P268" t="inlineStr">
        <is>
          <t>BEB-003</t>
        </is>
      </c>
      <c r="Q268" t="inlineStr">
        <is>
          <t>Horchata en polvo 400g</t>
        </is>
      </c>
      <c r="R268" t="inlineStr">
        <is>
          <t>Bebidas</t>
        </is>
      </c>
      <c r="S268" t="inlineStr">
        <is>
          <t>Bebidas Izalco</t>
        </is>
      </c>
      <c r="T268" t="inlineStr">
        <is>
          <t>2450-7700</t>
        </is>
      </c>
      <c r="U268" t="n">
        <v>2.6</v>
      </c>
      <c r="V268" t="n">
        <v>1</v>
      </c>
      <c r="W268" t="n">
        <v>0</v>
      </c>
      <c r="X268">
        <f>IFERROR(U268*V268*(1-W268/100),"")</f>
        <v/>
      </c>
      <c r="Y268">
        <f>IFERROR(ROUND(X268*0.13,2),"")</f>
        <v/>
      </c>
      <c r="Z268">
        <f>IFERROR(X268+Y268,"")</f>
        <v/>
      </c>
      <c r="AA268" t="inlineStr">
        <is>
          <t>Tarjeta</t>
        </is>
      </c>
      <c r="AB268" t="inlineStr"/>
    </row>
    <row r="269">
      <c r="A269" t="inlineStr">
        <is>
          <t>F-10658</t>
        </is>
      </c>
      <c r="B269" s="3" t="n">
        <v>46284</v>
      </c>
      <c r="C269" t="inlineStr">
        <is>
          <t>Factura</t>
        </is>
      </c>
      <c r="D269" t="inlineStr">
        <is>
          <t>SS01</t>
        </is>
      </c>
      <c r="E269" t="inlineStr">
        <is>
          <t>S.S. Centro</t>
        </is>
      </c>
      <c r="F269" t="inlineStr">
        <is>
          <t>4a Calle Poniente #215</t>
        </is>
      </c>
      <c r="G269" t="inlineStr">
        <is>
          <t>San Salvador</t>
        </is>
      </c>
      <c r="H269" t="inlineStr">
        <is>
          <t>San Salvador</t>
        </is>
      </c>
      <c r="I269" t="inlineStr">
        <is>
          <t>Roberto Alfaro</t>
        </is>
      </c>
      <c r="J269" t="inlineStr">
        <is>
          <t>2221-4580</t>
        </is>
      </c>
      <c r="K269" t="inlineStr">
        <is>
          <t>José Martínez</t>
        </is>
      </c>
      <c r="L269" t="inlineStr">
        <is>
          <t>Patricia García Martínez</t>
        </is>
      </c>
      <c r="M269" t="inlineStr">
        <is>
          <t>02380558-6</t>
        </is>
      </c>
      <c r="N269" t="inlineStr">
        <is>
          <t>6660-5283</t>
        </is>
      </c>
      <c r="O269" t="inlineStr">
        <is>
          <t>Consumidor final</t>
        </is>
      </c>
      <c r="P269" t="inlineStr">
        <is>
          <t>BEB-002</t>
        </is>
      </c>
      <c r="Q269" t="inlineStr">
        <is>
          <t>Agua purificada 1 galón</t>
        </is>
      </c>
      <c r="R269" t="inlineStr">
        <is>
          <t>Bebidas</t>
        </is>
      </c>
      <c r="S269" t="inlineStr">
        <is>
          <t>Bebidas Izalco</t>
        </is>
      </c>
      <c r="T269" t="inlineStr">
        <is>
          <t>2450-7700</t>
        </is>
      </c>
      <c r="U269" t="n">
        <v>1.1</v>
      </c>
      <c r="V269" t="n">
        <v>1</v>
      </c>
      <c r="W269" t="n">
        <v>0</v>
      </c>
      <c r="X269">
        <f>IFERROR(U269*V269*(1-W269/100),"")</f>
        <v/>
      </c>
      <c r="Y269">
        <f>IFERROR(ROUND(X269*0.13,2),"")</f>
        <v/>
      </c>
      <c r="Z269">
        <f>IFERROR(X269+Y269,"")</f>
        <v/>
      </c>
      <c r="AA269" t="inlineStr">
        <is>
          <t>Transferencia</t>
        </is>
      </c>
      <c r="AB269" t="inlineStr"/>
    </row>
    <row r="270">
      <c r="A270" t="inlineStr">
        <is>
          <t>F-10658</t>
        </is>
      </c>
      <c r="B270" s="3" t="n">
        <v>46284</v>
      </c>
      <c r="C270" t="inlineStr">
        <is>
          <t>Factura</t>
        </is>
      </c>
      <c r="D270" t="inlineStr">
        <is>
          <t>SS01</t>
        </is>
      </c>
      <c r="E270" t="inlineStr">
        <is>
          <t xml:space="preserve">san salvador centro </t>
        </is>
      </c>
      <c r="F270" t="inlineStr">
        <is>
          <t>4a Calle Poniente #215</t>
        </is>
      </c>
      <c r="G270" t="inlineStr">
        <is>
          <t>San Salvador</t>
        </is>
      </c>
      <c r="H270" t="inlineStr">
        <is>
          <t>San Salvador</t>
        </is>
      </c>
      <c r="I270" t="inlineStr">
        <is>
          <t>Roberto Alfaro</t>
        </is>
      </c>
      <c r="J270" t="inlineStr">
        <is>
          <t>2221-4580</t>
        </is>
      </c>
      <c r="K270" t="inlineStr">
        <is>
          <t>José Martínez</t>
        </is>
      </c>
      <c r="L270" t="inlineStr">
        <is>
          <t>Patricia García Martínez</t>
        </is>
      </c>
      <c r="M270" t="inlineStr">
        <is>
          <t>02380558-6</t>
        </is>
      </c>
      <c r="N270" t="inlineStr">
        <is>
          <t>6660-5283</t>
        </is>
      </c>
      <c r="O270" t="inlineStr">
        <is>
          <t>Consumidor final</t>
        </is>
      </c>
      <c r="P270" t="inlineStr">
        <is>
          <t>HIG-002</t>
        </is>
      </c>
      <c r="Q270" t="inlineStr">
        <is>
          <t>Papel higiénico 4 rollos</t>
        </is>
      </c>
      <c r="R270" t="inlineStr">
        <is>
          <t>Limpieza</t>
        </is>
      </c>
      <c r="S270" t="inlineStr">
        <is>
          <t>Higiene Total C.A.</t>
        </is>
      </c>
      <c r="T270" t="inlineStr">
        <is>
          <t>2207-5566</t>
        </is>
      </c>
      <c r="U270" t="n">
        <v>2.15</v>
      </c>
      <c r="V270" t="n">
        <v>2</v>
      </c>
      <c r="W270" t="n">
        <v>0</v>
      </c>
      <c r="X270">
        <f>IFERROR(U270*V270*(1-W270/100),"")</f>
        <v/>
      </c>
      <c r="Y270">
        <f>IFERROR(ROUND(X270*0.13,2),"")</f>
        <v/>
      </c>
      <c r="Z270">
        <f>IFERROR(X270+Y270,"")</f>
        <v/>
      </c>
      <c r="AA270" t="inlineStr">
        <is>
          <t>Transferencia</t>
        </is>
      </c>
      <c r="AB270" t="inlineStr">
        <is>
          <t>Llamar al 7788-1234 antes de entregar</t>
        </is>
      </c>
    </row>
    <row r="271">
      <c r="A271" t="inlineStr">
        <is>
          <t>F-10658</t>
        </is>
      </c>
      <c r="B271" t="inlineStr">
        <is>
          <t>19-Sep-26</t>
        </is>
      </c>
      <c r="C271" t="inlineStr">
        <is>
          <t>Factura</t>
        </is>
      </c>
      <c r="D271" t="inlineStr">
        <is>
          <t>SS01</t>
        </is>
      </c>
      <c r="E271" t="inlineStr">
        <is>
          <t>SAN SALVADOR CENTRO</t>
        </is>
      </c>
      <c r="F271" t="inlineStr">
        <is>
          <t>4a Calle Poniente #215</t>
        </is>
      </c>
      <c r="G271" t="inlineStr">
        <is>
          <t>San Salvador</t>
        </is>
      </c>
      <c r="H271" t="inlineStr">
        <is>
          <t>San Salvador</t>
        </is>
      </c>
      <c r="I271" t="inlineStr">
        <is>
          <t>Roberto Alfaro</t>
        </is>
      </c>
      <c r="J271" t="inlineStr">
        <is>
          <t>2221-4580</t>
        </is>
      </c>
      <c r="K271" t="inlineStr">
        <is>
          <t>José Martínez</t>
        </is>
      </c>
      <c r="L271" t="inlineStr">
        <is>
          <t>Patricia García Martínez</t>
        </is>
      </c>
      <c r="M271" t="inlineStr">
        <is>
          <t>02380558-6</t>
        </is>
      </c>
      <c r="N271" t="inlineStr">
        <is>
          <t>6660-5283</t>
        </is>
      </c>
      <c r="O271" t="inlineStr">
        <is>
          <t>Consumidor final</t>
        </is>
      </c>
      <c r="P271" t="inlineStr">
        <is>
          <t>FRI-001</t>
        </is>
      </c>
      <c r="Q271" t="inlineStr">
        <is>
          <t>Frijol rojo de seda 2lb</t>
        </is>
      </c>
      <c r="R271" t="inlineStr">
        <is>
          <t>Granos básicos</t>
        </is>
      </c>
      <c r="S271" t="inlineStr">
        <is>
          <t>Granos del Pacífico</t>
        </is>
      </c>
      <c r="T271" t="inlineStr">
        <is>
          <t>2234-8890</t>
        </is>
      </c>
      <c r="U271" t="n">
        <v>2.4</v>
      </c>
      <c r="V271" t="n">
        <v>1</v>
      </c>
      <c r="W271" t="n">
        <v>0</v>
      </c>
      <c r="X271">
        <f>IFERROR(U271*V271*(1-W271/100),"")</f>
        <v/>
      </c>
      <c r="Y271">
        <f>IFERROR(ROUND(X271*0.13,2),"")</f>
        <v/>
      </c>
      <c r="Z271">
        <f>IFERROR(X271+Y271,"")</f>
        <v/>
      </c>
      <c r="AA271" t="inlineStr">
        <is>
          <t>Transferencia</t>
        </is>
      </c>
      <c r="AB271" t="inlineStr">
        <is>
          <t>Llamar al 7788-1234 antes de entregar</t>
        </is>
      </c>
    </row>
    <row r="272">
      <c r="A272" t="inlineStr">
        <is>
          <t>F-10658</t>
        </is>
      </c>
      <c r="B272" s="3" t="n">
        <v>46284</v>
      </c>
      <c r="C272" t="inlineStr">
        <is>
          <t>Factura</t>
        </is>
      </c>
      <c r="D272" t="inlineStr">
        <is>
          <t>SS01</t>
        </is>
      </c>
      <c r="E272" t="inlineStr">
        <is>
          <t>San Salvador Centro</t>
        </is>
      </c>
      <c r="F272" t="inlineStr">
        <is>
          <t>4a Calle Poniente #215</t>
        </is>
      </c>
      <c r="G272" t="inlineStr">
        <is>
          <t>San Salvador</t>
        </is>
      </c>
      <c r="H272" t="inlineStr">
        <is>
          <t>San Salvador</t>
        </is>
      </c>
      <c r="I272" t="inlineStr">
        <is>
          <t>Roberto Alfaro</t>
        </is>
      </c>
      <c r="J272" t="inlineStr">
        <is>
          <t>2221-4580</t>
        </is>
      </c>
      <c r="K272" t="inlineStr">
        <is>
          <t>José Martínez</t>
        </is>
      </c>
      <c r="L272" t="inlineStr">
        <is>
          <t>Patricia García Martínez</t>
        </is>
      </c>
      <c r="M272" t="inlineStr">
        <is>
          <t>02380558-6</t>
        </is>
      </c>
      <c r="N272" t="inlineStr">
        <is>
          <t>6660-5283</t>
        </is>
      </c>
      <c r="O272" t="inlineStr">
        <is>
          <t>Consumidor final</t>
        </is>
      </c>
      <c r="P272" t="inlineStr">
        <is>
          <t>CAF-002</t>
        </is>
      </c>
      <c r="Q272" t="inlineStr">
        <is>
          <t>Café en grano 1lb</t>
        </is>
      </c>
      <c r="R272" t="inlineStr">
        <is>
          <t>Abarrotes</t>
        </is>
      </c>
      <c r="S272" t="inlineStr">
        <is>
          <t>Café Volcán S.A.</t>
        </is>
      </c>
      <c r="T272" t="inlineStr">
        <is>
          <t>2510-3344</t>
        </is>
      </c>
      <c r="U272" t="n">
        <v>6.75</v>
      </c>
      <c r="V272" t="n">
        <v>6</v>
      </c>
      <c r="W272" t="n">
        <v>0</v>
      </c>
      <c r="X272">
        <f>IFERROR(U272*V272*(1-W272/100),"")</f>
        <v/>
      </c>
      <c r="Y272">
        <f>IFERROR(ROUND(X272*0.13,2),"")</f>
        <v/>
      </c>
      <c r="Z272">
        <f>IFERROR(X272+Y272,"")</f>
        <v/>
      </c>
      <c r="AA272" t="inlineStr">
        <is>
          <t>Transferencia</t>
        </is>
      </c>
      <c r="AB272" t="inlineStr"/>
    </row>
    <row r="273">
      <c r="A273" t="inlineStr">
        <is>
          <t>F-10661</t>
        </is>
      </c>
      <c r="B273" s="3" t="n">
        <v>46291</v>
      </c>
      <c r="C273" t="inlineStr">
        <is>
          <t>FCF</t>
        </is>
      </c>
      <c r="D273" t="inlineStr">
        <is>
          <t>SS02</t>
        </is>
      </c>
      <c r="E273" t="inlineStr">
        <is>
          <t>Escalon</t>
        </is>
      </c>
      <c r="F273" t="inlineStr">
        <is>
          <t>Paseo General Escalón #3910</t>
        </is>
      </c>
      <c r="G273" t="inlineStr">
        <is>
          <t>San Salvador</t>
        </is>
      </c>
      <c r="H273" t="inlineStr">
        <is>
          <t>San Salvador</t>
        </is>
      </c>
      <c r="I273" t="inlineStr">
        <is>
          <t>Claudia Menjívar</t>
        </is>
      </c>
      <c r="J273" t="inlineStr">
        <is>
          <t>2264-1190</t>
        </is>
      </c>
      <c r="K273" t="inlineStr">
        <is>
          <t>Fátima Rosales</t>
        </is>
      </c>
      <c r="L273" t="inlineStr">
        <is>
          <t>Silvia Argueta Mejía</t>
        </is>
      </c>
      <c r="M273" t="inlineStr">
        <is>
          <t>07045862-9</t>
        </is>
      </c>
      <c r="N273" t="inlineStr">
        <is>
          <t>6625-9486</t>
        </is>
      </c>
      <c r="O273" t="inlineStr">
        <is>
          <t>Consumidor final</t>
        </is>
      </c>
      <c r="P273" t="inlineStr">
        <is>
          <t>BEB-002</t>
        </is>
      </c>
      <c r="Q273" t="inlineStr">
        <is>
          <t>Agua purificada 1 galón</t>
        </is>
      </c>
      <c r="R273" t="inlineStr">
        <is>
          <t>Bebidas</t>
        </is>
      </c>
      <c r="S273" t="inlineStr">
        <is>
          <t>Bebidas Izalco</t>
        </is>
      </c>
      <c r="T273" t="inlineStr">
        <is>
          <t>2450-7700</t>
        </is>
      </c>
      <c r="U273" t="inlineStr">
        <is>
          <t>$1.10</t>
        </is>
      </c>
      <c r="V273" t="n">
        <v>3</v>
      </c>
      <c r="W273" t="n">
        <v>0</v>
      </c>
      <c r="X273">
        <f>IFERROR(U273*V273*(1-W273/100),"")</f>
        <v/>
      </c>
      <c r="Y273">
        <f>IFERROR(ROUND(X273*0.13,2),"")</f>
        <v/>
      </c>
      <c r="Z273">
        <f>IFERROR(X273+Y273,"")</f>
        <v/>
      </c>
      <c r="AA273" t="inlineStr">
        <is>
          <t>Efectivo</t>
        </is>
      </c>
      <c r="AB273" t="inlineStr">
        <is>
          <t>precio especial autorizado por gerente</t>
        </is>
      </c>
    </row>
    <row r="274">
      <c r="A274" t="inlineStr">
        <is>
          <t>F-10661</t>
        </is>
      </c>
      <c r="B274" s="3" t="n">
        <v>46291</v>
      </c>
      <c r="C274" t="inlineStr">
        <is>
          <t>FCF</t>
        </is>
      </c>
      <c r="D274" t="inlineStr">
        <is>
          <t>SS02</t>
        </is>
      </c>
      <c r="E274" t="inlineStr">
        <is>
          <t>Escalon</t>
        </is>
      </c>
      <c r="F274" t="inlineStr">
        <is>
          <t>Paseo General Escalón #3910</t>
        </is>
      </c>
      <c r="G274" t="inlineStr">
        <is>
          <t>San Salvador</t>
        </is>
      </c>
      <c r="H274" t="inlineStr">
        <is>
          <t>San Salvador</t>
        </is>
      </c>
      <c r="I274" t="inlineStr">
        <is>
          <t>Claudia Menjívar</t>
        </is>
      </c>
      <c r="J274" t="inlineStr">
        <is>
          <t>2264-1190</t>
        </is>
      </c>
      <c r="K274" t="inlineStr">
        <is>
          <t>Fátima Rosales</t>
        </is>
      </c>
      <c r="L274" t="inlineStr">
        <is>
          <t>Silvia Argueta Mejía</t>
        </is>
      </c>
      <c r="M274" t="inlineStr">
        <is>
          <t>07045862-9</t>
        </is>
      </c>
      <c r="N274" t="inlineStr">
        <is>
          <t>6625-9486</t>
        </is>
      </c>
      <c r="O274" t="inlineStr">
        <is>
          <t>Consumidor final</t>
        </is>
      </c>
      <c r="P274" t="inlineStr">
        <is>
          <t>LAC-002</t>
        </is>
      </c>
      <c r="Q274" t="inlineStr">
        <is>
          <t>Crema 500ml</t>
        </is>
      </c>
      <c r="R274" t="inlineStr">
        <is>
          <t>Lacteos</t>
        </is>
      </c>
      <c r="S274" t="inlineStr">
        <is>
          <t>Lácteos Chalate</t>
        </is>
      </c>
      <c r="T274" t="inlineStr">
        <is>
          <t>2335-1020</t>
        </is>
      </c>
      <c r="U274" t="n">
        <v>2.25</v>
      </c>
      <c r="V274" t="n">
        <v>1</v>
      </c>
      <c r="W274" t="n">
        <v>0</v>
      </c>
      <c r="X274">
        <f>IFERROR(U274*V274*(1-W274/100),"")</f>
        <v/>
      </c>
      <c r="Y274">
        <f>IFERROR(ROUND(X274*0.13,2),"")</f>
        <v/>
      </c>
      <c r="Z274">
        <f>IFERROR(X274+Y274,"")</f>
        <v/>
      </c>
      <c r="AA274" t="inlineStr">
        <is>
          <t>Efectivo</t>
        </is>
      </c>
      <c r="AB274" t="inlineStr">
        <is>
          <t>Cliente frecuente</t>
        </is>
      </c>
    </row>
    <row r="275">
      <c r="A275" t="inlineStr">
        <is>
          <t>F-10661</t>
        </is>
      </c>
      <c r="B275" t="inlineStr">
        <is>
          <t>2026-09-26</t>
        </is>
      </c>
      <c r="C275" t="inlineStr">
        <is>
          <t>FCF</t>
        </is>
      </c>
      <c r="D275" t="inlineStr">
        <is>
          <t>SS02</t>
        </is>
      </c>
      <c r="E275" t="inlineStr">
        <is>
          <t>Col. Escalón</t>
        </is>
      </c>
      <c r="F275" t="inlineStr">
        <is>
          <t>Paseo General Escalón #3910</t>
        </is>
      </c>
      <c r="G275" t="inlineStr">
        <is>
          <t>San Salvador</t>
        </is>
      </c>
      <c r="H275" t="inlineStr">
        <is>
          <t>San Salvador</t>
        </is>
      </c>
      <c r="I275" t="inlineStr">
        <is>
          <t>Claudia Menjívar</t>
        </is>
      </c>
      <c r="J275" t="inlineStr">
        <is>
          <t>2264-1190</t>
        </is>
      </c>
      <c r="K275" t="inlineStr">
        <is>
          <t>Fátima Rosales</t>
        </is>
      </c>
      <c r="L275" t="inlineStr">
        <is>
          <t>Silvia Argueta Mejía</t>
        </is>
      </c>
      <c r="M275" t="inlineStr">
        <is>
          <t>07045862-9</t>
        </is>
      </c>
      <c r="N275" t="inlineStr">
        <is>
          <t>6625-9486</t>
        </is>
      </c>
      <c r="O275" t="inlineStr">
        <is>
          <t>Consumidor final</t>
        </is>
      </c>
      <c r="P275" t="inlineStr">
        <is>
          <t>LAC-003</t>
        </is>
      </c>
      <c r="Q275" t="inlineStr">
        <is>
          <t>Leche entera 1L</t>
        </is>
      </c>
      <c r="R275" t="inlineStr">
        <is>
          <t>Lácteos</t>
        </is>
      </c>
      <c r="S275" t="inlineStr">
        <is>
          <t>Lácteos Chalate</t>
        </is>
      </c>
      <c r="T275" t="inlineStr">
        <is>
          <t>2335-1020</t>
        </is>
      </c>
      <c r="U275" t="n">
        <v>1.2</v>
      </c>
      <c r="V275" t="n">
        <v>12</v>
      </c>
      <c r="W275" t="n">
        <v>0</v>
      </c>
      <c r="X275">
        <f>IFERROR(U275*V275*(1-W275/100),"")</f>
        <v/>
      </c>
      <c r="Y275">
        <f>IFERROR(ROUND(X275*0.13,2),"")</f>
        <v/>
      </c>
      <c r="Z275">
        <f>IFERROR(X275+Y275,"")</f>
        <v/>
      </c>
      <c r="AA275" t="inlineStr">
        <is>
          <t>Efectivo</t>
        </is>
      </c>
      <c r="AB275" t="inlineStr">
        <is>
          <t>entregar en bodega</t>
        </is>
      </c>
    </row>
    <row r="276">
      <c r="A276" t="inlineStr">
        <is>
          <t>F-10664</t>
        </is>
      </c>
      <c r="B276" s="3" t="n">
        <v>46290</v>
      </c>
      <c r="C276" t="inlineStr">
        <is>
          <t>Factura</t>
        </is>
      </c>
      <c r="D276" t="inlineStr">
        <is>
          <t>SS02</t>
        </is>
      </c>
      <c r="E276" t="inlineStr">
        <is>
          <t>Escalon</t>
        </is>
      </c>
      <c r="F276" t="inlineStr">
        <is>
          <t>Paseo General Escalón #3910</t>
        </is>
      </c>
      <c r="G276" t="inlineStr">
        <is>
          <t>San Salvador</t>
        </is>
      </c>
      <c r="H276" t="inlineStr">
        <is>
          <t>San Salvador</t>
        </is>
      </c>
      <c r="I276" t="inlineStr">
        <is>
          <t>Claudia Menjívar</t>
        </is>
      </c>
      <c r="J276" t="inlineStr">
        <is>
          <t>2264-1190</t>
        </is>
      </c>
      <c r="K276" t="inlineStr">
        <is>
          <t>Kevin Benítez</t>
        </is>
      </c>
      <c r="L276" t="inlineStr">
        <is>
          <t>Carlos Mejía García</t>
        </is>
      </c>
      <c r="M276" t="inlineStr">
        <is>
          <t>07315753-2</t>
        </is>
      </c>
      <c r="N276" t="inlineStr">
        <is>
          <t>2800-1990</t>
        </is>
      </c>
      <c r="O276" t="inlineStr">
        <is>
          <t>Consumidor final</t>
        </is>
      </c>
      <c r="P276" t="inlineStr">
        <is>
          <t>HIG-003</t>
        </is>
      </c>
      <c r="Q276" t="inlineStr">
        <is>
          <t>Jabón de lavar barra</t>
        </is>
      </c>
      <c r="R276" t="inlineStr">
        <is>
          <t>Limpieza</t>
        </is>
      </c>
      <c r="S276" t="inlineStr">
        <is>
          <t>Higiene Total C.A.</t>
        </is>
      </c>
      <c r="T276" t="inlineStr">
        <is>
          <t>2207-5566</t>
        </is>
      </c>
      <c r="U276" t="n">
        <v>0.75</v>
      </c>
      <c r="V276" t="n">
        <v>4</v>
      </c>
      <c r="W276" t="n">
        <v>0</v>
      </c>
      <c r="X276">
        <f>IFERROR(U276*V276*(1-W276/100),"")</f>
        <v/>
      </c>
      <c r="Y276">
        <f>IFERROR(ROUND(X276*0.13,2),"")</f>
        <v/>
      </c>
      <c r="Z276">
        <f>IFERROR(X276+Y276,"")</f>
        <v/>
      </c>
      <c r="AA276" t="inlineStr">
        <is>
          <t>Transferencia</t>
        </is>
      </c>
      <c r="AB276" t="inlineStr"/>
    </row>
    <row r="277">
      <c r="A277" t="inlineStr">
        <is>
          <t>F-10664</t>
        </is>
      </c>
      <c r="B277" s="3" t="n">
        <v>46290</v>
      </c>
      <c r="C277" t="inlineStr">
        <is>
          <t>Factura</t>
        </is>
      </c>
      <c r="D277" t="inlineStr">
        <is>
          <t>SS02</t>
        </is>
      </c>
      <c r="E277" t="inlineStr">
        <is>
          <t>Escalon</t>
        </is>
      </c>
      <c r="F277" t="inlineStr">
        <is>
          <t>Paseo General Escalón #3910</t>
        </is>
      </c>
      <c r="G277" t="inlineStr">
        <is>
          <t>San Salvador</t>
        </is>
      </c>
      <c r="H277" t="inlineStr">
        <is>
          <t>San Salvador</t>
        </is>
      </c>
      <c r="I277" t="inlineStr">
        <is>
          <t>Claudia Menjívar</t>
        </is>
      </c>
      <c r="J277" t="inlineStr">
        <is>
          <t>2264-1190</t>
        </is>
      </c>
      <c r="K277" t="inlineStr">
        <is>
          <t>Kevin Benítez</t>
        </is>
      </c>
      <c r="L277" t="inlineStr">
        <is>
          <t>Carlos Mejía García</t>
        </is>
      </c>
      <c r="M277" t="inlineStr"/>
      <c r="N277" t="inlineStr">
        <is>
          <t>2800-1990</t>
        </is>
      </c>
      <c r="O277" t="inlineStr">
        <is>
          <t>Consumidor final</t>
        </is>
      </c>
      <c r="P277" t="inlineStr">
        <is>
          <t>PAN-002</t>
        </is>
      </c>
      <c r="Q277" t="inlineStr">
        <is>
          <t>Semita alta</t>
        </is>
      </c>
      <c r="R277" t="inlineStr">
        <is>
          <t>Panadería</t>
        </is>
      </c>
      <c r="S277" t="inlineStr">
        <is>
          <t>Panificadora Ilopango</t>
        </is>
      </c>
      <c r="T277" t="inlineStr">
        <is>
          <t>2295-0081</t>
        </is>
      </c>
      <c r="U277" t="n">
        <v>1.75</v>
      </c>
      <c r="V277" t="n">
        <v>-4</v>
      </c>
      <c r="W277" t="n">
        <v>0</v>
      </c>
      <c r="X277">
        <f>IFERROR(U277*V277*(1-W277/100),"")</f>
        <v/>
      </c>
      <c r="Y277">
        <f>IFERROR(ROUND(X277*0.13,2),"")</f>
        <v/>
      </c>
      <c r="Z277">
        <f>IFERROR(X277+Y277,"")</f>
        <v/>
      </c>
      <c r="AA277" t="inlineStr">
        <is>
          <t>Transferencia</t>
        </is>
      </c>
      <c r="AB277" t="inlineStr">
        <is>
          <t>Llamar al 7788-1234 antes de entregar</t>
        </is>
      </c>
    </row>
    <row r="278">
      <c r="A278" t="inlineStr">
        <is>
          <t>F-10664</t>
        </is>
      </c>
      <c r="B278" s="3" t="n">
        <v>46290</v>
      </c>
      <c r="C278" t="inlineStr">
        <is>
          <t>Factura</t>
        </is>
      </c>
      <c r="D278" t="inlineStr">
        <is>
          <t>SS02</t>
        </is>
      </c>
      <c r="E278" t="inlineStr">
        <is>
          <t>Escalon</t>
        </is>
      </c>
      <c r="F278" t="inlineStr">
        <is>
          <t>Paseo General Escalón #3910</t>
        </is>
      </c>
      <c r="G278" t="inlineStr">
        <is>
          <t>San Salvador</t>
        </is>
      </c>
      <c r="H278" t="inlineStr">
        <is>
          <t>San Salvador</t>
        </is>
      </c>
      <c r="I278" t="inlineStr">
        <is>
          <t>Claudia Menjívar</t>
        </is>
      </c>
      <c r="J278" t="inlineStr">
        <is>
          <t>2264-1190</t>
        </is>
      </c>
      <c r="K278" t="inlineStr">
        <is>
          <t>Kevin Benítez</t>
        </is>
      </c>
      <c r="L278" t="inlineStr">
        <is>
          <t>Carlos Mejía García</t>
        </is>
      </c>
      <c r="M278" t="inlineStr">
        <is>
          <t>07315753-2</t>
        </is>
      </c>
      <c r="N278" t="inlineStr">
        <is>
          <t>2800-1990</t>
        </is>
      </c>
      <c r="O278" t="inlineStr">
        <is>
          <t>Consumidor final</t>
        </is>
      </c>
      <c r="P278" t="inlineStr">
        <is>
          <t>FRI-001</t>
        </is>
      </c>
      <c r="Q278" t="inlineStr">
        <is>
          <t>Frijol rojo de seda 2lb</t>
        </is>
      </c>
      <c r="R278" t="inlineStr">
        <is>
          <t>Abarrotes</t>
        </is>
      </c>
      <c r="S278" t="inlineStr">
        <is>
          <t>Granos del Pacífico</t>
        </is>
      </c>
      <c r="T278" t="inlineStr">
        <is>
          <t>2234-8890</t>
        </is>
      </c>
      <c r="U278" t="n">
        <v>2.4</v>
      </c>
      <c r="V278" t="n">
        <v>1</v>
      </c>
      <c r="W278" t="n">
        <v>0</v>
      </c>
      <c r="X278">
        <f>IFERROR(U278*V278*(1-W278/100),"")</f>
        <v/>
      </c>
      <c r="Y278">
        <f>IFERROR(ROUND(X278*0.13,2),"")</f>
        <v/>
      </c>
      <c r="Z278">
        <f>IFERROR(X278+Y278,"")</f>
        <v/>
      </c>
      <c r="AA278" t="inlineStr">
        <is>
          <t>Transferencia</t>
        </is>
      </c>
      <c r="AB278" t="inlineStr">
        <is>
          <t>Cliente frecuente</t>
        </is>
      </c>
    </row>
    <row r="279">
      <c r="A279" t="inlineStr">
        <is>
          <t>F-10667</t>
        </is>
      </c>
      <c r="B279" s="3" t="n">
        <v>46220</v>
      </c>
      <c r="C279" t="inlineStr">
        <is>
          <t>factura</t>
        </is>
      </c>
      <c r="D279" t="inlineStr">
        <is>
          <t>SS02</t>
        </is>
      </c>
      <c r="E279" t="inlineStr">
        <is>
          <t>ESCALON</t>
        </is>
      </c>
      <c r="F279" t="inlineStr">
        <is>
          <t>Paseo General Escalón #3910</t>
        </is>
      </c>
      <c r="G279" t="inlineStr">
        <is>
          <t>San Salvador</t>
        </is>
      </c>
      <c r="H279" t="inlineStr">
        <is>
          <t>San Salvador</t>
        </is>
      </c>
      <c r="I279" t="inlineStr">
        <is>
          <t>Claudia Menjívar</t>
        </is>
      </c>
      <c r="J279" t="inlineStr">
        <is>
          <t>2264-1190</t>
        </is>
      </c>
      <c r="K279" t="inlineStr">
        <is>
          <t>Fátima Rosales</t>
        </is>
      </c>
      <c r="L279" t="inlineStr">
        <is>
          <t>René Cornejo Cornejo</t>
        </is>
      </c>
      <c r="M279" t="inlineStr">
        <is>
          <t>03632979-1</t>
        </is>
      </c>
      <c r="N279" t="inlineStr">
        <is>
          <t>7833-5595</t>
        </is>
      </c>
      <c r="O279" t="inlineStr">
        <is>
          <t>Consumidor final</t>
        </is>
      </c>
      <c r="P279" t="inlineStr">
        <is>
          <t>BEB-003</t>
        </is>
      </c>
      <c r="Q279" t="inlineStr">
        <is>
          <t>Horchata en polvo 400g</t>
        </is>
      </c>
      <c r="R279" t="inlineStr">
        <is>
          <t>Bebidas</t>
        </is>
      </c>
      <c r="S279" t="inlineStr">
        <is>
          <t>Bebidas Izalco</t>
        </is>
      </c>
      <c r="T279" t="inlineStr">
        <is>
          <t>2450-7700</t>
        </is>
      </c>
      <c r="U279" t="n">
        <v>2.6</v>
      </c>
      <c r="V279" t="n">
        <v>2</v>
      </c>
      <c r="W279" t="n">
        <v>0</v>
      </c>
      <c r="X279">
        <f>IFERROR(U279*V279*(1-W279/100),"")</f>
        <v/>
      </c>
      <c r="Y279">
        <f>IFERROR(ROUND(X279*0.13,2),"")</f>
        <v/>
      </c>
      <c r="Z279">
        <f>IFERROR(X279+Y279,"")</f>
        <v/>
      </c>
      <c r="AA279" t="inlineStr">
        <is>
          <t>Efectivo</t>
        </is>
      </c>
      <c r="AB279" t="inlineStr">
        <is>
          <t>pagó con billete de $100</t>
        </is>
      </c>
    </row>
    <row r="280">
      <c r="A280" t="inlineStr">
        <is>
          <t>F-10669</t>
        </is>
      </c>
      <c r="B280" t="inlineStr">
        <is>
          <t>10/09/2026</t>
        </is>
      </c>
      <c r="C280" t="inlineStr">
        <is>
          <t>Factura</t>
        </is>
      </c>
      <c r="D280" t="inlineStr">
        <is>
          <t>SA01</t>
        </is>
      </c>
      <c r="E280" t="inlineStr">
        <is>
          <t>STA ANA</t>
        </is>
      </c>
      <c r="F280" t="inlineStr">
        <is>
          <t>Av. Independencia Sur #12</t>
        </is>
      </c>
      <c r="G280" t="inlineStr">
        <is>
          <t>Santa Ana</t>
        </is>
      </c>
      <c r="H280" t="inlineStr">
        <is>
          <t>Santa Ana</t>
        </is>
      </c>
      <c r="I280" t="inlineStr">
        <is>
          <t>Verónica Sandoval</t>
        </is>
      </c>
      <c r="J280" t="inlineStr">
        <is>
          <t>2440-9921</t>
        </is>
      </c>
      <c r="K280" t="inlineStr">
        <is>
          <t>Diego Zelaya</t>
        </is>
      </c>
      <c r="L280" t="inlineStr">
        <is>
          <t>Carlos Castillo Argueta</t>
        </is>
      </c>
      <c r="M280" t="inlineStr">
        <is>
          <t>08586960-1</t>
        </is>
      </c>
      <c r="N280" t="inlineStr">
        <is>
          <t>2715-7891</t>
        </is>
      </c>
      <c r="O280" t="inlineStr">
        <is>
          <t>Consumidor final</t>
        </is>
      </c>
      <c r="P280" t="inlineStr">
        <is>
          <t>BEB-002</t>
        </is>
      </c>
      <c r="Q280" t="inlineStr">
        <is>
          <t>Agua purificada 1 galón</t>
        </is>
      </c>
      <c r="R280" t="inlineStr">
        <is>
          <t>Bebidas</t>
        </is>
      </c>
      <c r="S280" t="inlineStr">
        <is>
          <t>Bebidas Izalco</t>
        </is>
      </c>
      <c r="T280" t="inlineStr">
        <is>
          <t>2450-7700</t>
        </is>
      </c>
      <c r="U280" t="n">
        <v>1.1</v>
      </c>
      <c r="V280" t="n">
        <v>2</v>
      </c>
      <c r="W280" t="n">
        <v>0</v>
      </c>
      <c r="X280">
        <f>IFERROR(U280*V280*(1-W280/100),"")</f>
        <v/>
      </c>
      <c r="Y280">
        <f>IFERROR(ROUND(X280*0.13,2),"")</f>
        <v/>
      </c>
      <c r="Z280">
        <f>IFERROR(X280+Y280,"")</f>
        <v/>
      </c>
      <c r="AA280" t="inlineStr">
        <is>
          <t>efectivo</t>
        </is>
      </c>
      <c r="AB280" t="inlineStr"/>
    </row>
    <row r="281">
      <c r="A281" t="inlineStr">
        <is>
          <t>F-10672</t>
        </is>
      </c>
      <c r="B281" s="3" t="n">
        <v>46220</v>
      </c>
      <c r="C281" t="inlineStr">
        <is>
          <t>CCF</t>
        </is>
      </c>
      <c r="D281" t="inlineStr">
        <is>
          <t>SS01</t>
        </is>
      </c>
      <c r="E281" t="inlineStr">
        <is>
          <t>San Salvador Centro</t>
        </is>
      </c>
      <c r="F281" t="inlineStr">
        <is>
          <t>4a Calle Poniente #215</t>
        </is>
      </c>
      <c r="G281" t="inlineStr">
        <is>
          <t>San Salvador</t>
        </is>
      </c>
      <c r="H281" t="inlineStr">
        <is>
          <t>San Salvador</t>
        </is>
      </c>
      <c r="I281" t="inlineStr">
        <is>
          <t>Roberto Alfaro</t>
        </is>
      </c>
      <c r="J281" t="inlineStr">
        <is>
          <t>2221-4580</t>
        </is>
      </c>
      <c r="K281" t="inlineStr">
        <is>
          <t>José Martínez</t>
        </is>
      </c>
      <c r="L281" t="inlineStr">
        <is>
          <t>Pupusería El Comal</t>
        </is>
      </c>
      <c r="M281" t="inlineStr">
        <is>
          <t>261664-6</t>
        </is>
      </c>
      <c r="N281" t="inlineStr">
        <is>
          <t>6293-1154</t>
        </is>
      </c>
      <c r="O281" t="inlineStr">
        <is>
          <t>Contribuyente</t>
        </is>
      </c>
      <c r="P281" t="inlineStr">
        <is>
          <t>HIG-003</t>
        </is>
      </c>
      <c r="Q281" t="inlineStr">
        <is>
          <t>Jabón de lavar barra</t>
        </is>
      </c>
      <c r="R281" t="inlineStr">
        <is>
          <t>Limpieza</t>
        </is>
      </c>
      <c r="S281" t="inlineStr">
        <is>
          <t>Higiene Total C.A.</t>
        </is>
      </c>
      <c r="T281" t="inlineStr">
        <is>
          <t>2207-5566</t>
        </is>
      </c>
      <c r="U281" t="n">
        <v>0.75</v>
      </c>
      <c r="V281" t="n">
        <v>3</v>
      </c>
      <c r="W281" t="n">
        <v>5</v>
      </c>
      <c r="X281">
        <f>IFERROR(U281*V281*(1-W281/100),"")</f>
        <v/>
      </c>
      <c r="Y281">
        <f>IFERROR(ROUND(X281*0.13,2),"")</f>
        <v/>
      </c>
      <c r="Z281">
        <f>IFERROR(X281+Y281,"")</f>
        <v/>
      </c>
      <c r="AA281" t="inlineStr">
        <is>
          <t>Transferencia</t>
        </is>
      </c>
      <c r="AB281" t="inlineStr"/>
    </row>
    <row r="282">
      <c r="A282" t="inlineStr">
        <is>
          <t>F-10673</t>
        </is>
      </c>
      <c r="B282" s="3" t="n">
        <v>46229</v>
      </c>
      <c r="C282" t="inlineStr">
        <is>
          <t>factura</t>
        </is>
      </c>
      <c r="D282" t="inlineStr">
        <is>
          <t>SM01</t>
        </is>
      </c>
      <c r="E282" t="inlineStr">
        <is>
          <t>S. Miguel</t>
        </is>
      </c>
      <c r="F282" t="inlineStr">
        <is>
          <t>Av. Roosevelt Sur #7</t>
        </is>
      </c>
      <c r="G282" t="inlineStr">
        <is>
          <t>San Miguel</t>
        </is>
      </c>
      <c r="H282" t="inlineStr">
        <is>
          <t>San Miguel</t>
        </is>
      </c>
      <c r="I282" t="inlineStr">
        <is>
          <t>Iris Portillo</t>
        </is>
      </c>
      <c r="J282" t="inlineStr">
        <is>
          <t>2661-5076</t>
        </is>
      </c>
      <c r="K282" t="inlineStr">
        <is>
          <t>Jorge Villalta</t>
        </is>
      </c>
      <c r="L282" t="inlineStr">
        <is>
          <t>Rosa López Castillo</t>
        </is>
      </c>
      <c r="M282" t="inlineStr">
        <is>
          <t>09782214-9</t>
        </is>
      </c>
      <c r="N282" t="inlineStr">
        <is>
          <t>6806-3209</t>
        </is>
      </c>
      <c r="O282" t="inlineStr">
        <is>
          <t>Consumidor final</t>
        </is>
      </c>
      <c r="P282" t="inlineStr">
        <is>
          <t>BEB-003</t>
        </is>
      </c>
      <c r="Q282" t="inlineStr">
        <is>
          <t>Horchata en polvo 400g</t>
        </is>
      </c>
      <c r="R282" t="inlineStr">
        <is>
          <t>Abarrotes</t>
        </is>
      </c>
      <c r="S282" t="inlineStr">
        <is>
          <t>Bebidas Izalco</t>
        </is>
      </c>
      <c r="T282" t="inlineStr">
        <is>
          <t>2450-7700</t>
        </is>
      </c>
      <c r="U282" t="inlineStr">
        <is>
          <t>$2.60</t>
        </is>
      </c>
      <c r="V282" t="n">
        <v>12</v>
      </c>
      <c r="W282" t="n">
        <v>0</v>
      </c>
      <c r="X282">
        <f>IFERROR(U282*V282*(1-W282/100),"")</f>
        <v/>
      </c>
      <c r="Y282">
        <f>IFERROR(ROUND(X282*0.13,2),"")</f>
        <v/>
      </c>
      <c r="Z282">
        <f>IFERROR(X282+Y282,"")</f>
        <v/>
      </c>
      <c r="AA282" t="inlineStr">
        <is>
          <t>Chivo</t>
        </is>
      </c>
      <c r="AB282" t="inlineStr"/>
    </row>
    <row r="283">
      <c r="A283" t="inlineStr">
        <is>
          <t>F-10675</t>
        </is>
      </c>
      <c r="B283" s="3" t="n">
        <v>46208</v>
      </c>
      <c r="C283" t="inlineStr">
        <is>
          <t>FCF</t>
        </is>
      </c>
      <c r="D283" t="inlineStr">
        <is>
          <t>SS02</t>
        </is>
      </c>
      <c r="E283" t="inlineStr">
        <is>
          <t>Escalon</t>
        </is>
      </c>
      <c r="F283" t="inlineStr">
        <is>
          <t>Paseo General Escalón #3910</t>
        </is>
      </c>
      <c r="G283" t="inlineStr">
        <is>
          <t>San Salvador</t>
        </is>
      </c>
      <c r="H283" t="inlineStr">
        <is>
          <t>San Salvador</t>
        </is>
      </c>
      <c r="I283" t="inlineStr">
        <is>
          <t>Claudia Menjívar</t>
        </is>
      </c>
      <c r="J283" t="inlineStr">
        <is>
          <t>2264-1190</t>
        </is>
      </c>
      <c r="K283" t="inlineStr">
        <is>
          <t>Kevin Benítez</t>
        </is>
      </c>
      <c r="L283" t="inlineStr">
        <is>
          <t>Sandra Sorto López</t>
        </is>
      </c>
      <c r="M283" t="inlineStr">
        <is>
          <t>00961529-1</t>
        </is>
      </c>
      <c r="N283" t="inlineStr">
        <is>
          <t>2123-6077</t>
        </is>
      </c>
      <c r="O283" t="inlineStr">
        <is>
          <t>Consumidor final</t>
        </is>
      </c>
      <c r="P283" t="inlineStr">
        <is>
          <t>HIG-002</t>
        </is>
      </c>
      <c r="Q283" t="inlineStr">
        <is>
          <t>Papel higiénico 4 rollos</t>
        </is>
      </c>
      <c r="R283" t="inlineStr">
        <is>
          <t>Higiene</t>
        </is>
      </c>
      <c r="S283" t="inlineStr">
        <is>
          <t>Higiene Total C.A.</t>
        </is>
      </c>
      <c r="T283" t="inlineStr">
        <is>
          <t>2207-5566</t>
        </is>
      </c>
      <c r="U283" t="n">
        <v>2.15</v>
      </c>
      <c r="V283" t="n">
        <v>4</v>
      </c>
      <c r="W283" t="n">
        <v>0</v>
      </c>
      <c r="X283">
        <f>IFERROR(U283*V283*(1-W283/100),"")</f>
        <v/>
      </c>
      <c r="Y283">
        <f>IFERROR(ROUND(X283*0.13,2),"")</f>
        <v/>
      </c>
      <c r="Z283">
        <f>IFERROR(X283+Y283,"")</f>
        <v/>
      </c>
      <c r="AA283" t="inlineStr">
        <is>
          <t>Tarjeta</t>
        </is>
      </c>
      <c r="AB283" t="inlineStr">
        <is>
          <t>Cliente frecuente</t>
        </is>
      </c>
    </row>
    <row r="284">
      <c r="A284" t="inlineStr">
        <is>
          <t>F-10678</t>
        </is>
      </c>
      <c r="B284" s="3" t="n">
        <v>46255</v>
      </c>
      <c r="C284" t="inlineStr">
        <is>
          <t>Factura</t>
        </is>
      </c>
      <c r="D284" t="inlineStr">
        <is>
          <t>SO01</t>
        </is>
      </c>
      <c r="E284" t="inlineStr">
        <is>
          <t>SONSONATE</t>
        </is>
      </c>
      <c r="F284" t="inlineStr">
        <is>
          <t>Calle Obispo Marroquín #3</t>
        </is>
      </c>
      <c r="G284" t="inlineStr">
        <is>
          <t>Sonsonate</t>
        </is>
      </c>
      <c r="H284" t="inlineStr">
        <is>
          <t>Sonsonate</t>
        </is>
      </c>
      <c r="I284" t="inlineStr">
        <is>
          <t>Ernesto Chávez</t>
        </is>
      </c>
      <c r="J284" t="inlineStr">
        <is>
          <t>2451-2288</t>
        </is>
      </c>
      <c r="K284" t="inlineStr">
        <is>
          <t>Ricardo Funes</t>
        </is>
      </c>
      <c r="L284" t="inlineStr">
        <is>
          <t>Sandra Guevara Lemus</t>
        </is>
      </c>
      <c r="M284" t="inlineStr">
        <is>
          <t>08577633-7</t>
        </is>
      </c>
      <c r="N284" t="inlineStr">
        <is>
          <t>6671-1550</t>
        </is>
      </c>
      <c r="O284" t="inlineStr">
        <is>
          <t>Consumidor final</t>
        </is>
      </c>
      <c r="P284" t="inlineStr">
        <is>
          <t>FRI-001</t>
        </is>
      </c>
      <c r="Q284" t="inlineStr">
        <is>
          <t>Frijol rojo de seda 2lb</t>
        </is>
      </c>
      <c r="R284" t="inlineStr">
        <is>
          <t>Abarrotes</t>
        </is>
      </c>
      <c r="S284" t="inlineStr">
        <is>
          <t>Granos del Pacífico</t>
        </is>
      </c>
      <c r="T284" t="inlineStr">
        <is>
          <t>2234-8890</t>
        </is>
      </c>
      <c r="U284" t="inlineStr">
        <is>
          <t>2,40</t>
        </is>
      </c>
      <c r="V284" t="n">
        <v>24</v>
      </c>
      <c r="W284" t="n">
        <v>0</v>
      </c>
      <c r="X284">
        <f>IFERROR(U284*V284*(1-W284/100),"")</f>
        <v/>
      </c>
      <c r="Y284">
        <f>IFERROR(ROUND(X284*0.13,2),"")</f>
        <v/>
      </c>
      <c r="Z284">
        <f>IFERROR(X284+Y284,"")</f>
        <v/>
      </c>
      <c r="AA284" t="inlineStr">
        <is>
          <t>Efectivo</t>
        </is>
      </c>
      <c r="AB284" t="inlineStr"/>
    </row>
    <row r="285">
      <c r="A285" t="inlineStr">
        <is>
          <t>F-10679</t>
        </is>
      </c>
      <c r="B285" t="inlineStr">
        <is>
          <t>24/07/2026</t>
        </is>
      </c>
      <c r="C285" t="inlineStr">
        <is>
          <t>CCF</t>
        </is>
      </c>
      <c r="D285" t="inlineStr">
        <is>
          <t>SS01</t>
        </is>
      </c>
      <c r="E285" t="inlineStr">
        <is>
          <t>SAN SALVADOR CENTRO</t>
        </is>
      </c>
      <c r="F285" t="inlineStr">
        <is>
          <t>4a Calle Poniente #215</t>
        </is>
      </c>
      <c r="G285" t="inlineStr">
        <is>
          <t>San Salvador</t>
        </is>
      </c>
      <c r="H285" t="inlineStr">
        <is>
          <t>San Salvador</t>
        </is>
      </c>
      <c r="I285" t="inlineStr">
        <is>
          <t>Roberto Alfaro</t>
        </is>
      </c>
      <c r="J285" t="inlineStr">
        <is>
          <t>2221-4580</t>
        </is>
      </c>
      <c r="K285" t="inlineStr">
        <is>
          <t>José Martínez</t>
        </is>
      </c>
      <c r="L285" t="inlineStr">
        <is>
          <t>Hotel Brisas del Mar</t>
        </is>
      </c>
      <c r="M285" t="inlineStr">
        <is>
          <t>280004-0</t>
        </is>
      </c>
      <c r="N285" t="inlineStr">
        <is>
          <t>2129-2911</t>
        </is>
      </c>
      <c r="O285" t="inlineStr">
        <is>
          <t>Contribuyente</t>
        </is>
      </c>
      <c r="P285" t="inlineStr">
        <is>
          <t>BEB-001</t>
        </is>
      </c>
      <c r="Q285" t="inlineStr">
        <is>
          <t>Gaseosa 2.5L</t>
        </is>
      </c>
      <c r="R285" t="inlineStr">
        <is>
          <t>Bebidas</t>
        </is>
      </c>
      <c r="S285" t="inlineStr">
        <is>
          <t>Bebidas Izalco</t>
        </is>
      </c>
      <c r="T285" t="inlineStr">
        <is>
          <t>2450-7700</t>
        </is>
      </c>
      <c r="U285" t="n">
        <v>1.95</v>
      </c>
      <c r="V285" t="n">
        <v>24</v>
      </c>
      <c r="W285" t="n">
        <v>0</v>
      </c>
      <c r="X285">
        <f>IFERROR(U285*V285*(1-W285/100),"")</f>
        <v/>
      </c>
      <c r="Y285">
        <f>IFERROR(ROUND(X285*0.13,2),"")</f>
        <v/>
      </c>
      <c r="Z285">
        <f>IFERROR(X285+Y285,"")</f>
        <v/>
      </c>
      <c r="AA285" t="inlineStr">
        <is>
          <t>TARJETA</t>
        </is>
      </c>
      <c r="AB285" t="inlineStr"/>
    </row>
    <row r="286">
      <c r="A286" t="inlineStr">
        <is>
          <t>F-10680</t>
        </is>
      </c>
      <c r="B286" s="3" t="n">
        <v>46284</v>
      </c>
      <c r="C286" t="inlineStr">
        <is>
          <t>Factura</t>
        </is>
      </c>
      <c r="D286" t="inlineStr">
        <is>
          <t>SS02</t>
        </is>
      </c>
      <c r="E286" t="inlineStr">
        <is>
          <t>Escalón</t>
        </is>
      </c>
      <c r="F286" t="inlineStr">
        <is>
          <t>Paseo General Escalón #3910</t>
        </is>
      </c>
      <c r="G286" t="inlineStr">
        <is>
          <t>San Salvador</t>
        </is>
      </c>
      <c r="H286" t="inlineStr">
        <is>
          <t>San Salvador</t>
        </is>
      </c>
      <c r="I286" t="inlineStr">
        <is>
          <t>Claudia Menjívar</t>
        </is>
      </c>
      <c r="J286" t="inlineStr">
        <is>
          <t>2264-1190</t>
        </is>
      </c>
      <c r="K286" t="inlineStr">
        <is>
          <t>Fátima Rosales</t>
        </is>
      </c>
      <c r="L286" t="inlineStr">
        <is>
          <t>Carlos Castillo Argueta</t>
        </is>
      </c>
      <c r="M286" t="inlineStr"/>
      <c r="N286" t="inlineStr">
        <is>
          <t>2715-7891</t>
        </is>
      </c>
      <c r="O286" t="inlineStr">
        <is>
          <t>Consumidor final</t>
        </is>
      </c>
      <c r="P286" t="inlineStr">
        <is>
          <t>FRI-001</t>
        </is>
      </c>
      <c r="Q286" t="inlineStr">
        <is>
          <t>Frijol rojo de seda 2lb</t>
        </is>
      </c>
      <c r="R286" t="inlineStr">
        <is>
          <t>Abarrotes</t>
        </is>
      </c>
      <c r="S286" t="inlineStr">
        <is>
          <t>Granos del Pacífico</t>
        </is>
      </c>
      <c r="T286" t="inlineStr">
        <is>
          <t>2234-8890</t>
        </is>
      </c>
      <c r="U286" t="inlineStr">
        <is>
          <t>2,40</t>
        </is>
      </c>
      <c r="V286" t="n">
        <v>3</v>
      </c>
      <c r="W286" t="n">
        <v>0</v>
      </c>
      <c r="X286">
        <f>IFERROR(U286*V286*(1-W286/100),"")</f>
        <v/>
      </c>
      <c r="Y286">
        <f>IFERROR(ROUND(X286*0.13,2),"")</f>
        <v/>
      </c>
      <c r="Z286">
        <f>IFERROR(X286+Y286,"")</f>
        <v/>
      </c>
      <c r="AA286" t="inlineStr">
        <is>
          <t>Efectivo</t>
        </is>
      </c>
      <c r="AB286" t="inlineStr">
        <is>
          <t>Cliente frecuente</t>
        </is>
      </c>
    </row>
    <row r="287">
      <c r="A287" t="inlineStr">
        <is>
          <t>F-10680</t>
        </is>
      </c>
      <c r="B287" t="inlineStr">
        <is>
          <t>19/09/2026</t>
        </is>
      </c>
      <c r="C287" t="inlineStr">
        <is>
          <t>Factura</t>
        </is>
      </c>
      <c r="D287" t="inlineStr">
        <is>
          <t>SS02</t>
        </is>
      </c>
      <c r="E287" t="inlineStr">
        <is>
          <t>Col. Escalón</t>
        </is>
      </c>
      <c r="F287" t="inlineStr">
        <is>
          <t>Paseo General Escalón #3910</t>
        </is>
      </c>
      <c r="G287" t="inlineStr">
        <is>
          <t>San Salvador</t>
        </is>
      </c>
      <c r="H287" t="inlineStr">
        <is>
          <t>San Salvador</t>
        </is>
      </c>
      <c r="I287" t="inlineStr">
        <is>
          <t>Claudia Menjívar</t>
        </is>
      </c>
      <c r="J287" t="inlineStr">
        <is>
          <t>2264-1190</t>
        </is>
      </c>
      <c r="K287" t="inlineStr">
        <is>
          <t>Fátima Rosales</t>
        </is>
      </c>
      <c r="L287" t="inlineStr">
        <is>
          <t>Carlos Castillo Argueta</t>
        </is>
      </c>
      <c r="M287" t="inlineStr">
        <is>
          <t>08586960-1</t>
        </is>
      </c>
      <c r="N287" t="inlineStr">
        <is>
          <t>2715-7891</t>
        </is>
      </c>
      <c r="O287" t="inlineStr">
        <is>
          <t>Consumidor final</t>
        </is>
      </c>
      <c r="P287" t="inlineStr">
        <is>
          <t>HIG-002</t>
        </is>
      </c>
      <c r="Q287" t="inlineStr">
        <is>
          <t>Papel higiénico 4 rollos</t>
        </is>
      </c>
      <c r="R287" t="inlineStr">
        <is>
          <t>Limpieza</t>
        </is>
      </c>
      <c r="S287" t="inlineStr">
        <is>
          <t>Higiene Total C.A.</t>
        </is>
      </c>
      <c r="T287" t="inlineStr">
        <is>
          <t>2207-5566</t>
        </is>
      </c>
      <c r="U287" t="n">
        <v>2.15</v>
      </c>
      <c r="V287" t="n">
        <v>3</v>
      </c>
      <c r="W287" t="n">
        <v>0</v>
      </c>
      <c r="X287">
        <f>IFERROR(U287*V287*(1-W287/100),"")</f>
        <v/>
      </c>
      <c r="Y287">
        <f>IFERROR(ROUND(X287*0.13,2),"")</f>
        <v/>
      </c>
      <c r="Z287">
        <f>IFERROR(X287+Y287,"")</f>
        <v/>
      </c>
      <c r="AA287" t="inlineStr">
        <is>
          <t>Efectivo</t>
        </is>
      </c>
      <c r="AB287" t="inlineStr"/>
    </row>
    <row r="288">
      <c r="A288" t="inlineStr">
        <is>
          <t>F-10680</t>
        </is>
      </c>
      <c r="B288" t="inlineStr">
        <is>
          <t>19/09/2026</t>
        </is>
      </c>
      <c r="C288" t="inlineStr">
        <is>
          <t>Factura</t>
        </is>
      </c>
      <c r="D288" t="inlineStr">
        <is>
          <t>SS02</t>
        </is>
      </c>
      <c r="E288" t="inlineStr">
        <is>
          <t>ESCALON</t>
        </is>
      </c>
      <c r="F288" t="inlineStr">
        <is>
          <t>Paseo General Escalón #3910</t>
        </is>
      </c>
      <c r="G288" t="inlineStr">
        <is>
          <t>San Salvador</t>
        </is>
      </c>
      <c r="H288" t="inlineStr">
        <is>
          <t>San Salvador</t>
        </is>
      </c>
      <c r="I288" t="inlineStr">
        <is>
          <t>Claudia Menjívar</t>
        </is>
      </c>
      <c r="J288" t="inlineStr">
        <is>
          <t>2264-1190</t>
        </is>
      </c>
      <c r="K288" t="inlineStr">
        <is>
          <t>Fátima Rosales</t>
        </is>
      </c>
      <c r="L288" t="inlineStr">
        <is>
          <t>Carlos Castillo Argueta</t>
        </is>
      </c>
      <c r="M288" t="inlineStr">
        <is>
          <t>08586960-1</t>
        </is>
      </c>
      <c r="N288" t="inlineStr">
        <is>
          <t>2715-7891</t>
        </is>
      </c>
      <c r="O288" t="inlineStr">
        <is>
          <t>Consumidor final</t>
        </is>
      </c>
      <c r="P288" t="inlineStr">
        <is>
          <t>PAN-001</t>
        </is>
      </c>
      <c r="Q288" t="inlineStr">
        <is>
          <t>Pan francés bolsa 10u</t>
        </is>
      </c>
      <c r="R288" t="inlineStr">
        <is>
          <t>Panadería</t>
        </is>
      </c>
      <c r="S288" t="inlineStr">
        <is>
          <t>Panificadora Ilopango</t>
        </is>
      </c>
      <c r="T288" t="inlineStr">
        <is>
          <t>2295-0081</t>
        </is>
      </c>
      <c r="U288" t="n">
        <v>1</v>
      </c>
      <c r="V288" t="n">
        <v>1</v>
      </c>
      <c r="W288" t="n">
        <v>0</v>
      </c>
      <c r="X288">
        <f>IFERROR(U288*V288*(1-W288/100),"")</f>
        <v/>
      </c>
      <c r="Y288">
        <f>IFERROR(ROUND(X288*0.13,2),"")</f>
        <v/>
      </c>
      <c r="Z288">
        <f>IFERROR(X288+Y288,"")</f>
        <v/>
      </c>
      <c r="AA288" t="inlineStr">
        <is>
          <t>Efectivo</t>
        </is>
      </c>
      <c r="AB288" t="inlineStr">
        <is>
          <t>pagó con billete de $100</t>
        </is>
      </c>
    </row>
    <row r="289">
      <c r="A289" t="inlineStr">
        <is>
          <t>F-10680</t>
        </is>
      </c>
      <c r="B289" t="inlineStr">
        <is>
          <t>2026-09-19</t>
        </is>
      </c>
      <c r="C289" t="inlineStr">
        <is>
          <t>Factura</t>
        </is>
      </c>
      <c r="D289" t="inlineStr">
        <is>
          <t>SS02</t>
        </is>
      </c>
      <c r="E289" t="inlineStr">
        <is>
          <t>Escalón</t>
        </is>
      </c>
      <c r="F289" t="inlineStr">
        <is>
          <t>Paseo General Escalón #3910</t>
        </is>
      </c>
      <c r="G289" t="inlineStr">
        <is>
          <t>San Salvador</t>
        </is>
      </c>
      <c r="H289" t="inlineStr">
        <is>
          <t>San Salvador</t>
        </is>
      </c>
      <c r="I289" t="inlineStr">
        <is>
          <t>Claudia Menjívar</t>
        </is>
      </c>
      <c r="J289" t="inlineStr">
        <is>
          <t>2264-1190</t>
        </is>
      </c>
      <c r="K289" t="inlineStr">
        <is>
          <t>Fátima Rosales</t>
        </is>
      </c>
      <c r="L289" t="inlineStr">
        <is>
          <t>Carlos Castillo Argueta</t>
        </is>
      </c>
      <c r="M289" t="inlineStr"/>
      <c r="N289" t="inlineStr">
        <is>
          <t>2715-7891</t>
        </is>
      </c>
      <c r="O289" t="inlineStr">
        <is>
          <t>Consumidor final</t>
        </is>
      </c>
      <c r="P289" t="inlineStr">
        <is>
          <t>CAF-002</t>
        </is>
      </c>
      <c r="Q289" t="inlineStr">
        <is>
          <t>Café en grano 1lb</t>
        </is>
      </c>
      <c r="R289" t="inlineStr">
        <is>
          <t>Abarrotes</t>
        </is>
      </c>
      <c r="S289" t="inlineStr">
        <is>
          <t>Café Volcán S.A.</t>
        </is>
      </c>
      <c r="T289" t="inlineStr">
        <is>
          <t>2510-3344</t>
        </is>
      </c>
      <c r="U289" t="n">
        <v>6.75</v>
      </c>
      <c r="V289" t="n">
        <v>12</v>
      </c>
      <c r="W289" t="n">
        <v>0</v>
      </c>
      <c r="X289">
        <f>IFERROR(U289*V289*(1-W289/100),"")</f>
        <v/>
      </c>
      <c r="Y289">
        <f>IFERROR(ROUND(X289*0.13,2),"")</f>
        <v/>
      </c>
      <c r="Z289">
        <f>IFERROR(X289+Y289,"")</f>
        <v/>
      </c>
      <c r="AA289" t="inlineStr">
        <is>
          <t>Efectivo</t>
        </is>
      </c>
      <c r="AB289" t="inlineStr"/>
    </row>
    <row r="290">
      <c r="A290" t="inlineStr">
        <is>
          <t>F-10682</t>
        </is>
      </c>
      <c r="B290" t="inlineStr">
        <is>
          <t>14-Aug-26</t>
        </is>
      </c>
      <c r="C290" t="inlineStr">
        <is>
          <t>Factura</t>
        </is>
      </c>
      <c r="D290" t="inlineStr">
        <is>
          <t>SS01</t>
        </is>
      </c>
      <c r="E290" t="inlineStr">
        <is>
          <t>SAN SALVADOR CENTRO</t>
        </is>
      </c>
      <c r="F290" t="inlineStr">
        <is>
          <t>4a Calle Poniente #215</t>
        </is>
      </c>
      <c r="G290" t="inlineStr">
        <is>
          <t>San Salvador</t>
        </is>
      </c>
      <c r="H290" t="inlineStr">
        <is>
          <t>San Salvador</t>
        </is>
      </c>
      <c r="I290" t="inlineStr">
        <is>
          <t>Roberto Alfaro</t>
        </is>
      </c>
      <c r="J290" t="inlineStr">
        <is>
          <t>2221-4580</t>
        </is>
      </c>
      <c r="K290" t="inlineStr">
        <is>
          <t>José Martínez</t>
        </is>
      </c>
      <c r="L290" t="inlineStr">
        <is>
          <t>Mario Lemus Flores</t>
        </is>
      </c>
      <c r="M290" t="inlineStr">
        <is>
          <t>05465836-8</t>
        </is>
      </c>
      <c r="N290" t="inlineStr">
        <is>
          <t>6555-2967</t>
        </is>
      </c>
      <c r="O290" t="inlineStr">
        <is>
          <t>Consumidor final</t>
        </is>
      </c>
      <c r="P290" t="inlineStr">
        <is>
          <t>HIG-002</t>
        </is>
      </c>
      <c r="Q290" t="inlineStr">
        <is>
          <t>Papel higiénico 4 rollos</t>
        </is>
      </c>
      <c r="R290" t="inlineStr">
        <is>
          <t>Higiene</t>
        </is>
      </c>
      <c r="S290" t="inlineStr">
        <is>
          <t>Higiene Total C.A.</t>
        </is>
      </c>
      <c r="T290" t="inlineStr">
        <is>
          <t>2207-5566</t>
        </is>
      </c>
      <c r="U290" t="n">
        <v>2.15</v>
      </c>
      <c r="V290" t="n">
        <v>1</v>
      </c>
      <c r="W290" t="n">
        <v>0</v>
      </c>
      <c r="X290">
        <f>IFERROR(U290*V290*(1-W290/100),"")</f>
        <v/>
      </c>
      <c r="Y290">
        <f>IFERROR(ROUND(X290*0.13,2),"")</f>
        <v/>
      </c>
      <c r="Z290">
        <f>IFERROR(X290+Y290,"")</f>
        <v/>
      </c>
      <c r="AA290" t="inlineStr">
        <is>
          <t>efectivo</t>
        </is>
      </c>
      <c r="AB290" t="inlineStr"/>
    </row>
    <row r="291">
      <c r="A291" t="inlineStr">
        <is>
          <t>F-10682</t>
        </is>
      </c>
      <c r="B291" s="3" t="n">
        <v>46248</v>
      </c>
      <c r="C291" t="inlineStr">
        <is>
          <t>Factura</t>
        </is>
      </c>
      <c r="D291" t="inlineStr">
        <is>
          <t>SS01</t>
        </is>
      </c>
      <c r="E291" t="inlineStr">
        <is>
          <t xml:space="preserve">san salvador centro </t>
        </is>
      </c>
      <c r="F291" t="inlineStr">
        <is>
          <t>4a Calle Poniente #215</t>
        </is>
      </c>
      <c r="G291" t="inlineStr">
        <is>
          <t>San Salvador</t>
        </is>
      </c>
      <c r="H291" t="inlineStr">
        <is>
          <t>San Salvador</t>
        </is>
      </c>
      <c r="I291" t="inlineStr">
        <is>
          <t>Roberto Alfaro</t>
        </is>
      </c>
      <c r="J291" t="inlineStr">
        <is>
          <t>2221-4580</t>
        </is>
      </c>
      <c r="K291" t="inlineStr">
        <is>
          <t>José Martínez</t>
        </is>
      </c>
      <c r="L291" t="inlineStr">
        <is>
          <t>Mario Lemus Flores</t>
        </is>
      </c>
      <c r="M291" t="inlineStr">
        <is>
          <t>05465836-8</t>
        </is>
      </c>
      <c r="N291" t="inlineStr">
        <is>
          <t>6555-2967</t>
        </is>
      </c>
      <c r="O291" t="inlineStr">
        <is>
          <t>Consumidor final</t>
        </is>
      </c>
      <c r="P291" t="inlineStr">
        <is>
          <t>HIG-003</t>
        </is>
      </c>
      <c r="Q291" t="inlineStr">
        <is>
          <t>Jabón de lavar barra</t>
        </is>
      </c>
      <c r="R291" t="inlineStr">
        <is>
          <t>Limpieza</t>
        </is>
      </c>
      <c r="S291" t="inlineStr">
        <is>
          <t>Higiene Total C.A.</t>
        </is>
      </c>
      <c r="T291" t="inlineStr">
        <is>
          <t>2207-5566</t>
        </is>
      </c>
      <c r="U291" t="n">
        <v>0.75</v>
      </c>
      <c r="V291" t="n">
        <v>2</v>
      </c>
      <c r="W291" t="n">
        <v>0</v>
      </c>
      <c r="X291">
        <f>IFERROR(U291*V291*(1-W291/100),"")</f>
        <v/>
      </c>
      <c r="Y291">
        <f>IFERROR(ROUND(X291*0.13,2),"")</f>
        <v/>
      </c>
      <c r="Z291">
        <f>IFERROR(X291+Y291,"")</f>
        <v/>
      </c>
      <c r="AA291" t="inlineStr">
        <is>
          <t>efectivo</t>
        </is>
      </c>
      <c r="AB291" t="inlineStr">
        <is>
          <t>pagó con billete de $100</t>
        </is>
      </c>
    </row>
    <row r="292">
      <c r="A292" t="inlineStr">
        <is>
          <t>F-10682</t>
        </is>
      </c>
      <c r="B292" s="4" t="n">
        <v>46248</v>
      </c>
      <c r="C292" t="inlineStr">
        <is>
          <t>Factura</t>
        </is>
      </c>
      <c r="D292" t="inlineStr">
        <is>
          <t>SS01</t>
        </is>
      </c>
      <c r="E292" t="inlineStr">
        <is>
          <t xml:space="preserve">san salvador centro </t>
        </is>
      </c>
      <c r="F292" t="inlineStr">
        <is>
          <t>4a Calle Poniente #215</t>
        </is>
      </c>
      <c r="G292" t="inlineStr">
        <is>
          <t>San Salvador</t>
        </is>
      </c>
      <c r="H292" t="inlineStr">
        <is>
          <t>San Salvador</t>
        </is>
      </c>
      <c r="I292" t="inlineStr">
        <is>
          <t>Roberto Alfaro</t>
        </is>
      </c>
      <c r="J292" t="inlineStr">
        <is>
          <t>2221-4580</t>
        </is>
      </c>
      <c r="K292" t="inlineStr">
        <is>
          <t>José Martínez</t>
        </is>
      </c>
      <c r="L292" t="inlineStr">
        <is>
          <t>Mario Lemus Flores</t>
        </is>
      </c>
      <c r="M292" t="inlineStr">
        <is>
          <t>05465836-8</t>
        </is>
      </c>
      <c r="N292" t="inlineStr">
        <is>
          <t>6555-2967</t>
        </is>
      </c>
      <c r="O292" t="inlineStr">
        <is>
          <t>Consumidor final</t>
        </is>
      </c>
      <c r="P292" t="inlineStr">
        <is>
          <t>HIG-003</t>
        </is>
      </c>
      <c r="Q292" t="inlineStr">
        <is>
          <t>Jabón de lavar barra</t>
        </is>
      </c>
      <c r="R292" t="inlineStr">
        <is>
          <t>Limpieza</t>
        </is>
      </c>
      <c r="S292" t="inlineStr">
        <is>
          <t>Higiene Total C.A.</t>
        </is>
      </c>
      <c r="T292" t="inlineStr">
        <is>
          <t>2207-5566</t>
        </is>
      </c>
      <c r="U292" t="n">
        <v>0.75</v>
      </c>
      <c r="V292" t="n">
        <v>2</v>
      </c>
      <c r="W292" t="n">
        <v>0</v>
      </c>
      <c r="X292">
        <f>IFERROR(U292*V292*(1-W292/100),"")</f>
        <v/>
      </c>
      <c r="Y292">
        <f>IFERROR(ROUND(X292*0.13,2),"")</f>
        <v/>
      </c>
      <c r="Z292">
        <f>IFERROR(X292+Y292,"")</f>
        <v/>
      </c>
      <c r="AA292" t="inlineStr">
        <is>
          <t>efectivo</t>
        </is>
      </c>
      <c r="AB292" t="inlineStr">
        <is>
          <t>pagó con billete de $100</t>
        </is>
      </c>
    </row>
    <row r="293">
      <c r="A293" t="inlineStr">
        <is>
          <t>F-10683</t>
        </is>
      </c>
      <c r="B293" s="3" t="n">
        <v>46269</v>
      </c>
      <c r="C293" t="inlineStr">
        <is>
          <t>FCF</t>
        </is>
      </c>
      <c r="D293" t="inlineStr">
        <is>
          <t>SA01</t>
        </is>
      </c>
      <c r="E293" t="inlineStr">
        <is>
          <t>Santa Ana</t>
        </is>
      </c>
      <c r="F293" t="inlineStr">
        <is>
          <t>Av. Independencia Sur #12</t>
        </is>
      </c>
      <c r="G293" t="inlineStr">
        <is>
          <t>Santa Ana</t>
        </is>
      </c>
      <c r="H293" t="inlineStr">
        <is>
          <t>Santa Ana</t>
        </is>
      </c>
      <c r="I293" t="inlineStr">
        <is>
          <t>Verónica Sandoval</t>
        </is>
      </c>
      <c r="J293" t="inlineStr">
        <is>
          <t>2440-9921</t>
        </is>
      </c>
      <c r="K293" t="inlineStr">
        <is>
          <t>Sofía Cáceres</t>
        </is>
      </c>
      <c r="L293" t="inlineStr">
        <is>
          <t>Rosa López Castillo</t>
        </is>
      </c>
      <c r="M293" t="inlineStr">
        <is>
          <t>09782214-9</t>
        </is>
      </c>
      <c r="N293" t="inlineStr">
        <is>
          <t>6806-3209</t>
        </is>
      </c>
      <c r="O293" t="inlineStr">
        <is>
          <t>Consumidor final</t>
        </is>
      </c>
      <c r="P293" t="inlineStr">
        <is>
          <t>PAN-001</t>
        </is>
      </c>
      <c r="Q293" t="inlineStr">
        <is>
          <t>Pan francés bolsa 10u</t>
        </is>
      </c>
      <c r="R293" t="inlineStr">
        <is>
          <t>Panaderia</t>
        </is>
      </c>
      <c r="S293" t="inlineStr">
        <is>
          <t>Panificadora Ilopango</t>
        </is>
      </c>
      <c r="T293" t="inlineStr">
        <is>
          <t>2295-0081</t>
        </is>
      </c>
      <c r="U293" t="inlineStr">
        <is>
          <t>1,00</t>
        </is>
      </c>
      <c r="V293" t="n">
        <v>4</v>
      </c>
      <c r="W293" t="n">
        <v>0</v>
      </c>
      <c r="X293">
        <f>IFERROR(U293*V293*(1-W293/100),"")</f>
        <v/>
      </c>
      <c r="Y293">
        <f>IFERROR(ROUND(X293*0.13,2),"")</f>
        <v/>
      </c>
      <c r="Z293">
        <f>IFERROR(X293+Y293,"")</f>
        <v/>
      </c>
      <c r="AA293" t="inlineStr">
        <is>
          <t>Tarjeta</t>
        </is>
      </c>
      <c r="AB293" t="inlineStr"/>
    </row>
    <row r="294">
      <c r="A294" t="inlineStr">
        <is>
          <t>F-10683</t>
        </is>
      </c>
      <c r="B294" s="3" t="n">
        <v>46269</v>
      </c>
      <c r="C294" t="inlineStr">
        <is>
          <t>FCF</t>
        </is>
      </c>
      <c r="D294" t="inlineStr">
        <is>
          <t>SA01</t>
        </is>
      </c>
      <c r="E294" t="inlineStr">
        <is>
          <t>Santa  Ana</t>
        </is>
      </c>
      <c r="F294" t="inlineStr">
        <is>
          <t>Av. Independencia Sur #12</t>
        </is>
      </c>
      <c r="G294" t="inlineStr">
        <is>
          <t>Santa Ana</t>
        </is>
      </c>
      <c r="H294" t="inlineStr">
        <is>
          <t>Santa Ana</t>
        </is>
      </c>
      <c r="I294" t="inlineStr">
        <is>
          <t>Verónica Sandoval</t>
        </is>
      </c>
      <c r="J294" t="inlineStr">
        <is>
          <t>2440-9921</t>
        </is>
      </c>
      <c r="K294" t="inlineStr">
        <is>
          <t>Sofía Cáceres</t>
        </is>
      </c>
      <c r="L294" t="inlineStr">
        <is>
          <t>Rosa López Castillo</t>
        </is>
      </c>
      <c r="M294" t="inlineStr">
        <is>
          <t>09782214-9</t>
        </is>
      </c>
      <c r="N294" t="inlineStr">
        <is>
          <t>6806-3209</t>
        </is>
      </c>
      <c r="O294" t="inlineStr">
        <is>
          <t>Consumidor final</t>
        </is>
      </c>
      <c r="P294" t="inlineStr">
        <is>
          <t>HAR-001</t>
        </is>
      </c>
      <c r="Q294" t="inlineStr">
        <is>
          <t>Harina de maíz 2lb</t>
        </is>
      </c>
      <c r="R294" t="inlineStr">
        <is>
          <t>Abarrotes</t>
        </is>
      </c>
      <c r="S294" t="inlineStr">
        <is>
          <t>Granos del Pacífico</t>
        </is>
      </c>
      <c r="T294" t="inlineStr">
        <is>
          <t>2234-8890</t>
        </is>
      </c>
      <c r="U294" t="n">
        <v>1.35</v>
      </c>
      <c r="V294" t="n">
        <v>2</v>
      </c>
      <c r="W294" t="n">
        <v>0</v>
      </c>
      <c r="X294">
        <f>IFERROR(U294*V294*(1-W294/100),"")</f>
        <v/>
      </c>
      <c r="Y294">
        <f>IFERROR(ROUND(X294*0.13,2),"")</f>
        <v/>
      </c>
      <c r="Z294">
        <f>IFERROR(X294+Y294,"")</f>
        <v/>
      </c>
      <c r="AA294" t="inlineStr">
        <is>
          <t>Tarjeta</t>
        </is>
      </c>
      <c r="AB294" t="inlineStr"/>
    </row>
    <row r="295">
      <c r="A295" t="inlineStr">
        <is>
          <t>F-10683</t>
        </is>
      </c>
      <c r="B295" s="3" t="n">
        <v>46269</v>
      </c>
      <c r="C295" t="inlineStr">
        <is>
          <t>FCF</t>
        </is>
      </c>
      <c r="D295" t="inlineStr">
        <is>
          <t>SA01</t>
        </is>
      </c>
      <c r="E295" t="inlineStr">
        <is>
          <t>Santa  Ana</t>
        </is>
      </c>
      <c r="F295" t="inlineStr">
        <is>
          <t>Av. Independencia Sur #12</t>
        </is>
      </c>
      <c r="G295" t="inlineStr">
        <is>
          <t>Santa Ana</t>
        </is>
      </c>
      <c r="H295" t="inlineStr">
        <is>
          <t>Santa Ana</t>
        </is>
      </c>
      <c r="I295" t="inlineStr">
        <is>
          <t>Verónica Sandoval</t>
        </is>
      </c>
      <c r="J295" t="inlineStr">
        <is>
          <t>2440-9921</t>
        </is>
      </c>
      <c r="K295" t="inlineStr">
        <is>
          <t>Sofía Cáceres</t>
        </is>
      </c>
      <c r="L295" t="inlineStr">
        <is>
          <t>Rosa López Castillo</t>
        </is>
      </c>
      <c r="M295" t="inlineStr">
        <is>
          <t>09782214-9</t>
        </is>
      </c>
      <c r="N295" t="inlineStr">
        <is>
          <t>6806-3209</t>
        </is>
      </c>
      <c r="O295" t="inlineStr">
        <is>
          <t>Consumidor final</t>
        </is>
      </c>
      <c r="P295" t="inlineStr">
        <is>
          <t>PAN-002</t>
        </is>
      </c>
      <c r="Q295" t="inlineStr">
        <is>
          <t>Semita alta</t>
        </is>
      </c>
      <c r="R295" t="inlineStr">
        <is>
          <t>Panadería</t>
        </is>
      </c>
      <c r="S295" t="inlineStr">
        <is>
          <t>Panificadora Ilopango</t>
        </is>
      </c>
      <c r="T295" t="inlineStr">
        <is>
          <t>2295-0081</t>
        </is>
      </c>
      <c r="U295" t="n">
        <v>1.75</v>
      </c>
      <c r="V295" t="n">
        <v>2</v>
      </c>
      <c r="W295" t="n">
        <v>0</v>
      </c>
      <c r="X295">
        <f>IFERROR(U295*V295*(1-W295/100),"")</f>
        <v/>
      </c>
      <c r="Y295">
        <f>IFERROR(ROUND(X295*0.13,2),"")</f>
        <v/>
      </c>
      <c r="Z295">
        <f>IFERROR(X295+Y295,"")</f>
        <v/>
      </c>
      <c r="AA295" t="inlineStr">
        <is>
          <t>Tarjeta</t>
        </is>
      </c>
      <c r="AB295" t="inlineStr">
        <is>
          <t>Cliente frecuente</t>
        </is>
      </c>
    </row>
    <row r="296">
      <c r="A296" t="inlineStr">
        <is>
          <t>F-10684</t>
        </is>
      </c>
      <c r="B296" s="3" t="n">
        <v>46280</v>
      </c>
      <c r="C296" t="inlineStr">
        <is>
          <t>Factura</t>
        </is>
      </c>
      <c r="D296" t="inlineStr">
        <is>
          <t>SO01</t>
        </is>
      </c>
      <c r="E296" t="inlineStr">
        <is>
          <t>SONSONATE</t>
        </is>
      </c>
      <c r="F296" t="inlineStr">
        <is>
          <t>Calle Obispo Marroquín #3</t>
        </is>
      </c>
      <c r="G296" t="inlineStr">
        <is>
          <t>Sonsonate</t>
        </is>
      </c>
      <c r="H296" t="inlineStr">
        <is>
          <t>Sonsonate</t>
        </is>
      </c>
      <c r="I296" t="inlineStr">
        <is>
          <t>Ernesto Chávez</t>
        </is>
      </c>
      <c r="J296" t="inlineStr">
        <is>
          <t>2451-2288</t>
        </is>
      </c>
      <c r="K296" t="inlineStr">
        <is>
          <t>Ricardo Funes</t>
        </is>
      </c>
      <c r="L296" t="inlineStr">
        <is>
          <t>Ana Pérez Rivera</t>
        </is>
      </c>
      <c r="M296" t="inlineStr"/>
      <c r="N296" t="inlineStr">
        <is>
          <t>7205-8035</t>
        </is>
      </c>
      <c r="O296" t="inlineStr">
        <is>
          <t>Consumidor final</t>
        </is>
      </c>
      <c r="P296" t="inlineStr">
        <is>
          <t>PAN-001</t>
        </is>
      </c>
      <c r="Q296" t="inlineStr">
        <is>
          <t>Pan francés bolsa 10u</t>
        </is>
      </c>
      <c r="R296" t="inlineStr">
        <is>
          <t>Panadería</t>
        </is>
      </c>
      <c r="S296" t="inlineStr">
        <is>
          <t>Panificadora Ilopango</t>
        </is>
      </c>
      <c r="T296" t="inlineStr">
        <is>
          <t>2295-0081</t>
        </is>
      </c>
      <c r="U296" t="n">
        <v>1</v>
      </c>
      <c r="V296" t="n">
        <v>2</v>
      </c>
      <c r="W296" t="n">
        <v>0</v>
      </c>
      <c r="X296">
        <f>IFERROR(U296*V296*(1-W296/100),"")</f>
        <v/>
      </c>
      <c r="Y296">
        <f>IFERROR(ROUND(X296*0.13,2),"")</f>
        <v/>
      </c>
      <c r="Z296">
        <f>IFERROR(X296+Y296,"")</f>
        <v/>
      </c>
      <c r="AA296" t="inlineStr">
        <is>
          <t>Tarjeta</t>
        </is>
      </c>
      <c r="AB296" t="inlineStr">
        <is>
          <t>precio especial autorizado por gerente</t>
        </is>
      </c>
    </row>
    <row r="297">
      <c r="A297" t="inlineStr">
        <is>
          <t>F-10684</t>
        </is>
      </c>
      <c r="B297" t="inlineStr">
        <is>
          <t>15/09/2026</t>
        </is>
      </c>
      <c r="C297" t="inlineStr">
        <is>
          <t>Factura</t>
        </is>
      </c>
      <c r="D297" t="inlineStr">
        <is>
          <t>SO01</t>
        </is>
      </c>
      <c r="E297" t="inlineStr">
        <is>
          <t>Sonsonate</t>
        </is>
      </c>
      <c r="F297" t="inlineStr">
        <is>
          <t>Calle Obispo Marroquín #3</t>
        </is>
      </c>
      <c r="G297" t="inlineStr">
        <is>
          <t>Sonsonate</t>
        </is>
      </c>
      <c r="H297" t="inlineStr">
        <is>
          <t>Sonsonate</t>
        </is>
      </c>
      <c r="I297" t="inlineStr">
        <is>
          <t>Ernesto Chávez</t>
        </is>
      </c>
      <c r="J297" t="inlineStr">
        <is>
          <t>2451-2288</t>
        </is>
      </c>
      <c r="K297" t="inlineStr">
        <is>
          <t>Ricardo Funes</t>
        </is>
      </c>
      <c r="L297" t="inlineStr">
        <is>
          <t>Ana Pérez Rivera</t>
        </is>
      </c>
      <c r="M297" t="inlineStr">
        <is>
          <t>00820199-8</t>
        </is>
      </c>
      <c r="N297" t="inlineStr">
        <is>
          <t>7205-8035</t>
        </is>
      </c>
      <c r="O297" t="inlineStr">
        <is>
          <t>Consumidor final</t>
        </is>
      </c>
      <c r="P297" t="inlineStr">
        <is>
          <t>ARR-001</t>
        </is>
      </c>
      <c r="Q297" t="inlineStr">
        <is>
          <t>Arroz blanco 5lb</t>
        </is>
      </c>
      <c r="R297" t="inlineStr">
        <is>
          <t>Abarrotes</t>
        </is>
      </c>
      <c r="S297" t="inlineStr">
        <is>
          <t>Granos del Pacífico</t>
        </is>
      </c>
      <c r="T297" t="inlineStr">
        <is>
          <t>2234-8890</t>
        </is>
      </c>
      <c r="U297" t="inlineStr">
        <is>
          <t>$3.95</t>
        </is>
      </c>
      <c r="V297" t="n">
        <v>4</v>
      </c>
      <c r="W297" t="n">
        <v>0</v>
      </c>
      <c r="X297">
        <f>IFERROR(U297*V297*(1-W297/100),"")</f>
        <v/>
      </c>
      <c r="Y297">
        <f>IFERROR(ROUND(X297*0.13,2),"")</f>
        <v/>
      </c>
      <c r="Z297">
        <f>IFERROR(X297+Y297,"")</f>
        <v/>
      </c>
      <c r="AA297" t="inlineStr">
        <is>
          <t>Tarjeta</t>
        </is>
      </c>
      <c r="AB297" t="inlineStr"/>
    </row>
    <row r="298">
      <c r="A298" t="inlineStr">
        <is>
          <t>F-10687</t>
        </is>
      </c>
      <c r="B298" s="3" t="n">
        <v>46257</v>
      </c>
      <c r="C298" t="inlineStr">
        <is>
          <t>Factura</t>
        </is>
      </c>
      <c r="D298" t="inlineStr">
        <is>
          <t>SS01</t>
        </is>
      </c>
      <c r="E298" t="inlineStr">
        <is>
          <t>San Salvador Centro</t>
        </is>
      </c>
      <c r="F298" t="inlineStr">
        <is>
          <t>4a Calle Poniente #215</t>
        </is>
      </c>
      <c r="G298" t="inlineStr">
        <is>
          <t>San Salvador</t>
        </is>
      </c>
      <c r="H298" t="inlineStr">
        <is>
          <t>San Salvador</t>
        </is>
      </c>
      <c r="I298" t="inlineStr">
        <is>
          <t>Roberto Alfaro</t>
        </is>
      </c>
      <c r="J298" t="inlineStr">
        <is>
          <t>2221-4580</t>
        </is>
      </c>
      <c r="K298" t="inlineStr">
        <is>
          <t>José Martínez</t>
        </is>
      </c>
      <c r="L298" t="inlineStr">
        <is>
          <t>Sandra Lemus Flores</t>
        </is>
      </c>
      <c r="M298" t="inlineStr">
        <is>
          <t>07143344-7</t>
        </is>
      </c>
      <c r="N298" t="inlineStr">
        <is>
          <t>2764-5365</t>
        </is>
      </c>
      <c r="O298" t="inlineStr">
        <is>
          <t>Consumidor final</t>
        </is>
      </c>
      <c r="P298" t="inlineStr">
        <is>
          <t>CAF-001</t>
        </is>
      </c>
      <c r="Q298" t="inlineStr">
        <is>
          <t>Café molido 400g</t>
        </is>
      </c>
      <c r="R298" t="inlineStr">
        <is>
          <t>abarrotes</t>
        </is>
      </c>
      <c r="S298" t="inlineStr">
        <is>
          <t>Café Volcán S.A.</t>
        </is>
      </c>
      <c r="T298" t="inlineStr">
        <is>
          <t>2510-3344</t>
        </is>
      </c>
      <c r="U298" t="n">
        <v>4.25</v>
      </c>
      <c r="V298" t="n">
        <v>4</v>
      </c>
      <c r="W298" t="n">
        <v>0</v>
      </c>
      <c r="X298">
        <f>IFERROR(U298*V298*(1-W298/100),"")</f>
        <v/>
      </c>
      <c r="Y298">
        <f>IFERROR(ROUND(X298*0.13,2),"")</f>
        <v/>
      </c>
      <c r="Z298">
        <f>IFERROR(X298+Y298,"")</f>
        <v/>
      </c>
      <c r="AA298" t="inlineStr">
        <is>
          <t>efectivo</t>
        </is>
      </c>
      <c r="AB298" t="inlineStr"/>
    </row>
    <row r="299">
      <c r="A299" t="inlineStr">
        <is>
          <t>F-10687</t>
        </is>
      </c>
      <c r="B299" s="3" t="n">
        <v>46257</v>
      </c>
      <c r="C299" t="inlineStr">
        <is>
          <t>Factura</t>
        </is>
      </c>
      <c r="D299" t="inlineStr">
        <is>
          <t>SS01</t>
        </is>
      </c>
      <c r="E299" t="inlineStr">
        <is>
          <t>S.S. Centro</t>
        </is>
      </c>
      <c r="F299" t="inlineStr">
        <is>
          <t>4a Calle Poniente #215</t>
        </is>
      </c>
      <c r="G299" t="inlineStr">
        <is>
          <t>San Salvador</t>
        </is>
      </c>
      <c r="H299" t="inlineStr">
        <is>
          <t>San Salvador</t>
        </is>
      </c>
      <c r="I299" t="inlineStr">
        <is>
          <t>Roberto Alfaro</t>
        </is>
      </c>
      <c r="J299" t="inlineStr">
        <is>
          <t>2221-4580</t>
        </is>
      </c>
      <c r="K299" t="inlineStr">
        <is>
          <t>José Martínez</t>
        </is>
      </c>
      <c r="L299" t="inlineStr">
        <is>
          <t>Sandra Lemus Flores</t>
        </is>
      </c>
      <c r="M299" t="inlineStr">
        <is>
          <t>07143344-7</t>
        </is>
      </c>
      <c r="N299" t="inlineStr">
        <is>
          <t>2764-5365</t>
        </is>
      </c>
      <c r="O299" t="inlineStr">
        <is>
          <t>Consumidor final</t>
        </is>
      </c>
      <c r="P299" t="inlineStr">
        <is>
          <t>HIG-001</t>
        </is>
      </c>
      <c r="Q299" t="inlineStr">
        <is>
          <t>Detergente 1kg</t>
        </is>
      </c>
      <c r="R299" t="inlineStr">
        <is>
          <t>limpieza</t>
        </is>
      </c>
      <c r="S299" t="inlineStr">
        <is>
          <t>Higiene Total C.A.</t>
        </is>
      </c>
      <c r="T299" t="inlineStr">
        <is>
          <t>2207-5566</t>
        </is>
      </c>
      <c r="U299" t="n">
        <v>3.45</v>
      </c>
      <c r="V299" t="n">
        <v>2</v>
      </c>
      <c r="W299" t="n">
        <v>0</v>
      </c>
      <c r="X299">
        <f>IFERROR(U299*V299*(1-W299/100),"")</f>
        <v/>
      </c>
      <c r="Y299">
        <f>IFERROR(ROUND(X299*0.13,2),"")</f>
        <v/>
      </c>
      <c r="Z299">
        <f>IFERROR(X299+Y299,"")</f>
        <v/>
      </c>
      <c r="AA299" t="inlineStr">
        <is>
          <t>efectivo</t>
        </is>
      </c>
      <c r="AB299" t="inlineStr"/>
    </row>
    <row r="300">
      <c r="A300" t="inlineStr">
        <is>
          <t>F-10687</t>
        </is>
      </c>
      <c r="B300" s="3" t="n">
        <v>46257</v>
      </c>
      <c r="C300" t="inlineStr">
        <is>
          <t>Factura</t>
        </is>
      </c>
      <c r="D300" t="inlineStr">
        <is>
          <t>SS01</t>
        </is>
      </c>
      <c r="E300" t="inlineStr">
        <is>
          <t>San Salvador Centro</t>
        </is>
      </c>
      <c r="F300" t="inlineStr">
        <is>
          <t>4a Calle Poniente #215</t>
        </is>
      </c>
      <c r="G300" t="inlineStr">
        <is>
          <t>San Salvador</t>
        </is>
      </c>
      <c r="H300" t="inlineStr">
        <is>
          <t>San Salvador</t>
        </is>
      </c>
      <c r="I300" t="inlineStr">
        <is>
          <t>Roberto Alfaro</t>
        </is>
      </c>
      <c r="J300" t="inlineStr">
        <is>
          <t>2221-4580</t>
        </is>
      </c>
      <c r="K300" t="inlineStr">
        <is>
          <t>José Martínez</t>
        </is>
      </c>
      <c r="L300" t="inlineStr">
        <is>
          <t>Sandra Lemus Flores</t>
        </is>
      </c>
      <c r="M300" t="inlineStr">
        <is>
          <t>07143344-7</t>
        </is>
      </c>
      <c r="N300" t="inlineStr">
        <is>
          <t>2764-5365</t>
        </is>
      </c>
      <c r="O300" t="inlineStr">
        <is>
          <t>Consumidor final</t>
        </is>
      </c>
      <c r="P300" t="inlineStr">
        <is>
          <t>PAN-001</t>
        </is>
      </c>
      <c r="Q300" t="inlineStr">
        <is>
          <t>Pan francés bolsa 10u</t>
        </is>
      </c>
      <c r="R300" t="inlineStr">
        <is>
          <t>Panaderia</t>
        </is>
      </c>
      <c r="S300" t="inlineStr">
        <is>
          <t>Panificadora Ilopango</t>
        </is>
      </c>
      <c r="T300" t="inlineStr">
        <is>
          <t>2295-0081</t>
        </is>
      </c>
      <c r="U300" t="n">
        <v>1</v>
      </c>
      <c r="V300" t="n">
        <v>12</v>
      </c>
      <c r="W300" t="n">
        <v>0</v>
      </c>
      <c r="X300">
        <f>IFERROR(U300*V300*(1-W300/100),"")</f>
        <v/>
      </c>
      <c r="Y300">
        <f>IFERROR(ROUND(X300*0.13,2),"")</f>
        <v/>
      </c>
      <c r="Z300">
        <f>IFERROR(X300+Y300,"")</f>
        <v/>
      </c>
      <c r="AA300" t="inlineStr">
        <is>
          <t>efectivo</t>
        </is>
      </c>
      <c r="AB300" t="inlineStr"/>
    </row>
    <row r="301">
      <c r="A301" t="inlineStr">
        <is>
          <t>F-10687</t>
        </is>
      </c>
      <c r="B301" s="3" t="n">
        <v>46257</v>
      </c>
      <c r="C301" t="inlineStr">
        <is>
          <t>Factura</t>
        </is>
      </c>
      <c r="D301" t="inlineStr">
        <is>
          <t>SS01</t>
        </is>
      </c>
      <c r="E301" t="inlineStr">
        <is>
          <t>San Salvador Centro</t>
        </is>
      </c>
      <c r="F301" t="inlineStr">
        <is>
          <t>4a Calle Poniente #215</t>
        </is>
      </c>
      <c r="G301" t="inlineStr">
        <is>
          <t>San Salvador</t>
        </is>
      </c>
      <c r="H301" t="inlineStr">
        <is>
          <t>San Salvador</t>
        </is>
      </c>
      <c r="I301" t="inlineStr">
        <is>
          <t>Roberto Alfaro</t>
        </is>
      </c>
      <c r="J301" t="inlineStr">
        <is>
          <t>2221-4580</t>
        </is>
      </c>
      <c r="K301" t="inlineStr">
        <is>
          <t>José Martínez</t>
        </is>
      </c>
      <c r="L301" t="inlineStr">
        <is>
          <t>Sandra Lemus Flores</t>
        </is>
      </c>
      <c r="M301" t="inlineStr">
        <is>
          <t>07143344-7</t>
        </is>
      </c>
      <c r="N301" t="inlineStr">
        <is>
          <t>2764-5365</t>
        </is>
      </c>
      <c r="O301" t="inlineStr">
        <is>
          <t>Consumidor final</t>
        </is>
      </c>
      <c r="P301" t="inlineStr">
        <is>
          <t>HIG-002</t>
        </is>
      </c>
      <c r="Q301" t="inlineStr">
        <is>
          <t>Papel higiénico 4 rollos</t>
        </is>
      </c>
      <c r="R301" t="inlineStr">
        <is>
          <t>Higiene</t>
        </is>
      </c>
      <c r="S301" t="inlineStr">
        <is>
          <t>Higiene Total C.A.</t>
        </is>
      </c>
      <c r="T301" t="inlineStr">
        <is>
          <t>2207-5566</t>
        </is>
      </c>
      <c r="U301" t="n">
        <v>2.15</v>
      </c>
      <c r="V301" t="n">
        <v>1</v>
      </c>
      <c r="W301" t="n">
        <v>0</v>
      </c>
      <c r="X301">
        <f>IFERROR(U301*V301*(1-W301/100),"")</f>
        <v/>
      </c>
      <c r="Y301">
        <f>IFERROR(ROUND(X301*0.13,2),"")</f>
        <v/>
      </c>
      <c r="Z301">
        <f>IFERROR(X301+Y301,"")</f>
        <v/>
      </c>
      <c r="AA301" t="inlineStr">
        <is>
          <t>efectivo</t>
        </is>
      </c>
      <c r="AB301" t="inlineStr">
        <is>
          <t>pagó con billete de $100</t>
        </is>
      </c>
    </row>
    <row r="302">
      <c r="A302" t="inlineStr">
        <is>
          <t>F-10689</t>
        </is>
      </c>
      <c r="B302" s="3" t="n">
        <v>46244</v>
      </c>
      <c r="C302" t="inlineStr">
        <is>
          <t>Factura</t>
        </is>
      </c>
      <c r="D302" t="inlineStr">
        <is>
          <t>SS02</t>
        </is>
      </c>
      <c r="E302" t="inlineStr">
        <is>
          <t>Escalón</t>
        </is>
      </c>
      <c r="F302" t="inlineStr">
        <is>
          <t>Paseo General Escalón #3910</t>
        </is>
      </c>
      <c r="G302" t="inlineStr">
        <is>
          <t>San Salvador</t>
        </is>
      </c>
      <c r="H302" t="inlineStr">
        <is>
          <t>San Salvador</t>
        </is>
      </c>
      <c r="I302" t="inlineStr">
        <is>
          <t>Claudia Menjívar</t>
        </is>
      </c>
      <c r="J302" t="inlineStr">
        <is>
          <t>2264-1190</t>
        </is>
      </c>
      <c r="K302" t="inlineStr">
        <is>
          <t>Kevin Benítez</t>
        </is>
      </c>
      <c r="L302" t="inlineStr">
        <is>
          <t>Carlos García Cornejo</t>
        </is>
      </c>
      <c r="M302" t="inlineStr">
        <is>
          <t>09671747-5</t>
        </is>
      </c>
      <c r="N302" t="inlineStr">
        <is>
          <t>6898-8471</t>
        </is>
      </c>
      <c r="O302" t="inlineStr">
        <is>
          <t>Consumidor final</t>
        </is>
      </c>
      <c r="P302" t="inlineStr">
        <is>
          <t>BEB-002</t>
        </is>
      </c>
      <c r="Q302" t="inlineStr">
        <is>
          <t>Agua purificada 1 galón</t>
        </is>
      </c>
      <c r="R302" t="inlineStr">
        <is>
          <t>Bebidas</t>
        </is>
      </c>
      <c r="S302" t="inlineStr">
        <is>
          <t>Bebidas Izalco</t>
        </is>
      </c>
      <c r="T302" t="inlineStr">
        <is>
          <t>2450-7700</t>
        </is>
      </c>
      <c r="U302" t="n">
        <v>1.1</v>
      </c>
      <c r="V302" t="n">
        <v>2</v>
      </c>
      <c r="W302" t="n">
        <v>0</v>
      </c>
      <c r="X302">
        <f>IFERROR(U302*V302*(1-W302/100),"")</f>
        <v/>
      </c>
      <c r="Y302">
        <f>IFERROR(ROUND(X302*0.13,2),"")</f>
        <v/>
      </c>
      <c r="Z302">
        <f>IFERROR(X302+Y302,"")</f>
        <v/>
      </c>
      <c r="AA302" t="inlineStr">
        <is>
          <t>Efectivo</t>
        </is>
      </c>
      <c r="AB302" t="inlineStr">
        <is>
          <t>precio especial autorizado por gerente</t>
        </is>
      </c>
    </row>
    <row r="303">
      <c r="A303" t="inlineStr">
        <is>
          <t>F-10689</t>
        </is>
      </c>
      <c r="B303" s="3" t="n">
        <v>46244</v>
      </c>
      <c r="C303" t="inlineStr">
        <is>
          <t>Factura</t>
        </is>
      </c>
      <c r="D303" t="inlineStr">
        <is>
          <t>SS02</t>
        </is>
      </c>
      <c r="E303" t="inlineStr">
        <is>
          <t>Escalon</t>
        </is>
      </c>
      <c r="F303" t="inlineStr">
        <is>
          <t>Paseo General Escalón #3910</t>
        </is>
      </c>
      <c r="G303" t="inlineStr">
        <is>
          <t>San Salvador</t>
        </is>
      </c>
      <c r="H303" t="inlineStr">
        <is>
          <t>San Salvador</t>
        </is>
      </c>
      <c r="I303" t="inlineStr">
        <is>
          <t>Claudia Menjívar</t>
        </is>
      </c>
      <c r="J303" t="inlineStr">
        <is>
          <t>2264-1190</t>
        </is>
      </c>
      <c r="K303" t="inlineStr">
        <is>
          <t>Kevin Benítez</t>
        </is>
      </c>
      <c r="L303" t="inlineStr">
        <is>
          <t>Carlos García Cornejo</t>
        </is>
      </c>
      <c r="M303" t="inlineStr">
        <is>
          <t>09671747-5</t>
        </is>
      </c>
      <c r="N303" t="inlineStr">
        <is>
          <t>6898-8471</t>
        </is>
      </c>
      <c r="O303" t="inlineStr">
        <is>
          <t>Consumidor final</t>
        </is>
      </c>
      <c r="P303" t="inlineStr">
        <is>
          <t>ARR-001</t>
        </is>
      </c>
      <c r="Q303" t="inlineStr">
        <is>
          <t>Arroz blanco 5lb</t>
        </is>
      </c>
      <c r="R303" t="inlineStr">
        <is>
          <t>Abarrotes</t>
        </is>
      </c>
      <c r="S303" t="inlineStr">
        <is>
          <t>Granos del Pacífico</t>
        </is>
      </c>
      <c r="T303" t="inlineStr">
        <is>
          <t>2234-8890</t>
        </is>
      </c>
      <c r="U303" t="inlineStr">
        <is>
          <t>$3.95</t>
        </is>
      </c>
      <c r="V303" t="n">
        <v>1</v>
      </c>
      <c r="W303" t="n">
        <v>0</v>
      </c>
      <c r="X303">
        <f>IFERROR(U303*V303*(1-W303/100),"")</f>
        <v/>
      </c>
      <c r="Y303">
        <f>IFERROR(ROUND(X303*0.13,2),"")</f>
        <v/>
      </c>
      <c r="Z303">
        <f>IFERROR(X303+Y303,"")</f>
        <v/>
      </c>
      <c r="AA303" t="inlineStr">
        <is>
          <t>Efectivo</t>
        </is>
      </c>
      <c r="AB303" t="inlineStr">
        <is>
          <t>entregar en bodega</t>
        </is>
      </c>
    </row>
    <row r="304">
      <c r="A304" t="inlineStr">
        <is>
          <t>F-10691</t>
        </is>
      </c>
      <c r="B304" t="inlineStr">
        <is>
          <t>02/09/2026</t>
        </is>
      </c>
      <c r="C304" t="inlineStr">
        <is>
          <t>CCF</t>
        </is>
      </c>
      <c r="D304" t="inlineStr">
        <is>
          <t>LL01</t>
        </is>
      </c>
      <c r="E304" t="inlineStr">
        <is>
          <t>SANTA TECLA</t>
        </is>
      </c>
      <c r="F304" t="inlineStr">
        <is>
          <t>Calle Daniel Hernández #18</t>
        </is>
      </c>
      <c r="G304" t="inlineStr">
        <is>
          <t>Santa Tecla</t>
        </is>
      </c>
      <c r="H304" t="inlineStr">
        <is>
          <t>La Libertad</t>
        </is>
      </c>
      <c r="I304" t="inlineStr">
        <is>
          <t>Óscar Rivas</t>
        </is>
      </c>
      <c r="J304" t="inlineStr">
        <is>
          <t>2228-7731</t>
        </is>
      </c>
      <c r="K304" t="inlineStr">
        <is>
          <t>Andrea Pineda</t>
        </is>
      </c>
      <c r="L304" t="inlineStr">
        <is>
          <t>Restaurante El Guanaco</t>
        </is>
      </c>
      <c r="M304" t="inlineStr">
        <is>
          <t>168675-3</t>
        </is>
      </c>
      <c r="N304" t="inlineStr">
        <is>
          <t>6165-7029</t>
        </is>
      </c>
      <c r="O304" t="inlineStr">
        <is>
          <t>Contribuyente</t>
        </is>
      </c>
      <c r="P304" t="inlineStr">
        <is>
          <t>HIG-003</t>
        </is>
      </c>
      <c r="Q304" t="inlineStr">
        <is>
          <t>Jabón de lavar barra</t>
        </is>
      </c>
      <c r="R304" t="inlineStr">
        <is>
          <t>Limpieza</t>
        </is>
      </c>
      <c r="S304" t="inlineStr">
        <is>
          <t>Higiene Total C.A.</t>
        </is>
      </c>
      <c r="T304" t="inlineStr">
        <is>
          <t>2207-5566</t>
        </is>
      </c>
      <c r="U304" t="n">
        <v>0.75</v>
      </c>
      <c r="V304" t="n">
        <v>2</v>
      </c>
      <c r="W304" t="n">
        <v>0</v>
      </c>
      <c r="X304">
        <f>IFERROR(U304*V304*(1-W304/100),"")</f>
        <v/>
      </c>
      <c r="Y304">
        <f>IFERROR(ROUND(X304*0.13,2),"")</f>
        <v/>
      </c>
      <c r="Z304">
        <f>IFERROR(X304+Y304,"")</f>
        <v/>
      </c>
      <c r="AA304" t="inlineStr">
        <is>
          <t>Chivo</t>
        </is>
      </c>
      <c r="AB304" t="inlineStr">
        <is>
          <t>precio especial autorizado por gerente</t>
        </is>
      </c>
    </row>
    <row r="305">
      <c r="A305" t="inlineStr">
        <is>
          <t>F-10691</t>
        </is>
      </c>
      <c r="B305" t="inlineStr">
        <is>
          <t>02/09/2026</t>
        </is>
      </c>
      <c r="C305" t="inlineStr">
        <is>
          <t>CCF</t>
        </is>
      </c>
      <c r="D305" t="inlineStr">
        <is>
          <t>LL01</t>
        </is>
      </c>
      <c r="E305" t="inlineStr">
        <is>
          <t>Sta. Tecla</t>
        </is>
      </c>
      <c r="F305" t="inlineStr">
        <is>
          <t>Calle Daniel Hernández #18</t>
        </is>
      </c>
      <c r="G305" t="inlineStr">
        <is>
          <t>Santa Tecla</t>
        </is>
      </c>
      <c r="H305" t="inlineStr">
        <is>
          <t>La Libertad</t>
        </is>
      </c>
      <c r="I305" t="inlineStr">
        <is>
          <t>Óscar Rivas</t>
        </is>
      </c>
      <c r="J305" t="inlineStr">
        <is>
          <t>2228-7731</t>
        </is>
      </c>
      <c r="K305" t="inlineStr">
        <is>
          <t>Andrea Pineda</t>
        </is>
      </c>
      <c r="L305" t="inlineStr">
        <is>
          <t>Restaurante El Guanaco</t>
        </is>
      </c>
      <c r="M305" t="inlineStr">
        <is>
          <t>168675-3</t>
        </is>
      </c>
      <c r="N305" t="inlineStr">
        <is>
          <t>6165-7029</t>
        </is>
      </c>
      <c r="O305" t="inlineStr">
        <is>
          <t>Contribuyente</t>
        </is>
      </c>
      <c r="P305" t="inlineStr">
        <is>
          <t>LAC-001</t>
        </is>
      </c>
      <c r="Q305" t="inlineStr">
        <is>
          <t>Quesillo 1lb</t>
        </is>
      </c>
      <c r="R305" t="inlineStr">
        <is>
          <t>LACTEOS</t>
        </is>
      </c>
      <c r="S305" t="inlineStr">
        <is>
          <t>Lácteos Chalate</t>
        </is>
      </c>
      <c r="T305" t="inlineStr">
        <is>
          <t>2335-1020</t>
        </is>
      </c>
      <c r="U305" t="n">
        <v>3.8</v>
      </c>
      <c r="V305" t="n">
        <v>2</v>
      </c>
      <c r="W305" t="n">
        <v>0</v>
      </c>
      <c r="X305">
        <f>IFERROR(U305*V305*(1-W305/100),"")</f>
        <v/>
      </c>
      <c r="Y305">
        <f>IFERROR(ROUND(X305*0.13,2),"")</f>
        <v/>
      </c>
      <c r="Z305">
        <f>IFERROR(X305+Y305,"")</f>
        <v/>
      </c>
      <c r="AA305" t="inlineStr">
        <is>
          <t>Chivo</t>
        </is>
      </c>
      <c r="AB305" t="inlineStr">
        <is>
          <t>pagó con billete de $100</t>
        </is>
      </c>
    </row>
    <row r="306">
      <c r="A306" t="inlineStr">
        <is>
          <t>F-10691</t>
        </is>
      </c>
      <c r="B306" s="3" t="n">
        <v>46267</v>
      </c>
      <c r="C306" t="inlineStr">
        <is>
          <t>CCF</t>
        </is>
      </c>
      <c r="D306" t="inlineStr">
        <is>
          <t>LL01</t>
        </is>
      </c>
      <c r="E306" t="inlineStr">
        <is>
          <t>Sta. Tecla</t>
        </is>
      </c>
      <c r="F306" t="inlineStr">
        <is>
          <t>Calle Daniel Hernández #18</t>
        </is>
      </c>
      <c r="G306" t="inlineStr">
        <is>
          <t>Santa Tecla</t>
        </is>
      </c>
      <c r="H306" t="inlineStr">
        <is>
          <t>La Libertad</t>
        </is>
      </c>
      <c r="I306" t="inlineStr">
        <is>
          <t>Óscar Rivas</t>
        </is>
      </c>
      <c r="J306" t="inlineStr">
        <is>
          <t>2228-7731</t>
        </is>
      </c>
      <c r="K306" t="inlineStr">
        <is>
          <t>Andrea Pineda</t>
        </is>
      </c>
      <c r="L306" t="inlineStr">
        <is>
          <t>Restaurante El Guanaco</t>
        </is>
      </c>
      <c r="M306" t="inlineStr">
        <is>
          <t>168675-3</t>
        </is>
      </c>
      <c r="N306" t="inlineStr">
        <is>
          <t>6165-7029</t>
        </is>
      </c>
      <c r="O306" t="inlineStr">
        <is>
          <t>Contribuyente</t>
        </is>
      </c>
      <c r="P306" t="inlineStr">
        <is>
          <t>LAC-003</t>
        </is>
      </c>
      <c r="Q306" t="inlineStr">
        <is>
          <t>Leche entera 1L</t>
        </is>
      </c>
      <c r="R306" t="inlineStr">
        <is>
          <t>Lácteos</t>
        </is>
      </c>
      <c r="S306" t="inlineStr">
        <is>
          <t>Lácteos Chalate</t>
        </is>
      </c>
      <c r="T306" t="inlineStr">
        <is>
          <t>2335-1020</t>
        </is>
      </c>
      <c r="U306" t="inlineStr">
        <is>
          <t>$1.20</t>
        </is>
      </c>
      <c r="V306" t="n">
        <v>4</v>
      </c>
      <c r="W306" t="n">
        <v>0</v>
      </c>
      <c r="X306">
        <f>IFERROR(U306*V306*(1-W306/100),"")</f>
        <v/>
      </c>
      <c r="Y306">
        <f>IFERROR(ROUND(X306*0.13,2),"")</f>
        <v/>
      </c>
      <c r="Z306">
        <f>IFERROR(X306+Y306,"")</f>
        <v/>
      </c>
      <c r="AA306" t="inlineStr">
        <is>
          <t>Chivo</t>
        </is>
      </c>
      <c r="AB306" t="inlineStr"/>
    </row>
    <row r="307">
      <c r="A307" t="inlineStr">
        <is>
          <t>F-10694</t>
        </is>
      </c>
      <c r="B307" t="inlineStr">
        <is>
          <t>12/07/2026</t>
        </is>
      </c>
      <c r="C307" t="inlineStr">
        <is>
          <t>factura</t>
        </is>
      </c>
      <c r="D307" t="inlineStr">
        <is>
          <t>SS01</t>
        </is>
      </c>
      <c r="E307" t="inlineStr">
        <is>
          <t>S.S. Centro</t>
        </is>
      </c>
      <c r="F307" t="inlineStr">
        <is>
          <t>4a Calle Poniente #215</t>
        </is>
      </c>
      <c r="G307" t="inlineStr">
        <is>
          <t>San Salvador</t>
        </is>
      </c>
      <c r="H307" t="inlineStr">
        <is>
          <t>San Salvador</t>
        </is>
      </c>
      <c r="I307" t="inlineStr">
        <is>
          <t>Roberto Alfaro</t>
        </is>
      </c>
      <c r="J307" t="inlineStr">
        <is>
          <t>2221-4580</t>
        </is>
      </c>
      <c r="K307" t="inlineStr">
        <is>
          <t>José Martínez</t>
        </is>
      </c>
      <c r="L307" t="inlineStr">
        <is>
          <t>Sandra Lemus Flores</t>
        </is>
      </c>
      <c r="M307" t="inlineStr">
        <is>
          <t>07143344-7</t>
        </is>
      </c>
      <c r="N307" t="inlineStr">
        <is>
          <t>2764-5365</t>
        </is>
      </c>
      <c r="O307" t="inlineStr">
        <is>
          <t>Consumidor final</t>
        </is>
      </c>
      <c r="P307" t="inlineStr">
        <is>
          <t>HIG-002</t>
        </is>
      </c>
      <c r="Q307" t="inlineStr">
        <is>
          <t>Papel higiénico 4 rollos</t>
        </is>
      </c>
      <c r="R307" t="inlineStr">
        <is>
          <t>Higiene</t>
        </is>
      </c>
      <c r="S307" t="inlineStr">
        <is>
          <t>Higiene Total C.A.</t>
        </is>
      </c>
      <c r="T307" t="inlineStr">
        <is>
          <t>2207-5566</t>
        </is>
      </c>
      <c r="U307" t="inlineStr">
        <is>
          <t>2,15</t>
        </is>
      </c>
      <c r="V307" t="n">
        <v>3</v>
      </c>
      <c r="W307" t="n">
        <v>0</v>
      </c>
      <c r="X307">
        <f>IFERROR(U307*V307*(1-W307/100),"")</f>
        <v/>
      </c>
      <c r="Y307">
        <f>IFERROR(ROUND(X307*0.13,2),"")</f>
        <v/>
      </c>
      <c r="Z307">
        <f>IFERROR(X307+Y307,"")</f>
        <v/>
      </c>
      <c r="AA307" t="inlineStr">
        <is>
          <t>Efectivo</t>
        </is>
      </c>
      <c r="AB307" t="inlineStr"/>
    </row>
    <row r="308">
      <c r="A308" t="inlineStr">
        <is>
          <t>F-10694</t>
        </is>
      </c>
      <c r="B308" t="inlineStr">
        <is>
          <t>12-Jul-26</t>
        </is>
      </c>
      <c r="C308" t="inlineStr">
        <is>
          <t>factura</t>
        </is>
      </c>
      <c r="D308" t="inlineStr">
        <is>
          <t>SS01</t>
        </is>
      </c>
      <c r="E308" t="inlineStr">
        <is>
          <t>San Salvador Centro</t>
        </is>
      </c>
      <c r="F308" t="inlineStr">
        <is>
          <t>4a Calle Poniente #215</t>
        </is>
      </c>
      <c r="G308" t="inlineStr">
        <is>
          <t>San Salvador</t>
        </is>
      </c>
      <c r="H308" t="inlineStr">
        <is>
          <t>San Salvador</t>
        </is>
      </c>
      <c r="I308" t="inlineStr">
        <is>
          <t>Roberto Alfaro</t>
        </is>
      </c>
      <c r="J308" t="inlineStr">
        <is>
          <t>2221-4580</t>
        </is>
      </c>
      <c r="K308" t="inlineStr">
        <is>
          <t>José Martínez</t>
        </is>
      </c>
      <c r="L308" t="inlineStr">
        <is>
          <t>Sandra Lemus Flores</t>
        </is>
      </c>
      <c r="M308" t="inlineStr">
        <is>
          <t>07143344-7</t>
        </is>
      </c>
      <c r="N308" t="inlineStr">
        <is>
          <t>2764-5365</t>
        </is>
      </c>
      <c r="O308" t="inlineStr">
        <is>
          <t>Consumidor final</t>
        </is>
      </c>
      <c r="P308" t="inlineStr">
        <is>
          <t>HIG-001</t>
        </is>
      </c>
      <c r="Q308" t="inlineStr">
        <is>
          <t>Detergente 1kg</t>
        </is>
      </c>
      <c r="R308" t="inlineStr">
        <is>
          <t>Limpieza</t>
        </is>
      </c>
      <c r="S308" t="inlineStr">
        <is>
          <t>Higiene Total C.A.</t>
        </is>
      </c>
      <c r="T308" t="inlineStr">
        <is>
          <t>2207-5566</t>
        </is>
      </c>
      <c r="U308" t="inlineStr">
        <is>
          <t>3,45</t>
        </is>
      </c>
      <c r="V308" t="n">
        <v>12</v>
      </c>
      <c r="W308" t="n">
        <v>0</v>
      </c>
      <c r="X308">
        <f>IFERROR(U308*V308*(1-W308/100),"")</f>
        <v/>
      </c>
      <c r="Y308">
        <f>IFERROR(ROUND(X308*0.13,2),"")</f>
        <v/>
      </c>
      <c r="Z308">
        <f>IFERROR(X308+Y308,"")</f>
        <v/>
      </c>
      <c r="AA308" t="inlineStr">
        <is>
          <t>Efectivo</t>
        </is>
      </c>
      <c r="AB308" t="inlineStr"/>
    </row>
    <row r="309">
      <c r="A309" t="inlineStr">
        <is>
          <t>F-10695</t>
        </is>
      </c>
      <c r="B309" s="3" t="n">
        <v>46270</v>
      </c>
      <c r="C309" t="inlineStr">
        <is>
          <t>FCF</t>
        </is>
      </c>
      <c r="D309" t="inlineStr">
        <is>
          <t>SM01</t>
        </is>
      </c>
      <c r="E309" t="inlineStr">
        <is>
          <t>SAN MIGUEL</t>
        </is>
      </c>
      <c r="F309" t="inlineStr">
        <is>
          <t>Av. Roosevelt Sur #7</t>
        </is>
      </c>
      <c r="G309" t="inlineStr">
        <is>
          <t>San Miguel</t>
        </is>
      </c>
      <c r="H309" t="inlineStr">
        <is>
          <t>San Miguel</t>
        </is>
      </c>
      <c r="I309" t="inlineStr">
        <is>
          <t>Iris Portillo</t>
        </is>
      </c>
      <c r="J309" t="inlineStr">
        <is>
          <t>2661-5076</t>
        </is>
      </c>
      <c r="K309" t="inlineStr">
        <is>
          <t>Jorge Villalta</t>
        </is>
      </c>
      <c r="L309" t="inlineStr">
        <is>
          <t>Carmen Quintanilla Mejía</t>
        </is>
      </c>
      <c r="M309" t="inlineStr">
        <is>
          <t>05832730-5</t>
        </is>
      </c>
      <c r="N309" t="inlineStr">
        <is>
          <t>6863-9414</t>
        </is>
      </c>
      <c r="O309" t="inlineStr">
        <is>
          <t>Consumidor final</t>
        </is>
      </c>
      <c r="P309" t="inlineStr">
        <is>
          <t>BEB-001</t>
        </is>
      </c>
      <c r="Q309" t="inlineStr">
        <is>
          <t>Gaseosa 2.5L</t>
        </is>
      </c>
      <c r="R309" t="inlineStr">
        <is>
          <t>bebidas</t>
        </is>
      </c>
      <c r="S309" t="inlineStr">
        <is>
          <t>Bebidas Izalco</t>
        </is>
      </c>
      <c r="T309" t="inlineStr">
        <is>
          <t>2450-7700</t>
        </is>
      </c>
      <c r="U309" t="n">
        <v>1.95</v>
      </c>
      <c r="V309" t="n">
        <v>6</v>
      </c>
      <c r="W309" t="n">
        <v>0</v>
      </c>
      <c r="X309">
        <f>IFERROR(U309*V309*(1-W309/100),"")</f>
        <v/>
      </c>
      <c r="Y309">
        <f>IFERROR(ROUND(X309*0.13,2),"")</f>
        <v/>
      </c>
      <c r="Z309">
        <f>IFERROR(X309+Y309,"")</f>
        <v/>
      </c>
      <c r="AA309" t="inlineStr">
        <is>
          <t>Efectivo</t>
        </is>
      </c>
      <c r="AB309" t="inlineStr">
        <is>
          <t>Cliente frecuente</t>
        </is>
      </c>
    </row>
    <row r="310">
      <c r="A310" t="inlineStr">
        <is>
          <t>F-10695</t>
        </is>
      </c>
      <c r="B310" s="3" t="n">
        <v>46270</v>
      </c>
      <c r="C310" t="inlineStr">
        <is>
          <t>FCF</t>
        </is>
      </c>
      <c r="D310" t="inlineStr">
        <is>
          <t>SM01</t>
        </is>
      </c>
      <c r="E310" t="inlineStr">
        <is>
          <t>San Miguel</t>
        </is>
      </c>
      <c r="F310" t="inlineStr">
        <is>
          <t>Av. Roosevelt Sur #7</t>
        </is>
      </c>
      <c r="G310" t="inlineStr">
        <is>
          <t>San Miguel</t>
        </is>
      </c>
      <c r="H310" t="inlineStr">
        <is>
          <t>San Miguel</t>
        </is>
      </c>
      <c r="I310" t="inlineStr">
        <is>
          <t>Iris Portillo</t>
        </is>
      </c>
      <c r="J310" t="inlineStr">
        <is>
          <t>2661-5076</t>
        </is>
      </c>
      <c r="K310" t="inlineStr">
        <is>
          <t>Jorge Villalta</t>
        </is>
      </c>
      <c r="L310" t="inlineStr">
        <is>
          <t>Carmen Quintanilla Mejía</t>
        </is>
      </c>
      <c r="M310" t="inlineStr">
        <is>
          <t>05832730-5</t>
        </is>
      </c>
      <c r="N310" t="inlineStr">
        <is>
          <t>6863-9414</t>
        </is>
      </c>
      <c r="O310" t="inlineStr">
        <is>
          <t>Consumidor final</t>
        </is>
      </c>
      <c r="P310" t="inlineStr">
        <is>
          <t>AZU-001</t>
        </is>
      </c>
      <c r="Q310" t="inlineStr">
        <is>
          <t>Azúcar blanca 2.5kg</t>
        </is>
      </c>
      <c r="R310" t="inlineStr">
        <is>
          <t>Abarrotes</t>
        </is>
      </c>
      <c r="S310" t="inlineStr">
        <is>
          <t>Granos del Pacífico</t>
        </is>
      </c>
      <c r="T310" t="inlineStr">
        <is>
          <t>2234-8890</t>
        </is>
      </c>
      <c r="U310" t="n">
        <v>3.1</v>
      </c>
      <c r="V310" t="n">
        <v>2</v>
      </c>
      <c r="W310" t="n">
        <v>0</v>
      </c>
      <c r="X310">
        <f>IFERROR(U310*V310*(1-W310/100),"")</f>
        <v/>
      </c>
      <c r="Y310">
        <f>IFERROR(ROUND(X310*0.13,2),"")</f>
        <v/>
      </c>
      <c r="Z310">
        <f>IFERROR(X310+Y310,"")</f>
        <v/>
      </c>
      <c r="AA310" t="inlineStr">
        <is>
          <t>Efectivo</t>
        </is>
      </c>
      <c r="AB310" t="inlineStr"/>
    </row>
    <row r="311">
      <c r="A311" t="inlineStr">
        <is>
          <t>F-10698</t>
        </is>
      </c>
      <c r="B311" t="inlineStr">
        <is>
          <t>20-Jul-26</t>
        </is>
      </c>
      <c r="C311" t="inlineStr">
        <is>
          <t>Factura</t>
        </is>
      </c>
      <c r="D311" t="inlineStr">
        <is>
          <t>SS01</t>
        </is>
      </c>
      <c r="E311" t="inlineStr">
        <is>
          <t>San Salvador Centro</t>
        </is>
      </c>
      <c r="F311" t="inlineStr">
        <is>
          <t>4a Calle Poniente #215</t>
        </is>
      </c>
      <c r="G311" t="inlineStr">
        <is>
          <t>San Salvador</t>
        </is>
      </c>
      <c r="H311" t="inlineStr">
        <is>
          <t>San Salvador</t>
        </is>
      </c>
      <c r="I311" t="inlineStr">
        <is>
          <t>Roberto Alfaro</t>
        </is>
      </c>
      <c r="J311" t="inlineStr">
        <is>
          <t>2221-4580</t>
        </is>
      </c>
      <c r="K311" t="inlineStr">
        <is>
          <t>Daniela Orellana</t>
        </is>
      </c>
      <c r="L311" t="inlineStr">
        <is>
          <t>René Flores García</t>
        </is>
      </c>
      <c r="M311" t="inlineStr"/>
      <c r="N311" t="inlineStr">
        <is>
          <t>6702-2047</t>
        </is>
      </c>
      <c r="O311" t="inlineStr">
        <is>
          <t>Consumidor final</t>
        </is>
      </c>
      <c r="P311" t="inlineStr">
        <is>
          <t>HIG-003</t>
        </is>
      </c>
      <c r="Q311" t="inlineStr">
        <is>
          <t>Jabón de lavar barra</t>
        </is>
      </c>
      <c r="R311" t="inlineStr">
        <is>
          <t>Limpieza</t>
        </is>
      </c>
      <c r="S311" t="inlineStr">
        <is>
          <t>Higiene Total C.A.</t>
        </is>
      </c>
      <c r="T311" t="inlineStr">
        <is>
          <t>2207-5566</t>
        </is>
      </c>
      <c r="U311" t="inlineStr">
        <is>
          <t>$0.75</t>
        </is>
      </c>
      <c r="V311" t="n">
        <v>2</v>
      </c>
      <c r="W311" t="n">
        <v>0</v>
      </c>
      <c r="X311">
        <f>IFERROR(U311*V311*(1-W311/100),"")</f>
        <v/>
      </c>
      <c r="Y311">
        <f>IFERROR(ROUND(X311*0.13,2),"")</f>
        <v/>
      </c>
      <c r="Z311">
        <f>IFERROR(X311+Y311,"")</f>
        <v/>
      </c>
      <c r="AA311" t="inlineStr">
        <is>
          <t>Efectivo</t>
        </is>
      </c>
      <c r="AB311" t="inlineStr">
        <is>
          <t>precio especial autorizado por gerente</t>
        </is>
      </c>
    </row>
    <row r="312">
      <c r="A312" t="inlineStr">
        <is>
          <t>F-10698</t>
        </is>
      </c>
      <c r="B312" t="inlineStr">
        <is>
          <t>2026-07-20</t>
        </is>
      </c>
      <c r="C312" t="inlineStr">
        <is>
          <t>Factura</t>
        </is>
      </c>
      <c r="D312" t="inlineStr">
        <is>
          <t>SS01</t>
        </is>
      </c>
      <c r="E312" t="inlineStr">
        <is>
          <t xml:space="preserve">san salvador centro </t>
        </is>
      </c>
      <c r="F312" t="inlineStr">
        <is>
          <t>4a Calle Poniente #215</t>
        </is>
      </c>
      <c r="G312" t="inlineStr">
        <is>
          <t>San Salvador</t>
        </is>
      </c>
      <c r="H312" t="inlineStr">
        <is>
          <t>San Salvador</t>
        </is>
      </c>
      <c r="I312" t="inlineStr">
        <is>
          <t>Roberto Alfaro</t>
        </is>
      </c>
      <c r="J312" t="inlineStr">
        <is>
          <t>2221-4580</t>
        </is>
      </c>
      <c r="K312" t="inlineStr">
        <is>
          <t>Daniela Orellana</t>
        </is>
      </c>
      <c r="L312" t="inlineStr">
        <is>
          <t>RENÉ FLORES GARCÍA</t>
        </is>
      </c>
      <c r="M312" t="inlineStr">
        <is>
          <t>08499785-5</t>
        </is>
      </c>
      <c r="N312" t="inlineStr">
        <is>
          <t>6702-2047</t>
        </is>
      </c>
      <c r="O312" t="inlineStr">
        <is>
          <t>Consumidor final</t>
        </is>
      </c>
      <c r="P312" t="inlineStr">
        <is>
          <t>CAF-001</t>
        </is>
      </c>
      <c r="Q312" t="inlineStr">
        <is>
          <t>Café molido 400g</t>
        </is>
      </c>
      <c r="R312" t="inlineStr">
        <is>
          <t>Abarrotes</t>
        </is>
      </c>
      <c r="S312" t="inlineStr">
        <is>
          <t>Café Volcán S.A.</t>
        </is>
      </c>
      <c r="T312" t="inlineStr">
        <is>
          <t>2510-3344</t>
        </is>
      </c>
      <c r="U312" t="n">
        <v>4.25</v>
      </c>
      <c r="V312" t="n">
        <v>2</v>
      </c>
      <c r="W312" t="n">
        <v>0</v>
      </c>
      <c r="X312">
        <f>IFERROR(U312*V312*(1-W312/100),"")</f>
        <v/>
      </c>
      <c r="Y312">
        <f>IFERROR(ROUND(X312*0.13,2),"")</f>
        <v/>
      </c>
      <c r="Z312">
        <f>IFERROR(X312+Y312,"")</f>
        <v/>
      </c>
      <c r="AA312" t="inlineStr">
        <is>
          <t>Efectivo</t>
        </is>
      </c>
      <c r="AB312" t="inlineStr">
        <is>
          <t>pagó con billete de $100</t>
        </is>
      </c>
    </row>
    <row r="313">
      <c r="A313" t="inlineStr">
        <is>
          <t>F-10701</t>
        </is>
      </c>
      <c r="B313" s="3" t="n">
        <v>46280</v>
      </c>
      <c r="C313" t="inlineStr">
        <is>
          <t>Factura</t>
        </is>
      </c>
      <c r="D313" t="inlineStr">
        <is>
          <t>SA01</t>
        </is>
      </c>
      <c r="E313" t="inlineStr">
        <is>
          <t>STA ANA</t>
        </is>
      </c>
      <c r="F313" t="inlineStr">
        <is>
          <t>Av. Independencia Sur #12</t>
        </is>
      </c>
      <c r="G313" t="inlineStr">
        <is>
          <t>Santa Ana</t>
        </is>
      </c>
      <c r="H313" t="inlineStr">
        <is>
          <t>Santa Ana</t>
        </is>
      </c>
      <c r="I313" t="inlineStr">
        <is>
          <t>Mauricio Linares</t>
        </is>
      </c>
      <c r="J313" t="inlineStr">
        <is>
          <t>2440-9921</t>
        </is>
      </c>
      <c r="K313" t="inlineStr">
        <is>
          <t>Sofía Cáceres</t>
        </is>
      </c>
      <c r="L313" t="inlineStr">
        <is>
          <t>Rosa Argueta Alvarado</t>
        </is>
      </c>
      <c r="M313" t="inlineStr">
        <is>
          <t>05070765-0</t>
        </is>
      </c>
      <c r="N313" t="inlineStr">
        <is>
          <t>6692-3069</t>
        </is>
      </c>
      <c r="O313" t="inlineStr">
        <is>
          <t>Consumidor final</t>
        </is>
      </c>
      <c r="P313" t="inlineStr">
        <is>
          <t>PAN-003</t>
        </is>
      </c>
      <c r="Q313" t="inlineStr">
        <is>
          <t>Quesadilla salvadoreña</t>
        </is>
      </c>
      <c r="R313" t="inlineStr">
        <is>
          <t>PANADERIA</t>
        </is>
      </c>
      <c r="S313" t="inlineStr">
        <is>
          <t>Panificadora Ilopango</t>
        </is>
      </c>
      <c r="T313" t="inlineStr">
        <is>
          <t>2295-0081</t>
        </is>
      </c>
      <c r="U313" t="n">
        <v>2.5</v>
      </c>
      <c r="V313" t="n">
        <v>6</v>
      </c>
      <c r="W313" t="n">
        <v>0</v>
      </c>
      <c r="X313">
        <f>IFERROR(U313*V313*(1-W313/100),"")</f>
        <v/>
      </c>
      <c r="Y313">
        <f>IFERROR(ROUND(X313*0.13,2),"")</f>
        <v/>
      </c>
      <c r="Z313">
        <f>IFERROR(X313+Y313,"")</f>
        <v/>
      </c>
      <c r="AA313" t="inlineStr">
        <is>
          <t>Efectivo</t>
        </is>
      </c>
      <c r="AB313" t="inlineStr">
        <is>
          <t>Cliente frecuente</t>
        </is>
      </c>
    </row>
    <row r="314">
      <c r="A314" t="inlineStr">
        <is>
          <t>F-10704</t>
        </is>
      </c>
      <c r="B314" s="3" t="n">
        <v>46279</v>
      </c>
      <c r="C314" t="inlineStr">
        <is>
          <t>Factura</t>
        </is>
      </c>
      <c r="D314" t="inlineStr">
        <is>
          <t>SA01</t>
        </is>
      </c>
      <c r="E314" t="inlineStr">
        <is>
          <t>Santa Ana</t>
        </is>
      </c>
      <c r="F314" t="inlineStr">
        <is>
          <t>Av. Independencia Sur #12</t>
        </is>
      </c>
      <c r="G314" t="inlineStr">
        <is>
          <t>Santa Ana</t>
        </is>
      </c>
      <c r="H314" t="inlineStr">
        <is>
          <t>Santa Ana</t>
        </is>
      </c>
      <c r="I314" t="inlineStr">
        <is>
          <t>Verónica Sandoval</t>
        </is>
      </c>
      <c r="J314" t="inlineStr">
        <is>
          <t>2440-9921</t>
        </is>
      </c>
      <c r="K314" t="inlineStr">
        <is>
          <t>Sofía Cáceres</t>
        </is>
      </c>
      <c r="L314" t="inlineStr">
        <is>
          <t>Rosa García López</t>
        </is>
      </c>
      <c r="M314" t="inlineStr">
        <is>
          <t>08949227-3</t>
        </is>
      </c>
      <c r="N314" t="inlineStr">
        <is>
          <t>7696-6025</t>
        </is>
      </c>
      <c r="O314" t="inlineStr">
        <is>
          <t>Consumidor final</t>
        </is>
      </c>
      <c r="P314" t="inlineStr">
        <is>
          <t>HIG-003</t>
        </is>
      </c>
      <c r="Q314" t="inlineStr">
        <is>
          <t>Jabón de lavar barra</t>
        </is>
      </c>
      <c r="R314" t="inlineStr">
        <is>
          <t>Limpieza</t>
        </is>
      </c>
      <c r="S314" t="inlineStr">
        <is>
          <t>Higiene Total C.A.</t>
        </is>
      </c>
      <c r="T314" t="inlineStr">
        <is>
          <t>2207-5566</t>
        </is>
      </c>
      <c r="U314" t="n">
        <v>0.75</v>
      </c>
      <c r="V314" t="n">
        <v>24</v>
      </c>
      <c r="W314" t="n">
        <v>0</v>
      </c>
      <c r="X314">
        <f>IFERROR(U314*V314*(1-W314/100),"")</f>
        <v/>
      </c>
      <c r="Y314">
        <f>IFERROR(ROUND(X314*0.13,2),"")</f>
        <v/>
      </c>
      <c r="Z314">
        <f>IFERROR(X314+Y314,"")</f>
        <v/>
      </c>
      <c r="AA314" t="inlineStr">
        <is>
          <t>Efectivo</t>
        </is>
      </c>
      <c r="AB314" t="inlineStr"/>
    </row>
    <row r="315">
      <c r="A315" t="inlineStr">
        <is>
          <t>F-10707</t>
        </is>
      </c>
      <c r="B315" s="3" t="n">
        <v>46210</v>
      </c>
      <c r="C315" t="inlineStr">
        <is>
          <t>Factura</t>
        </is>
      </c>
      <c r="D315" t="inlineStr">
        <is>
          <t>SM01</t>
        </is>
      </c>
      <c r="E315" t="inlineStr">
        <is>
          <t>San Miguel</t>
        </is>
      </c>
      <c r="F315" t="inlineStr">
        <is>
          <t>Av. Roosevelt Sur #7</t>
        </is>
      </c>
      <c r="G315" t="inlineStr">
        <is>
          <t>San Miguel</t>
        </is>
      </c>
      <c r="H315" t="inlineStr">
        <is>
          <t>San Miguel</t>
        </is>
      </c>
      <c r="I315" t="inlineStr">
        <is>
          <t>Iris Portillo</t>
        </is>
      </c>
      <c r="J315" t="inlineStr">
        <is>
          <t>2661-5076</t>
        </is>
      </c>
      <c r="K315" t="inlineStr">
        <is>
          <t>Jorge Villalta</t>
        </is>
      </c>
      <c r="L315" t="inlineStr">
        <is>
          <t>Silvia Mejía Sorto</t>
        </is>
      </c>
      <c r="M315" t="inlineStr">
        <is>
          <t>08942439-6</t>
        </is>
      </c>
      <c r="N315" t="inlineStr">
        <is>
          <t>2492-5995</t>
        </is>
      </c>
      <c r="O315" t="inlineStr">
        <is>
          <t>Consumidor final</t>
        </is>
      </c>
      <c r="P315" t="inlineStr">
        <is>
          <t>HIG-001</t>
        </is>
      </c>
      <c r="Q315" t="inlineStr">
        <is>
          <t>Detergente 1kg</t>
        </is>
      </c>
      <c r="R315" t="inlineStr">
        <is>
          <t>Limpieza</t>
        </is>
      </c>
      <c r="S315" t="inlineStr">
        <is>
          <t>Higiene Total C.A.</t>
        </is>
      </c>
      <c r="T315" t="inlineStr">
        <is>
          <t>2207-5566</t>
        </is>
      </c>
      <c r="U315" t="n">
        <v>3.45</v>
      </c>
      <c r="V315" t="n">
        <v>2</v>
      </c>
      <c r="W315" t="n">
        <v>0</v>
      </c>
      <c r="X315">
        <f>IFERROR(U315*V315*(1-W315/100),"")</f>
        <v/>
      </c>
      <c r="Y315">
        <f>IFERROR(ROUND(X315*0.13,2),"")</f>
        <v/>
      </c>
      <c r="Z315">
        <f>IFERROR(X315+Y315,"")</f>
        <v/>
      </c>
      <c r="AA315" t="inlineStr">
        <is>
          <t>Efectivo</t>
        </is>
      </c>
      <c r="AB315" t="inlineStr">
        <is>
          <t>pagó con billete de $100</t>
        </is>
      </c>
    </row>
    <row r="316">
      <c r="A316" t="inlineStr">
        <is>
          <t>F-10707</t>
        </is>
      </c>
      <c r="B316" t="inlineStr">
        <is>
          <t>07/07/2026</t>
        </is>
      </c>
      <c r="C316" t="inlineStr">
        <is>
          <t>Factura</t>
        </is>
      </c>
      <c r="D316" t="inlineStr">
        <is>
          <t>SM01</t>
        </is>
      </c>
      <c r="E316" t="inlineStr">
        <is>
          <t>SAN MIGUEL</t>
        </is>
      </c>
      <c r="F316" t="inlineStr">
        <is>
          <t>Av. Roosevelt Sur #7</t>
        </is>
      </c>
      <c r="G316" t="inlineStr">
        <is>
          <t>San Miguel</t>
        </is>
      </c>
      <c r="H316" t="inlineStr">
        <is>
          <t>San Miguel</t>
        </is>
      </c>
      <c r="I316" t="inlineStr">
        <is>
          <t>Iris Portillo</t>
        </is>
      </c>
      <c r="J316" t="inlineStr">
        <is>
          <t>2661-5076</t>
        </is>
      </c>
      <c r="K316" t="inlineStr">
        <is>
          <t>Jorge Villalta</t>
        </is>
      </c>
      <c r="L316" t="inlineStr">
        <is>
          <t>Silvia Mejía Sorto</t>
        </is>
      </c>
      <c r="M316" t="inlineStr">
        <is>
          <t>08942439-6</t>
        </is>
      </c>
      <c r="N316" t="inlineStr">
        <is>
          <t>2492-5995</t>
        </is>
      </c>
      <c r="O316" t="inlineStr">
        <is>
          <t>Consumidor final</t>
        </is>
      </c>
      <c r="P316" t="inlineStr">
        <is>
          <t>BEB-003</t>
        </is>
      </c>
      <c r="Q316" t="inlineStr">
        <is>
          <t>Horchata en polvo 400g</t>
        </is>
      </c>
      <c r="R316" t="inlineStr">
        <is>
          <t>Abarrotes</t>
        </is>
      </c>
      <c r="S316" t="inlineStr">
        <is>
          <t>Bebidas Izalco</t>
        </is>
      </c>
      <c r="T316" t="inlineStr">
        <is>
          <t>2450-7700</t>
        </is>
      </c>
      <c r="U316" t="n">
        <v>2.6</v>
      </c>
      <c r="V316" t="n">
        <v>6</v>
      </c>
      <c r="W316" t="n">
        <v>0</v>
      </c>
      <c r="X316">
        <f>IFERROR(U316*V316*(1-W316/100),"")</f>
        <v/>
      </c>
      <c r="Y316">
        <f>IFERROR(ROUND(X316*0.13,2),"")</f>
        <v/>
      </c>
      <c r="Z316">
        <f>IFERROR(X316+Y316,"")</f>
        <v/>
      </c>
      <c r="AA316" t="inlineStr">
        <is>
          <t>Efectivo</t>
        </is>
      </c>
      <c r="AB316" t="inlineStr"/>
    </row>
    <row r="317">
      <c r="A317" t="inlineStr">
        <is>
          <t>F-10710</t>
        </is>
      </c>
      <c r="B317" s="3" t="n">
        <v>46259</v>
      </c>
      <c r="C317" t="inlineStr">
        <is>
          <t>factura</t>
        </is>
      </c>
      <c r="D317" t="inlineStr">
        <is>
          <t>SM01</t>
        </is>
      </c>
      <c r="E317" t="inlineStr">
        <is>
          <t>SAN MIGUEL</t>
        </is>
      </c>
      <c r="F317" t="inlineStr">
        <is>
          <t>Av. Roosevelt Sur #7</t>
        </is>
      </c>
      <c r="G317" t="inlineStr">
        <is>
          <t>San Miguel</t>
        </is>
      </c>
      <c r="H317" t="inlineStr">
        <is>
          <t>San Miguel</t>
        </is>
      </c>
      <c r="I317" t="inlineStr">
        <is>
          <t>Iris Portillo</t>
        </is>
      </c>
      <c r="J317" t="inlineStr">
        <is>
          <t>2661-5076</t>
        </is>
      </c>
      <c r="K317" t="inlineStr">
        <is>
          <t>Jorge Villalta</t>
        </is>
      </c>
      <c r="L317" t="inlineStr">
        <is>
          <t>Edwin Castillo Romero</t>
        </is>
      </c>
      <c r="M317" t="inlineStr">
        <is>
          <t>07552102-5</t>
        </is>
      </c>
      <c r="N317" t="inlineStr">
        <is>
          <t>2609-8644</t>
        </is>
      </c>
      <c r="O317" t="inlineStr">
        <is>
          <t>Consumidor final</t>
        </is>
      </c>
      <c r="P317" t="inlineStr">
        <is>
          <t>CAF-002</t>
        </is>
      </c>
      <c r="Q317" t="inlineStr">
        <is>
          <t>Café en grano 1lb</t>
        </is>
      </c>
      <c r="R317" t="inlineStr">
        <is>
          <t>Abarrotes</t>
        </is>
      </c>
      <c r="S317" t="inlineStr">
        <is>
          <t>Café Volcán S.A.</t>
        </is>
      </c>
      <c r="T317" t="inlineStr">
        <is>
          <t>2510-3344</t>
        </is>
      </c>
      <c r="U317" t="n">
        <v>6.75</v>
      </c>
      <c r="V317" t="n">
        <v>4</v>
      </c>
      <c r="W317" t="n">
        <v>0</v>
      </c>
      <c r="X317">
        <f>IFERROR(U317*V317*(1-W317/100),"")</f>
        <v/>
      </c>
      <c r="Y317">
        <f>IFERROR(ROUND(X317*0.13,2),"")</f>
        <v/>
      </c>
      <c r="Z317">
        <f>IFERROR(X317+Y317,"")</f>
        <v/>
      </c>
      <c r="AA317" t="inlineStr">
        <is>
          <t>efectivo</t>
        </is>
      </c>
      <c r="AB317" t="inlineStr"/>
    </row>
    <row r="318">
      <c r="A318" t="inlineStr">
        <is>
          <t>F-10710</t>
        </is>
      </c>
      <c r="B318" s="3" t="n">
        <v>46259</v>
      </c>
      <c r="C318" t="inlineStr">
        <is>
          <t>factura</t>
        </is>
      </c>
      <c r="D318" t="inlineStr">
        <is>
          <t>SM01</t>
        </is>
      </c>
      <c r="E318" t="inlineStr">
        <is>
          <t>SAN MIGUEL</t>
        </is>
      </c>
      <c r="F318" t="inlineStr">
        <is>
          <t>Av. Roosevelt Sur #7</t>
        </is>
      </c>
      <c r="G318" t="inlineStr">
        <is>
          <t>San Miguel</t>
        </is>
      </c>
      <c r="H318" t="inlineStr">
        <is>
          <t>San Miguel</t>
        </is>
      </c>
      <c r="I318" t="inlineStr">
        <is>
          <t>Iris Portillo</t>
        </is>
      </c>
      <c r="J318" t="inlineStr">
        <is>
          <t>2661-5076</t>
        </is>
      </c>
      <c r="K318" t="inlineStr">
        <is>
          <t>Jorge Villalta</t>
        </is>
      </c>
      <c r="L318" t="inlineStr">
        <is>
          <t>Edwin Castillo Romero</t>
        </is>
      </c>
      <c r="M318" t="inlineStr">
        <is>
          <t>07552102-5</t>
        </is>
      </c>
      <c r="N318" t="inlineStr">
        <is>
          <t>2609-8644</t>
        </is>
      </c>
      <c r="O318" t="inlineStr">
        <is>
          <t>Consumidor final</t>
        </is>
      </c>
      <c r="P318" t="inlineStr">
        <is>
          <t>PAN-002</t>
        </is>
      </c>
      <c r="Q318" t="inlineStr">
        <is>
          <t>Semita alta</t>
        </is>
      </c>
      <c r="R318" t="inlineStr">
        <is>
          <t>Panadería</t>
        </is>
      </c>
      <c r="S318" t="inlineStr">
        <is>
          <t>Panificadora Ilopango</t>
        </is>
      </c>
      <c r="T318" t="inlineStr">
        <is>
          <t>2295-0081</t>
        </is>
      </c>
      <c r="U318" t="n">
        <v>1.75</v>
      </c>
      <c r="V318" t="n">
        <v>3</v>
      </c>
      <c r="W318" t="n">
        <v>0</v>
      </c>
      <c r="X318">
        <f>IFERROR(U318*V318*(1-W318/100),"")</f>
        <v/>
      </c>
      <c r="Y318">
        <f>IFERROR(ROUND(X318*0.13,2),"")</f>
        <v/>
      </c>
      <c r="Z318">
        <f>IFERROR(X318+Y318,"")</f>
        <v/>
      </c>
      <c r="AA318" t="inlineStr">
        <is>
          <t>efectivo</t>
        </is>
      </c>
      <c r="AB318" t="inlineStr">
        <is>
          <t>Llamar al 7788-1234 antes de entregar</t>
        </is>
      </c>
    </row>
    <row r="319">
      <c r="A319" t="inlineStr">
        <is>
          <t>F-10710</t>
        </is>
      </c>
      <c r="B319" s="3" t="n">
        <v>46259</v>
      </c>
      <c r="C319" t="inlineStr">
        <is>
          <t>factura</t>
        </is>
      </c>
      <c r="D319" t="inlineStr">
        <is>
          <t>SM01</t>
        </is>
      </c>
      <c r="E319" t="inlineStr">
        <is>
          <t>SAN MIGUEL</t>
        </is>
      </c>
      <c r="F319" t="inlineStr">
        <is>
          <t>Av. Roosevelt Sur #7</t>
        </is>
      </c>
      <c r="G319" t="inlineStr">
        <is>
          <t>San Miguel</t>
        </is>
      </c>
      <c r="H319" t="inlineStr">
        <is>
          <t>San Miguel</t>
        </is>
      </c>
      <c r="I319" t="inlineStr">
        <is>
          <t>Iris Portillo</t>
        </is>
      </c>
      <c r="J319" t="inlineStr">
        <is>
          <t>2661-5076</t>
        </is>
      </c>
      <c r="K319" t="inlineStr">
        <is>
          <t>Jorge Villalta</t>
        </is>
      </c>
      <c r="L319" t="inlineStr">
        <is>
          <t>Edwin Castillo Romero</t>
        </is>
      </c>
      <c r="M319" t="inlineStr">
        <is>
          <t>07552102-5</t>
        </is>
      </c>
      <c r="N319" t="inlineStr">
        <is>
          <t>2609-8644</t>
        </is>
      </c>
      <c r="O319" t="inlineStr">
        <is>
          <t>Consumidor final</t>
        </is>
      </c>
      <c r="P319" t="inlineStr">
        <is>
          <t>AZU-001</t>
        </is>
      </c>
      <c r="Q319" t="inlineStr">
        <is>
          <t>Azúcar blanca 2.5kg</t>
        </is>
      </c>
      <c r="R319" t="inlineStr">
        <is>
          <t>Abarrotes</t>
        </is>
      </c>
      <c r="S319" t="inlineStr">
        <is>
          <t>Granos del Pacífico</t>
        </is>
      </c>
      <c r="T319" t="inlineStr">
        <is>
          <t>2234-8890</t>
        </is>
      </c>
      <c r="U319" t="inlineStr">
        <is>
          <t>$3.10</t>
        </is>
      </c>
      <c r="V319" t="n">
        <v>2</v>
      </c>
      <c r="W319" t="n">
        <v>0</v>
      </c>
      <c r="X319">
        <f>IFERROR(U319*V319*(1-W319/100),"")</f>
        <v/>
      </c>
      <c r="Y319">
        <f>IFERROR(ROUND(X319*0.13,2),"")</f>
        <v/>
      </c>
      <c r="Z319">
        <f>IFERROR(X319+Y319,"")</f>
        <v/>
      </c>
      <c r="AA319" t="inlineStr">
        <is>
          <t>efectivo</t>
        </is>
      </c>
      <c r="AB319" t="inlineStr">
        <is>
          <t>pagó con billete de $100</t>
        </is>
      </c>
    </row>
    <row r="320">
      <c r="A320" t="inlineStr">
        <is>
          <t>F-10710</t>
        </is>
      </c>
      <c r="B320" s="3" t="n">
        <v>46259</v>
      </c>
      <c r="C320" t="inlineStr">
        <is>
          <t>factura</t>
        </is>
      </c>
      <c r="D320" t="inlineStr">
        <is>
          <t>SM01</t>
        </is>
      </c>
      <c r="E320" t="inlineStr">
        <is>
          <t>S. Miguel</t>
        </is>
      </c>
      <c r="F320" t="inlineStr">
        <is>
          <t>Av. Roosevelt Sur #7</t>
        </is>
      </c>
      <c r="G320" t="inlineStr">
        <is>
          <t>San Miguel</t>
        </is>
      </c>
      <c r="H320" t="inlineStr">
        <is>
          <t>San Miguel</t>
        </is>
      </c>
      <c r="I320" t="inlineStr">
        <is>
          <t>Iris Portillo</t>
        </is>
      </c>
      <c r="J320" t="inlineStr">
        <is>
          <t>2661-5076</t>
        </is>
      </c>
      <c r="K320" t="inlineStr">
        <is>
          <t>Jorge Villalta</t>
        </is>
      </c>
      <c r="L320" t="inlineStr">
        <is>
          <t>Edwin Castillo Romero</t>
        </is>
      </c>
      <c r="M320" t="inlineStr">
        <is>
          <t>07552102-5</t>
        </is>
      </c>
      <c r="N320" t="inlineStr">
        <is>
          <t>2609-8644</t>
        </is>
      </c>
      <c r="O320" t="inlineStr">
        <is>
          <t>Consumidor final</t>
        </is>
      </c>
      <c r="P320" t="inlineStr">
        <is>
          <t>PAN-003</t>
        </is>
      </c>
      <c r="Q320" t="inlineStr">
        <is>
          <t>Quesadilla salvadoreña</t>
        </is>
      </c>
      <c r="R320" t="inlineStr">
        <is>
          <t>PANADERIA</t>
        </is>
      </c>
      <c r="S320" t="inlineStr">
        <is>
          <t>Panificadora Ilopango</t>
        </is>
      </c>
      <c r="T320" t="inlineStr">
        <is>
          <t>2295-0081</t>
        </is>
      </c>
      <c r="U320" t="n">
        <v>2.5</v>
      </c>
      <c r="V320" t="n">
        <v>3</v>
      </c>
      <c r="W320" t="n">
        <v>0</v>
      </c>
      <c r="X320">
        <f>IFERROR(U320*V320*(1-W320/100),"")</f>
        <v/>
      </c>
      <c r="Y320">
        <f>IFERROR(ROUND(X320*0.13,2),"")</f>
        <v/>
      </c>
      <c r="Z320">
        <f>IFERROR(X320+Y320,"")</f>
        <v/>
      </c>
      <c r="AA320" t="inlineStr">
        <is>
          <t>efectivo</t>
        </is>
      </c>
      <c r="AB320" t="inlineStr"/>
    </row>
    <row r="321">
      <c r="A321" t="inlineStr">
        <is>
          <t>F-10713</t>
        </is>
      </c>
      <c r="B321" s="3" t="n">
        <v>46279</v>
      </c>
      <c r="C321" t="inlineStr">
        <is>
          <t>Factura</t>
        </is>
      </c>
      <c r="D321" t="inlineStr">
        <is>
          <t>LL01</t>
        </is>
      </c>
      <c r="E321" t="inlineStr">
        <is>
          <t>Sta. Tecla</t>
        </is>
      </c>
      <c r="F321" t="inlineStr">
        <is>
          <t>Calle Daniel Hernández #18</t>
        </is>
      </c>
      <c r="G321" t="inlineStr">
        <is>
          <t>Santa Tecla</t>
        </is>
      </c>
      <c r="H321" t="inlineStr">
        <is>
          <t>La Libertad</t>
        </is>
      </c>
      <c r="I321" t="inlineStr">
        <is>
          <t>Óscar Rivas</t>
        </is>
      </c>
      <c r="J321" t="inlineStr">
        <is>
          <t>2228-7731</t>
        </is>
      </c>
      <c r="K321" t="inlineStr">
        <is>
          <t>Andrea Pineda</t>
        </is>
      </c>
      <c r="L321" t="inlineStr">
        <is>
          <t>Sandra Guevara Lemus</t>
        </is>
      </c>
      <c r="M321" t="inlineStr"/>
      <c r="N321" t="inlineStr">
        <is>
          <t>6671-1550</t>
        </is>
      </c>
      <c r="O321" t="inlineStr">
        <is>
          <t>Consumidor final</t>
        </is>
      </c>
      <c r="P321" t="inlineStr">
        <is>
          <t>HIG-001</t>
        </is>
      </c>
      <c r="Q321" t="inlineStr">
        <is>
          <t>Detergente 1kg</t>
        </is>
      </c>
      <c r="R321" t="inlineStr">
        <is>
          <t>Limpieza</t>
        </is>
      </c>
      <c r="S321" t="inlineStr">
        <is>
          <t>Higiene Total C.A.</t>
        </is>
      </c>
      <c r="T321" t="inlineStr">
        <is>
          <t>2207-5566</t>
        </is>
      </c>
      <c r="U321" t="n">
        <v>3.45</v>
      </c>
      <c r="V321" t="n">
        <v>2</v>
      </c>
      <c r="W321" t="n">
        <v>0</v>
      </c>
      <c r="X321">
        <f>IFERROR(U321*V321*(1-W321/100),"")</f>
        <v/>
      </c>
      <c r="Y321">
        <f>IFERROR(ROUND(X321*0.13,2),"")</f>
        <v/>
      </c>
      <c r="Z321">
        <f>IFERROR(X321+Y321,"")</f>
        <v/>
      </c>
      <c r="AA321" t="inlineStr">
        <is>
          <t>Efectivo</t>
        </is>
      </c>
      <c r="AB321" t="inlineStr">
        <is>
          <t>precio especial autorizado por gerente</t>
        </is>
      </c>
    </row>
    <row r="322">
      <c r="A322" t="inlineStr">
        <is>
          <t>F-10713</t>
        </is>
      </c>
      <c r="B322" t="inlineStr">
        <is>
          <t>14/09/2026</t>
        </is>
      </c>
      <c r="C322" t="inlineStr">
        <is>
          <t>Factura</t>
        </is>
      </c>
      <c r="D322" t="inlineStr">
        <is>
          <t>LL01</t>
        </is>
      </c>
      <c r="E322" t="inlineStr">
        <is>
          <t>SANTA TECLA</t>
        </is>
      </c>
      <c r="F322" t="inlineStr">
        <is>
          <t>Calle Daniel Hernández #18</t>
        </is>
      </c>
      <c r="G322" t="inlineStr">
        <is>
          <t>Santa Tecla</t>
        </is>
      </c>
      <c r="H322" t="inlineStr">
        <is>
          <t>La Libertad</t>
        </is>
      </c>
      <c r="I322" t="inlineStr">
        <is>
          <t>Óscar Rivas</t>
        </is>
      </c>
      <c r="J322" t="inlineStr">
        <is>
          <t>2228-7731</t>
        </is>
      </c>
      <c r="K322" t="inlineStr">
        <is>
          <t>Andrea Pineda</t>
        </is>
      </c>
      <c r="L322" t="inlineStr">
        <is>
          <t>Sandra Guevara Lemus</t>
        </is>
      </c>
      <c r="M322" t="inlineStr"/>
      <c r="N322" t="inlineStr">
        <is>
          <t>6671-1550</t>
        </is>
      </c>
      <c r="O322" t="inlineStr">
        <is>
          <t>Consumidor final</t>
        </is>
      </c>
      <c r="P322" t="inlineStr">
        <is>
          <t>CAF-002</t>
        </is>
      </c>
      <c r="Q322" t="inlineStr">
        <is>
          <t>Café en grano 1lb</t>
        </is>
      </c>
      <c r="R322" t="inlineStr">
        <is>
          <t>Abarrotes</t>
        </is>
      </c>
      <c r="S322" t="inlineStr">
        <is>
          <t>Café Volcán S.A.</t>
        </is>
      </c>
      <c r="T322" t="inlineStr">
        <is>
          <t>2510-3344</t>
        </is>
      </c>
      <c r="U322" t="n">
        <v>6.75</v>
      </c>
      <c r="V322" t="n">
        <v>12</v>
      </c>
      <c r="W322" t="n">
        <v>0</v>
      </c>
      <c r="X322">
        <f>IFERROR(U322*V322*(1-W322/100),"")</f>
        <v/>
      </c>
      <c r="Y322">
        <f>IFERROR(ROUND(X322*0.13,2),"")</f>
        <v/>
      </c>
      <c r="Z322">
        <f>IFERROR(X322+Y322,"")</f>
        <v/>
      </c>
      <c r="AA322" t="inlineStr">
        <is>
          <t>Efectivo</t>
        </is>
      </c>
      <c r="AB322" t="inlineStr"/>
    </row>
    <row r="323">
      <c r="A323" t="inlineStr">
        <is>
          <t>F-10713</t>
        </is>
      </c>
      <c r="B323" s="3" t="n">
        <v>46279</v>
      </c>
      <c r="C323" t="inlineStr">
        <is>
          <t>Factura</t>
        </is>
      </c>
      <c r="D323" t="inlineStr">
        <is>
          <t>LL01</t>
        </is>
      </c>
      <c r="E323" t="inlineStr">
        <is>
          <t>SANTA TECLA</t>
        </is>
      </c>
      <c r="F323" t="inlineStr">
        <is>
          <t>Calle Daniel Hernández #18</t>
        </is>
      </c>
      <c r="G323" t="inlineStr">
        <is>
          <t>Santa Tecla</t>
        </is>
      </c>
      <c r="H323" t="inlineStr">
        <is>
          <t>La Libertad</t>
        </is>
      </c>
      <c r="I323" t="inlineStr">
        <is>
          <t>Óscar Rivas</t>
        </is>
      </c>
      <c r="J323" t="inlineStr">
        <is>
          <t>2228-7731</t>
        </is>
      </c>
      <c r="K323" t="inlineStr">
        <is>
          <t>Andrea Pineda</t>
        </is>
      </c>
      <c r="L323" t="inlineStr">
        <is>
          <t>Sandra Guevara Lemus</t>
        </is>
      </c>
      <c r="M323" t="inlineStr">
        <is>
          <t>08577633-7</t>
        </is>
      </c>
      <c r="N323" t="inlineStr">
        <is>
          <t>6671-1550</t>
        </is>
      </c>
      <c r="O323" t="inlineStr">
        <is>
          <t>Consumidor final</t>
        </is>
      </c>
      <c r="P323" t="inlineStr">
        <is>
          <t>HIG-003</t>
        </is>
      </c>
      <c r="Q323" t="inlineStr">
        <is>
          <t>Jabón de lavar barra</t>
        </is>
      </c>
      <c r="R323" t="inlineStr">
        <is>
          <t>Limpieza</t>
        </is>
      </c>
      <c r="S323" t="inlineStr">
        <is>
          <t>Higiene Total C.A.</t>
        </is>
      </c>
      <c r="T323" t="inlineStr">
        <is>
          <t>2207-5566</t>
        </is>
      </c>
      <c r="U323" t="n">
        <v>0.75</v>
      </c>
      <c r="V323" t="n">
        <v>1</v>
      </c>
      <c r="W323" t="n">
        <v>0</v>
      </c>
      <c r="X323">
        <f>IFERROR(U323*V323*(1-W323/100),"")</f>
        <v/>
      </c>
      <c r="Y323">
        <f>IFERROR(ROUND(X323*0.13,2),"")</f>
        <v/>
      </c>
      <c r="Z323">
        <f>IFERROR(X323+Y323,"")</f>
        <v/>
      </c>
      <c r="AA323" t="inlineStr">
        <is>
          <t>Efectivo</t>
        </is>
      </c>
      <c r="AB323" t="inlineStr">
        <is>
          <t>entregar en bodega</t>
        </is>
      </c>
    </row>
    <row r="324">
      <c r="A324" t="inlineStr">
        <is>
          <t>F-10714</t>
        </is>
      </c>
      <c r="B324" s="3" t="n">
        <v>46206</v>
      </c>
      <c r="C324" t="inlineStr">
        <is>
          <t>FCF</t>
        </is>
      </c>
      <c r="D324" t="inlineStr">
        <is>
          <t>SS01</t>
        </is>
      </c>
      <c r="E324" t="inlineStr">
        <is>
          <t>SAN SALVADOR CENTRO</t>
        </is>
      </c>
      <c r="F324" t="inlineStr">
        <is>
          <t>4a Calle Poniente #215</t>
        </is>
      </c>
      <c r="G324" t="inlineStr">
        <is>
          <t>San Salvador</t>
        </is>
      </c>
      <c r="H324" t="inlineStr">
        <is>
          <t>San Salvador</t>
        </is>
      </c>
      <c r="I324" t="inlineStr">
        <is>
          <t>Roberto Alfaro</t>
        </is>
      </c>
      <c r="J324" t="inlineStr">
        <is>
          <t>2221-4580</t>
        </is>
      </c>
      <c r="K324" t="inlineStr">
        <is>
          <t>Daniela Orellana</t>
        </is>
      </c>
      <c r="L324" t="inlineStr">
        <is>
          <t>José Cornejo Hernández</t>
        </is>
      </c>
      <c r="M324" t="inlineStr">
        <is>
          <t>07580296-3</t>
        </is>
      </c>
      <c r="N324" t="inlineStr">
        <is>
          <t>6828-1335</t>
        </is>
      </c>
      <c r="O324" t="inlineStr">
        <is>
          <t>Consumidor final</t>
        </is>
      </c>
      <c r="P324" t="inlineStr">
        <is>
          <t>BEB-002</t>
        </is>
      </c>
      <c r="Q324" t="inlineStr">
        <is>
          <t>Agua purificada 1 galón</t>
        </is>
      </c>
      <c r="R324" t="inlineStr">
        <is>
          <t>Bebidas</t>
        </is>
      </c>
      <c r="S324" t="inlineStr">
        <is>
          <t>Bebidas Izalco</t>
        </is>
      </c>
      <c r="T324" t="inlineStr">
        <is>
          <t>2450-7700</t>
        </is>
      </c>
      <c r="U324" t="n">
        <v>1.1</v>
      </c>
      <c r="V324" t="n">
        <v>2</v>
      </c>
      <c r="W324" t="n">
        <v>0</v>
      </c>
      <c r="X324">
        <f>IFERROR(U324*V324*(1-W324/100),"")</f>
        <v/>
      </c>
      <c r="Y324">
        <f>IFERROR(ROUND(X324*0.13,2),"")</f>
        <v/>
      </c>
      <c r="Z324">
        <f>IFERROR(X324+Y324,"")</f>
        <v/>
      </c>
      <c r="AA324" t="inlineStr">
        <is>
          <t>Chivo</t>
        </is>
      </c>
      <c r="AB324" t="inlineStr">
        <is>
          <t>Cliente frecuente</t>
        </is>
      </c>
    </row>
    <row r="325">
      <c r="A325" t="inlineStr">
        <is>
          <t>F-10714</t>
        </is>
      </c>
      <c r="B325" t="inlineStr">
        <is>
          <t>2026-07-03</t>
        </is>
      </c>
      <c r="C325" t="inlineStr">
        <is>
          <t>FCF</t>
        </is>
      </c>
      <c r="D325" t="inlineStr">
        <is>
          <t>SS01</t>
        </is>
      </c>
      <c r="E325" t="inlineStr">
        <is>
          <t>S.S. Centro</t>
        </is>
      </c>
      <c r="F325" t="inlineStr">
        <is>
          <t>4a Calle Poniente #215</t>
        </is>
      </c>
      <c r="G325" t="inlineStr">
        <is>
          <t>San Salvador</t>
        </is>
      </c>
      <c r="H325" t="inlineStr">
        <is>
          <t>San Salvador</t>
        </is>
      </c>
      <c r="I325" t="inlineStr">
        <is>
          <t>Roberto Alfaro</t>
        </is>
      </c>
      <c r="J325" t="inlineStr">
        <is>
          <t>2221-4580</t>
        </is>
      </c>
      <c r="K325" t="inlineStr">
        <is>
          <t>Daniela Orellana</t>
        </is>
      </c>
      <c r="L325" t="inlineStr">
        <is>
          <t>José Cornejo Hernández</t>
        </is>
      </c>
      <c r="M325" t="inlineStr">
        <is>
          <t>07580296-3</t>
        </is>
      </c>
      <c r="N325" t="inlineStr">
        <is>
          <t>6828-1335</t>
        </is>
      </c>
      <c r="O325" t="inlineStr">
        <is>
          <t>Consumidor final</t>
        </is>
      </c>
      <c r="P325" t="inlineStr">
        <is>
          <t>LAC-001</t>
        </is>
      </c>
      <c r="Q325" t="inlineStr">
        <is>
          <t>Quesillo 1lb</t>
        </is>
      </c>
      <c r="R325" t="inlineStr">
        <is>
          <t>Lacteos</t>
        </is>
      </c>
      <c r="S325" t="inlineStr">
        <is>
          <t>Lácteos Chalate</t>
        </is>
      </c>
      <c r="T325" t="inlineStr">
        <is>
          <t>2335-1020</t>
        </is>
      </c>
      <c r="U325" t="n">
        <v>3.8</v>
      </c>
      <c r="V325" t="n">
        <v>1</v>
      </c>
      <c r="W325" t="n">
        <v>0</v>
      </c>
      <c r="X325">
        <f>IFERROR(U325*V325*(1-W325/100),"")</f>
        <v/>
      </c>
      <c r="Y325">
        <f>IFERROR(ROUND(X325*0.13,2),"")</f>
        <v/>
      </c>
      <c r="Z325">
        <f>IFERROR(X325+Y325,"")</f>
        <v/>
      </c>
      <c r="AA325" t="inlineStr">
        <is>
          <t>Chivo</t>
        </is>
      </c>
      <c r="AB325" t="inlineStr"/>
    </row>
    <row r="326">
      <c r="A326" t="inlineStr">
        <is>
          <t>F-10714</t>
        </is>
      </c>
      <c r="B326" t="inlineStr">
        <is>
          <t>2026-07-03</t>
        </is>
      </c>
      <c r="C326" t="inlineStr">
        <is>
          <t>FCF</t>
        </is>
      </c>
      <c r="D326" t="inlineStr">
        <is>
          <t>SS01</t>
        </is>
      </c>
      <c r="E326" t="inlineStr">
        <is>
          <t xml:space="preserve">san salvador centro </t>
        </is>
      </c>
      <c r="F326" t="inlineStr">
        <is>
          <t>4a Calle Poniente #215</t>
        </is>
      </c>
      <c r="G326" t="inlineStr">
        <is>
          <t>San Salvador</t>
        </is>
      </c>
      <c r="H326" t="inlineStr">
        <is>
          <t>San Salvador</t>
        </is>
      </c>
      <c r="I326" t="inlineStr">
        <is>
          <t>Roberto Alfaro</t>
        </is>
      </c>
      <c r="J326" t="inlineStr">
        <is>
          <t>2221-4580</t>
        </is>
      </c>
      <c r="K326" t="inlineStr">
        <is>
          <t>Daniela Orellana</t>
        </is>
      </c>
      <c r="L326" t="inlineStr">
        <is>
          <t>José Cornejo Hernández</t>
        </is>
      </c>
      <c r="M326" t="inlineStr">
        <is>
          <t>07580296-3</t>
        </is>
      </c>
      <c r="N326" t="inlineStr">
        <is>
          <t>6828-1335</t>
        </is>
      </c>
      <c r="O326" t="inlineStr">
        <is>
          <t>Consumidor final</t>
        </is>
      </c>
      <c r="P326" t="inlineStr">
        <is>
          <t>LAC-003</t>
        </is>
      </c>
      <c r="Q326" t="inlineStr">
        <is>
          <t>Leche entera 1L</t>
        </is>
      </c>
      <c r="R326" t="inlineStr">
        <is>
          <t>Lácteos</t>
        </is>
      </c>
      <c r="S326" t="inlineStr">
        <is>
          <t>Lácteos Chalate</t>
        </is>
      </c>
      <c r="T326" t="inlineStr">
        <is>
          <t>2335-1020</t>
        </is>
      </c>
      <c r="U326" t="n">
        <v>1.2</v>
      </c>
      <c r="V326" t="n">
        <v>6</v>
      </c>
      <c r="W326" t="n">
        <v>0</v>
      </c>
      <c r="X326">
        <f>IFERROR(U326*V326*(1-W326/100),"")</f>
        <v/>
      </c>
      <c r="Y326">
        <f>IFERROR(ROUND(X326*0.13,2),"")</f>
        <v/>
      </c>
      <c r="Z326">
        <f>IFERROR(X326+Y326,"")</f>
        <v/>
      </c>
      <c r="AA326" t="inlineStr">
        <is>
          <t>Chivo</t>
        </is>
      </c>
      <c r="AB326" t="inlineStr"/>
    </row>
    <row r="327">
      <c r="A327" t="inlineStr">
        <is>
          <t>F-10714</t>
        </is>
      </c>
      <c r="B327" s="3" t="n">
        <v>46206</v>
      </c>
      <c r="C327" t="inlineStr">
        <is>
          <t>FCF</t>
        </is>
      </c>
      <c r="D327" t="inlineStr">
        <is>
          <t>SS01</t>
        </is>
      </c>
      <c r="E327" t="inlineStr">
        <is>
          <t xml:space="preserve">san salvador centro </t>
        </is>
      </c>
      <c r="F327" t="inlineStr">
        <is>
          <t>4a Calle Poniente #215</t>
        </is>
      </c>
      <c r="G327" t="inlineStr">
        <is>
          <t>San Salvador</t>
        </is>
      </c>
      <c r="H327" t="inlineStr">
        <is>
          <t>San Salvador</t>
        </is>
      </c>
      <c r="I327" t="inlineStr">
        <is>
          <t>Roberto Alfaro</t>
        </is>
      </c>
      <c r="J327" t="inlineStr">
        <is>
          <t>2221-4580</t>
        </is>
      </c>
      <c r="K327" t="inlineStr">
        <is>
          <t>Daniela Orellana</t>
        </is>
      </c>
      <c r="L327" t="inlineStr">
        <is>
          <t>José Cornejo Hernández</t>
        </is>
      </c>
      <c r="M327" t="inlineStr">
        <is>
          <t>07580296-3</t>
        </is>
      </c>
      <c r="N327" t="inlineStr">
        <is>
          <t>6828-1335</t>
        </is>
      </c>
      <c r="O327" t="inlineStr">
        <is>
          <t>Consumidor final</t>
        </is>
      </c>
      <c r="P327" t="inlineStr">
        <is>
          <t>ARR-001</t>
        </is>
      </c>
      <c r="Q327" t="inlineStr">
        <is>
          <t>Arroz blanco 5lb</t>
        </is>
      </c>
      <c r="R327" t="inlineStr">
        <is>
          <t>Granos básicos</t>
        </is>
      </c>
      <c r="S327" t="inlineStr">
        <is>
          <t>Granos del Pacífico</t>
        </is>
      </c>
      <c r="T327" t="inlineStr">
        <is>
          <t>2234-8890</t>
        </is>
      </c>
      <c r="U327" t="n">
        <v>3.95</v>
      </c>
      <c r="V327" t="n">
        <v>1</v>
      </c>
      <c r="W327" t="n">
        <v>0</v>
      </c>
      <c r="X327">
        <f>IFERROR(U327*V327*(1-W327/100),"")</f>
        <v/>
      </c>
      <c r="Y327">
        <f>IFERROR(ROUND(X327*0.13,2),"")</f>
        <v/>
      </c>
      <c r="Z327">
        <f>IFERROR(X327+Y327,"")</f>
        <v/>
      </c>
      <c r="AA327" t="inlineStr">
        <is>
          <t>Chivo</t>
        </is>
      </c>
      <c r="AB327" t="inlineStr">
        <is>
          <t>pagó con billete de $100</t>
        </is>
      </c>
    </row>
    <row r="328">
      <c r="A328" t="inlineStr">
        <is>
          <t>F-10715</t>
        </is>
      </c>
      <c r="B328" t="inlineStr">
        <is>
          <t>01-Sep-26</t>
        </is>
      </c>
      <c r="C328" t="inlineStr">
        <is>
          <t>Factura</t>
        </is>
      </c>
      <c r="D328" t="inlineStr">
        <is>
          <t>SS02</t>
        </is>
      </c>
      <c r="E328" t="inlineStr">
        <is>
          <t>Col. Escalón</t>
        </is>
      </c>
      <c r="F328" t="inlineStr">
        <is>
          <t>Paseo General Escalón #3910</t>
        </is>
      </c>
      <c r="G328" t="inlineStr">
        <is>
          <t>San Salvador</t>
        </is>
      </c>
      <c r="H328" t="inlineStr">
        <is>
          <t>San Salvador</t>
        </is>
      </c>
      <c r="I328" t="inlineStr">
        <is>
          <t>Claudia Menjívar</t>
        </is>
      </c>
      <c r="J328" t="inlineStr">
        <is>
          <t>2264-1190</t>
        </is>
      </c>
      <c r="K328" t="inlineStr">
        <is>
          <t>Kevin Benítez</t>
        </is>
      </c>
      <c r="L328" t="inlineStr">
        <is>
          <t>Walter Mejía Castillo</t>
        </is>
      </c>
      <c r="M328" t="inlineStr">
        <is>
          <t>02326285-9</t>
        </is>
      </c>
      <c r="N328" t="inlineStr">
        <is>
          <t>2959-3937</t>
        </is>
      </c>
      <c r="O328" t="inlineStr">
        <is>
          <t>Consumidor final</t>
        </is>
      </c>
      <c r="P328" t="inlineStr">
        <is>
          <t>BEB-003</t>
        </is>
      </c>
      <c r="Q328" t="inlineStr">
        <is>
          <t>Horchata en polvo 400g</t>
        </is>
      </c>
      <c r="R328" t="inlineStr">
        <is>
          <t>Bebidas</t>
        </is>
      </c>
      <c r="S328" t="inlineStr">
        <is>
          <t>Bebidas Izalco</t>
        </is>
      </c>
      <c r="T328" t="inlineStr">
        <is>
          <t>2450-7700</t>
        </is>
      </c>
      <c r="U328" t="n">
        <v>2.6</v>
      </c>
      <c r="V328" t="n">
        <v>-2</v>
      </c>
      <c r="W328" t="n">
        <v>0</v>
      </c>
      <c r="X328">
        <f>IFERROR(U328*V328*(1-W328/100),"")</f>
        <v/>
      </c>
      <c r="Y328">
        <f>IFERROR(ROUND(X328*0.13,2),"")</f>
        <v/>
      </c>
      <c r="Z328">
        <f>IFERROR(X328+Y328,"")</f>
        <v/>
      </c>
      <c r="AA328" t="inlineStr">
        <is>
          <t>Efectivo</t>
        </is>
      </c>
      <c r="AB328" t="inlineStr">
        <is>
          <t>pagó con billete de $100</t>
        </is>
      </c>
    </row>
    <row r="329">
      <c r="A329" t="inlineStr">
        <is>
          <t>F-10715</t>
        </is>
      </c>
      <c r="B329" s="3" t="n">
        <v>46266</v>
      </c>
      <c r="C329" t="inlineStr">
        <is>
          <t>Factura</t>
        </is>
      </c>
      <c r="D329" t="inlineStr">
        <is>
          <t>SS02</t>
        </is>
      </c>
      <c r="E329" t="inlineStr">
        <is>
          <t>Escalón</t>
        </is>
      </c>
      <c r="F329" t="inlineStr">
        <is>
          <t>Paseo General Escalón #3910</t>
        </is>
      </c>
      <c r="G329" t="inlineStr">
        <is>
          <t>San Salvador</t>
        </is>
      </c>
      <c r="H329" t="inlineStr">
        <is>
          <t>San Salvador</t>
        </is>
      </c>
      <c r="I329" t="inlineStr">
        <is>
          <t>Claudia Menjívar</t>
        </is>
      </c>
      <c r="J329" t="inlineStr">
        <is>
          <t>2264-1190</t>
        </is>
      </c>
      <c r="K329" t="inlineStr">
        <is>
          <t>Kevin Benítez</t>
        </is>
      </c>
      <c r="L329" t="inlineStr">
        <is>
          <t>Walter Mejía Castillo</t>
        </is>
      </c>
      <c r="M329" t="inlineStr"/>
      <c r="N329" t="inlineStr">
        <is>
          <t>2959-3937</t>
        </is>
      </c>
      <c r="O329" t="inlineStr">
        <is>
          <t>Consumidor final</t>
        </is>
      </c>
      <c r="P329" t="inlineStr">
        <is>
          <t>ARR-001</t>
        </is>
      </c>
      <c r="Q329" t="inlineStr">
        <is>
          <t>Arroz blanco 5lb</t>
        </is>
      </c>
      <c r="R329" t="inlineStr">
        <is>
          <t>Abarrotes</t>
        </is>
      </c>
      <c r="S329" t="inlineStr">
        <is>
          <t>Granos del Pacífico</t>
        </is>
      </c>
      <c r="T329" t="inlineStr">
        <is>
          <t>2234-8890</t>
        </is>
      </c>
      <c r="U329" t="n">
        <v>3.95</v>
      </c>
      <c r="V329" t="n">
        <v>24</v>
      </c>
      <c r="W329" t="n">
        <v>0</v>
      </c>
      <c r="X329">
        <f>IFERROR(U329*V329*(1-W329/100),"")</f>
        <v/>
      </c>
      <c r="Y329">
        <f>IFERROR(ROUND(X329*0.13,2),"")</f>
        <v/>
      </c>
      <c r="Z329">
        <f>IFERROR(X329+Y329,"")</f>
        <v/>
      </c>
      <c r="AA329" t="inlineStr">
        <is>
          <t>Efectivo</t>
        </is>
      </c>
      <c r="AB329" t="inlineStr">
        <is>
          <t>Cliente frecuente</t>
        </is>
      </c>
    </row>
    <row r="330">
      <c r="A330" t="inlineStr">
        <is>
          <t>F-10716</t>
        </is>
      </c>
      <c r="B330" t="inlineStr">
        <is>
          <t>29-Sep-26</t>
        </is>
      </c>
      <c r="C330" t="inlineStr">
        <is>
          <t>factura</t>
        </is>
      </c>
      <c r="D330" t="inlineStr">
        <is>
          <t>US01</t>
        </is>
      </c>
      <c r="E330" t="inlineStr">
        <is>
          <t>Usulutan</t>
        </is>
      </c>
      <c r="F330" t="inlineStr">
        <is>
          <t>2a Av. Norte #9</t>
        </is>
      </c>
      <c r="G330" t="inlineStr">
        <is>
          <t>Usulután</t>
        </is>
      </c>
      <c r="H330" t="inlineStr">
        <is>
          <t>Usulután</t>
        </is>
      </c>
      <c r="I330" t="inlineStr">
        <is>
          <t>Nelson Fuentes</t>
        </is>
      </c>
      <c r="J330" t="inlineStr">
        <is>
          <t>2662-8810</t>
        </is>
      </c>
      <c r="K330" t="inlineStr">
        <is>
          <t>Miguel Bonilla</t>
        </is>
      </c>
      <c r="L330" t="inlineStr">
        <is>
          <t>Silvia Cornejo Guevara</t>
        </is>
      </c>
      <c r="M330" t="inlineStr">
        <is>
          <t>01953672-6</t>
        </is>
      </c>
      <c r="N330" t="inlineStr">
        <is>
          <t>7921-9045</t>
        </is>
      </c>
      <c r="O330" t="inlineStr">
        <is>
          <t>Consumidor final</t>
        </is>
      </c>
      <c r="P330" t="inlineStr">
        <is>
          <t>FRI-001</t>
        </is>
      </c>
      <c r="Q330" t="inlineStr">
        <is>
          <t>Frijol rojo de seda 2lb</t>
        </is>
      </c>
      <c r="R330" t="inlineStr">
        <is>
          <t>Granos básicos</t>
        </is>
      </c>
      <c r="S330" t="inlineStr">
        <is>
          <t>Granos del Pacífico</t>
        </is>
      </c>
      <c r="T330" t="inlineStr">
        <is>
          <t>2234-8890</t>
        </is>
      </c>
      <c r="U330" t="n">
        <v>2.4</v>
      </c>
      <c r="V330" t="n">
        <v>4</v>
      </c>
      <c r="W330" t="n">
        <v>0</v>
      </c>
      <c r="X330">
        <f>IFERROR(U330*V330*(1-W330/100),"")</f>
        <v/>
      </c>
      <c r="Y330">
        <f>IFERROR(ROUND(X330*0.13,2),"")</f>
        <v/>
      </c>
      <c r="Z330">
        <f>IFERROR(X330+Y330,"")</f>
        <v/>
      </c>
      <c r="AA330" t="inlineStr">
        <is>
          <t>efectivo</t>
        </is>
      </c>
      <c r="AB330" t="inlineStr">
        <is>
          <t>Cliente frecuente</t>
        </is>
      </c>
    </row>
    <row r="331">
      <c r="A331" t="inlineStr">
        <is>
          <t>F-10716</t>
        </is>
      </c>
      <c r="B331" t="inlineStr">
        <is>
          <t>29/09/2026</t>
        </is>
      </c>
      <c r="C331" t="inlineStr">
        <is>
          <t>factura</t>
        </is>
      </c>
      <c r="D331" t="inlineStr">
        <is>
          <t>US01</t>
        </is>
      </c>
      <c r="E331" t="inlineStr">
        <is>
          <t>Usulután</t>
        </is>
      </c>
      <c r="F331" t="inlineStr">
        <is>
          <t>2a Av. Norte #9</t>
        </is>
      </c>
      <c r="G331" t="inlineStr">
        <is>
          <t>Usulután</t>
        </is>
      </c>
      <c r="H331" t="inlineStr">
        <is>
          <t>Usulután</t>
        </is>
      </c>
      <c r="I331" t="inlineStr">
        <is>
          <t>Nelson Fuentes</t>
        </is>
      </c>
      <c r="J331" t="inlineStr">
        <is>
          <t>2662-8810</t>
        </is>
      </c>
      <c r="K331" t="inlineStr">
        <is>
          <t>Miguel Bonilla</t>
        </is>
      </c>
      <c r="L331" t="inlineStr">
        <is>
          <t>Silvia Cornejo Guevara</t>
        </is>
      </c>
      <c r="M331" t="inlineStr">
        <is>
          <t>01953672-6</t>
        </is>
      </c>
      <c r="N331" t="inlineStr">
        <is>
          <t>7921-9045</t>
        </is>
      </c>
      <c r="O331" t="inlineStr">
        <is>
          <t>Consumidor final</t>
        </is>
      </c>
      <c r="P331" t="inlineStr">
        <is>
          <t>PAN-001</t>
        </is>
      </c>
      <c r="Q331" t="inlineStr">
        <is>
          <t>Pan francés bolsa 10u</t>
        </is>
      </c>
      <c r="R331" t="inlineStr">
        <is>
          <t>Panaderia</t>
        </is>
      </c>
      <c r="S331" t="inlineStr">
        <is>
          <t>Panificadora Ilopango</t>
        </is>
      </c>
      <c r="T331" t="inlineStr">
        <is>
          <t>2295-0081</t>
        </is>
      </c>
      <c r="U331" t="n">
        <v>1</v>
      </c>
      <c r="V331" t="n">
        <v>1</v>
      </c>
      <c r="W331" t="n">
        <v>0</v>
      </c>
      <c r="X331">
        <f>IFERROR(U331*V331*(1-W331/100),"")</f>
        <v/>
      </c>
      <c r="Y331">
        <f>IFERROR(ROUND(X331*0.13,2),"")</f>
        <v/>
      </c>
      <c r="Z331">
        <f>IFERROR(X331+Y331,"")</f>
        <v/>
      </c>
      <c r="AA331" t="inlineStr">
        <is>
          <t>efectivo</t>
        </is>
      </c>
      <c r="AB331" t="inlineStr">
        <is>
          <t>pagó con billete de $100</t>
        </is>
      </c>
    </row>
    <row r="332">
      <c r="A332" t="inlineStr">
        <is>
          <t>F-10716</t>
        </is>
      </c>
      <c r="B332" s="3" t="n">
        <v>46294</v>
      </c>
      <c r="C332" t="inlineStr">
        <is>
          <t>factura</t>
        </is>
      </c>
      <c r="D332" t="inlineStr">
        <is>
          <t>US01</t>
        </is>
      </c>
      <c r="E332" t="inlineStr">
        <is>
          <t>Usulután</t>
        </is>
      </c>
      <c r="F332" t="inlineStr">
        <is>
          <t>2a Av. Norte #9</t>
        </is>
      </c>
      <c r="G332" t="inlineStr">
        <is>
          <t>Usulután</t>
        </is>
      </c>
      <c r="H332" t="inlineStr">
        <is>
          <t>Usulután</t>
        </is>
      </c>
      <c r="I332" t="inlineStr">
        <is>
          <t>Nelson Fuentes</t>
        </is>
      </c>
      <c r="J332" t="inlineStr">
        <is>
          <t>2662-8810</t>
        </is>
      </c>
      <c r="K332" t="inlineStr">
        <is>
          <t>Miguel Bonilla</t>
        </is>
      </c>
      <c r="L332" t="inlineStr">
        <is>
          <t>Silvia Cornejo Guevara</t>
        </is>
      </c>
      <c r="M332" t="inlineStr">
        <is>
          <t>01953672-6</t>
        </is>
      </c>
      <c r="N332" t="inlineStr">
        <is>
          <t>7921-9045</t>
        </is>
      </c>
      <c r="O332" t="inlineStr">
        <is>
          <t>Consumidor final</t>
        </is>
      </c>
      <c r="P332" t="inlineStr">
        <is>
          <t>PAN-003</t>
        </is>
      </c>
      <c r="Q332" t="inlineStr">
        <is>
          <t>Quesadilla salvadoreña</t>
        </is>
      </c>
      <c r="R332" t="inlineStr">
        <is>
          <t>PANADERIA</t>
        </is>
      </c>
      <c r="S332" t="inlineStr">
        <is>
          <t>Panificadora Ilopango</t>
        </is>
      </c>
      <c r="T332" t="inlineStr">
        <is>
          <t>2295-0081</t>
        </is>
      </c>
      <c r="U332" t="n">
        <v>2.5</v>
      </c>
      <c r="V332" t="n">
        <v>1</v>
      </c>
      <c r="W332" t="n">
        <v>0</v>
      </c>
      <c r="X332">
        <f>IFERROR(U332*V332*(1-W332/100),"")</f>
        <v/>
      </c>
      <c r="Y332">
        <f>IFERROR(ROUND(X332*0.13,2),"")</f>
        <v/>
      </c>
      <c r="Z332">
        <f>IFERROR(X332+Y332,"")</f>
        <v/>
      </c>
      <c r="AA332" t="inlineStr">
        <is>
          <t>efectivo</t>
        </is>
      </c>
      <c r="AB332" t="inlineStr"/>
    </row>
    <row r="333">
      <c r="A333" t="inlineStr">
        <is>
          <t>F-10716</t>
        </is>
      </c>
      <c r="B333" s="3" t="n">
        <v>46294</v>
      </c>
      <c r="C333" t="inlineStr">
        <is>
          <t>factura</t>
        </is>
      </c>
      <c r="D333" t="inlineStr">
        <is>
          <t>US01</t>
        </is>
      </c>
      <c r="E333" t="inlineStr">
        <is>
          <t>Usulutan</t>
        </is>
      </c>
      <c r="F333" t="inlineStr">
        <is>
          <t>2a Av. Norte #9</t>
        </is>
      </c>
      <c r="G333" t="inlineStr">
        <is>
          <t>Usulután</t>
        </is>
      </c>
      <c r="H333" t="inlineStr">
        <is>
          <t>Usulután</t>
        </is>
      </c>
      <c r="I333" t="inlineStr">
        <is>
          <t>Nelson Fuentes</t>
        </is>
      </c>
      <c r="J333" t="inlineStr">
        <is>
          <t>2662-8810</t>
        </is>
      </c>
      <c r="K333" t="inlineStr">
        <is>
          <t>Miguel Bonilla</t>
        </is>
      </c>
      <c r="L333" t="inlineStr">
        <is>
          <t>Silvia Cornejo Guevara</t>
        </is>
      </c>
      <c r="M333" t="inlineStr">
        <is>
          <t>01953672-6</t>
        </is>
      </c>
      <c r="N333" t="inlineStr">
        <is>
          <t>7921-9045</t>
        </is>
      </c>
      <c r="O333" t="inlineStr">
        <is>
          <t>Consumidor final</t>
        </is>
      </c>
      <c r="P333" t="inlineStr">
        <is>
          <t>BEB-002</t>
        </is>
      </c>
      <c r="Q333" t="inlineStr">
        <is>
          <t>Agua purificada 1 galón</t>
        </is>
      </c>
      <c r="R333" t="inlineStr">
        <is>
          <t>Bebidas</t>
        </is>
      </c>
      <c r="S333" t="inlineStr">
        <is>
          <t>Bebidas Izalco</t>
        </is>
      </c>
      <c r="T333" t="inlineStr">
        <is>
          <t>2450-7700</t>
        </is>
      </c>
      <c r="U333" t="n">
        <v>1.1</v>
      </c>
      <c r="V333" t="n">
        <v>2</v>
      </c>
      <c r="W333" t="n">
        <v>0</v>
      </c>
      <c r="X333">
        <f>IFERROR(U333*V333*(1-W333/100),"")</f>
        <v/>
      </c>
      <c r="Y333">
        <f>IFERROR(ROUND(X333*0.13,2),"")</f>
        <v/>
      </c>
      <c r="Z333">
        <f>IFERROR(X333+Y333,"")</f>
        <v/>
      </c>
      <c r="AA333" t="inlineStr">
        <is>
          <t>efectivo</t>
        </is>
      </c>
      <c r="AB333" t="inlineStr">
        <is>
          <t>pagó con billete de $100</t>
        </is>
      </c>
    </row>
    <row r="334">
      <c r="A334" t="inlineStr">
        <is>
          <t>F-10717</t>
        </is>
      </c>
      <c r="B334" t="inlineStr">
        <is>
          <t>2026-07-22</t>
        </is>
      </c>
      <c r="C334" t="inlineStr">
        <is>
          <t>Factura</t>
        </is>
      </c>
      <c r="D334" t="inlineStr">
        <is>
          <t>SM01</t>
        </is>
      </c>
      <c r="E334" t="inlineStr">
        <is>
          <t>S. Miguel</t>
        </is>
      </c>
      <c r="F334" t="inlineStr">
        <is>
          <t>Av. Roosevelt Sur #7</t>
        </is>
      </c>
      <c r="G334" t="inlineStr">
        <is>
          <t>San Miguel</t>
        </is>
      </c>
      <c r="H334" t="inlineStr">
        <is>
          <t>San Miguel</t>
        </is>
      </c>
      <c r="I334" t="inlineStr">
        <is>
          <t>Iris Portillo</t>
        </is>
      </c>
      <c r="J334" t="inlineStr">
        <is>
          <t>2661-5076</t>
        </is>
      </c>
      <c r="K334" t="inlineStr">
        <is>
          <t>Jorge Villalta</t>
        </is>
      </c>
      <c r="L334" t="inlineStr">
        <is>
          <t>René Cornejo Cornejo</t>
        </is>
      </c>
      <c r="M334" t="inlineStr">
        <is>
          <t>03632979-1</t>
        </is>
      </c>
      <c r="N334" t="inlineStr">
        <is>
          <t>7833-5595</t>
        </is>
      </c>
      <c r="O334" t="inlineStr">
        <is>
          <t>Consumidor final</t>
        </is>
      </c>
      <c r="P334" t="inlineStr">
        <is>
          <t>HIG-002</t>
        </is>
      </c>
      <c r="Q334" t="inlineStr">
        <is>
          <t>Papel higiénico 4 rollos</t>
        </is>
      </c>
      <c r="R334" t="inlineStr">
        <is>
          <t>Limpieza</t>
        </is>
      </c>
      <c r="S334" t="inlineStr">
        <is>
          <t>Higiene Total C.A.</t>
        </is>
      </c>
      <c r="T334" t="inlineStr">
        <is>
          <t>2207-5566</t>
        </is>
      </c>
      <c r="U334" t="n">
        <v>2.15</v>
      </c>
      <c r="V334" t="n">
        <v>2</v>
      </c>
      <c r="W334" t="n">
        <v>0</v>
      </c>
      <c r="X334">
        <f>IFERROR(U334*V334*(1-W334/100),"")</f>
        <v/>
      </c>
      <c r="Y334">
        <f>IFERROR(ROUND(X334*0.13,2),"")</f>
        <v/>
      </c>
      <c r="Z334">
        <f>IFERROR(X334+Y334,"")</f>
        <v/>
      </c>
      <c r="AA334" t="inlineStr">
        <is>
          <t>Tarjeta</t>
        </is>
      </c>
      <c r="AB334" t="inlineStr">
        <is>
          <t>Llamar al 7788-1234 antes de entregar</t>
        </is>
      </c>
    </row>
    <row r="335">
      <c r="A335" t="inlineStr">
        <is>
          <t>F-10719</t>
        </is>
      </c>
      <c r="B335" t="inlineStr">
        <is>
          <t>2026-09-09</t>
        </is>
      </c>
      <c r="C335" t="inlineStr">
        <is>
          <t>FCF</t>
        </is>
      </c>
      <c r="D335" t="inlineStr">
        <is>
          <t>LL01</t>
        </is>
      </c>
      <c r="E335" t="inlineStr">
        <is>
          <t>SANTA TECLA</t>
        </is>
      </c>
      <c r="F335" t="inlineStr">
        <is>
          <t>Calle Daniel Hernández #18</t>
        </is>
      </c>
      <c r="G335" t="inlineStr">
        <is>
          <t>Santa Tecla</t>
        </is>
      </c>
      <c r="H335" t="inlineStr">
        <is>
          <t>La Libertad</t>
        </is>
      </c>
      <c r="I335" t="inlineStr">
        <is>
          <t>Óscar Rivas</t>
        </is>
      </c>
      <c r="J335" t="inlineStr">
        <is>
          <t>2228-7731</t>
        </is>
      </c>
      <c r="K335" t="inlineStr">
        <is>
          <t>Andrea Pineda</t>
        </is>
      </c>
      <c r="L335" t="inlineStr">
        <is>
          <t>José López Pérez</t>
        </is>
      </c>
      <c r="M335" t="inlineStr">
        <is>
          <t>07894436-0</t>
        </is>
      </c>
      <c r="N335" t="inlineStr">
        <is>
          <t>2795-9333</t>
        </is>
      </c>
      <c r="O335" t="inlineStr">
        <is>
          <t>Consumidor final</t>
        </is>
      </c>
      <c r="P335" t="inlineStr">
        <is>
          <t>LAC-003</t>
        </is>
      </c>
      <c r="Q335" t="inlineStr">
        <is>
          <t>Leche entera 1L</t>
        </is>
      </c>
      <c r="R335" t="inlineStr">
        <is>
          <t>Lácteos</t>
        </is>
      </c>
      <c r="S335" t="inlineStr">
        <is>
          <t>Lácteos Chalate</t>
        </is>
      </c>
      <c r="T335" t="inlineStr">
        <is>
          <t>2335-1020</t>
        </is>
      </c>
      <c r="U335" t="n">
        <v>1.2</v>
      </c>
      <c r="V335" t="n">
        <v>2</v>
      </c>
      <c r="W335" t="n">
        <v>0</v>
      </c>
      <c r="X335">
        <f>IFERROR(U335*V335*(1-W335/100),"")</f>
        <v/>
      </c>
      <c r="Y335">
        <f>IFERROR(ROUND(X335*0.13,2),"")</f>
        <v/>
      </c>
      <c r="Z335">
        <f>IFERROR(X335+Y335,"")</f>
        <v/>
      </c>
      <c r="AA335" t="inlineStr">
        <is>
          <t>Transferencia</t>
        </is>
      </c>
      <c r="AB335" t="inlineStr">
        <is>
          <t>entregar en bodega</t>
        </is>
      </c>
    </row>
    <row r="336">
      <c r="A336" t="inlineStr">
        <is>
          <t>F-10719</t>
        </is>
      </c>
      <c r="B336" s="3" t="n">
        <v>46274</v>
      </c>
      <c r="C336" t="inlineStr">
        <is>
          <t>FCF</t>
        </is>
      </c>
      <c r="D336" t="inlineStr">
        <is>
          <t>LL01</t>
        </is>
      </c>
      <c r="E336" t="inlineStr">
        <is>
          <t>Santa Tecla</t>
        </is>
      </c>
      <c r="F336" t="inlineStr">
        <is>
          <t>Calle Daniel Hernández #18</t>
        </is>
      </c>
      <c r="G336" t="inlineStr">
        <is>
          <t>Santa Tecla</t>
        </is>
      </c>
      <c r="H336" t="inlineStr">
        <is>
          <t>La Libertad</t>
        </is>
      </c>
      <c r="I336" t="inlineStr">
        <is>
          <t>Óscar Rivas</t>
        </is>
      </c>
      <c r="J336" t="inlineStr">
        <is>
          <t>2228-7731</t>
        </is>
      </c>
      <c r="K336" t="inlineStr">
        <is>
          <t>Andrea Pineda</t>
        </is>
      </c>
      <c r="L336" t="inlineStr">
        <is>
          <t>José López Pérez</t>
        </is>
      </c>
      <c r="M336" t="inlineStr">
        <is>
          <t>07894436-0</t>
        </is>
      </c>
      <c r="N336" t="inlineStr">
        <is>
          <t>2795-9333</t>
        </is>
      </c>
      <c r="O336" t="inlineStr">
        <is>
          <t>Consumidor final</t>
        </is>
      </c>
      <c r="P336" t="inlineStr">
        <is>
          <t>LAC-001</t>
        </is>
      </c>
      <c r="Q336" t="inlineStr">
        <is>
          <t>Quesillo 1lb</t>
        </is>
      </c>
      <c r="R336" t="inlineStr">
        <is>
          <t>LACTEOS</t>
        </is>
      </c>
      <c r="S336" t="inlineStr">
        <is>
          <t>Lácteos Chalate</t>
        </is>
      </c>
      <c r="T336" t="inlineStr">
        <is>
          <t>2335-1020</t>
        </is>
      </c>
      <c r="U336" t="n">
        <v>3.8</v>
      </c>
      <c r="V336" t="n">
        <v>3</v>
      </c>
      <c r="W336" t="n">
        <v>0</v>
      </c>
      <c r="X336">
        <f>IFERROR(U336*V336*(1-W336/100),"")</f>
        <v/>
      </c>
      <c r="Y336">
        <f>IFERROR(ROUND(X336*0.13,2),"")</f>
        <v/>
      </c>
      <c r="Z336">
        <f>IFERROR(X336+Y336,"")</f>
        <v/>
      </c>
      <c r="AA336" t="inlineStr">
        <is>
          <t>Transferencia</t>
        </is>
      </c>
      <c r="AB336" t="inlineStr">
        <is>
          <t>precio especial autorizado por gerente</t>
        </is>
      </c>
    </row>
    <row r="337">
      <c r="A337" t="inlineStr">
        <is>
          <t>F-10719</t>
        </is>
      </c>
      <c r="B337" s="3" t="n">
        <v>46274</v>
      </c>
      <c r="C337" t="inlineStr">
        <is>
          <t>FCF</t>
        </is>
      </c>
      <c r="D337" t="inlineStr">
        <is>
          <t>LL01</t>
        </is>
      </c>
      <c r="E337" t="inlineStr">
        <is>
          <t>SANTA TECLA</t>
        </is>
      </c>
      <c r="F337" t="inlineStr">
        <is>
          <t>Calle Daniel Hernández #18</t>
        </is>
      </c>
      <c r="G337" t="inlineStr">
        <is>
          <t>Santa Tecla</t>
        </is>
      </c>
      <c r="H337" t="inlineStr">
        <is>
          <t>La Libertad</t>
        </is>
      </c>
      <c r="I337" t="inlineStr">
        <is>
          <t>Óscar Rivas</t>
        </is>
      </c>
      <c r="J337" t="inlineStr">
        <is>
          <t>2228-7731</t>
        </is>
      </c>
      <c r="K337" t="inlineStr">
        <is>
          <t>Andrea Pineda</t>
        </is>
      </c>
      <c r="L337" t="inlineStr">
        <is>
          <t>José López Pérez</t>
        </is>
      </c>
      <c r="M337" t="inlineStr">
        <is>
          <t>07894436-0</t>
        </is>
      </c>
      <c r="N337" t="inlineStr">
        <is>
          <t>2795-9333</t>
        </is>
      </c>
      <c r="O337" t="inlineStr">
        <is>
          <t>Consumidor final</t>
        </is>
      </c>
      <c r="P337" t="inlineStr">
        <is>
          <t>ARR-001</t>
        </is>
      </c>
      <c r="Q337" t="inlineStr">
        <is>
          <t>Arroz blanco 5lb</t>
        </is>
      </c>
      <c r="R337" t="inlineStr">
        <is>
          <t>Granos básicos</t>
        </is>
      </c>
      <c r="S337" t="inlineStr">
        <is>
          <t>Granos del Pacífico</t>
        </is>
      </c>
      <c r="T337" t="inlineStr">
        <is>
          <t>2234-8890</t>
        </is>
      </c>
      <c r="U337" t="n">
        <v>3.95</v>
      </c>
      <c r="V337" t="n">
        <v>2</v>
      </c>
      <c r="W337" t="n">
        <v>0</v>
      </c>
      <c r="X337">
        <f>IFERROR(U337*V337*(1-W337/100),"")</f>
        <v/>
      </c>
      <c r="Y337">
        <f>IFERROR(ROUND(X337*0.13,2),"")</f>
        <v/>
      </c>
      <c r="Z337">
        <f>IFERROR(X337+Y337,"")</f>
        <v/>
      </c>
      <c r="AA337" t="inlineStr">
        <is>
          <t>Transferencia</t>
        </is>
      </c>
      <c r="AB337" t="inlineStr">
        <is>
          <t>pagó con billete de $100</t>
        </is>
      </c>
    </row>
    <row r="338">
      <c r="A338" t="inlineStr">
        <is>
          <t>F-10721</t>
        </is>
      </c>
      <c r="B338" s="3" t="n">
        <v>46213</v>
      </c>
      <c r="C338" t="inlineStr">
        <is>
          <t>Factura</t>
        </is>
      </c>
      <c r="D338" t="inlineStr">
        <is>
          <t>SS01</t>
        </is>
      </c>
      <c r="E338" t="inlineStr">
        <is>
          <t>S.S. Centro</t>
        </is>
      </c>
      <c r="F338" t="inlineStr">
        <is>
          <t>4a Calle Poniente #215</t>
        </is>
      </c>
      <c r="G338" t="inlineStr">
        <is>
          <t>San Salvador</t>
        </is>
      </c>
      <c r="H338" t="inlineStr">
        <is>
          <t>San Salvador</t>
        </is>
      </c>
      <c r="I338" t="inlineStr">
        <is>
          <t>Roberto Alfaro</t>
        </is>
      </c>
      <c r="J338" t="inlineStr">
        <is>
          <t>2221-4580</t>
        </is>
      </c>
      <c r="K338" t="inlineStr">
        <is>
          <t>José Martínez</t>
        </is>
      </c>
      <c r="L338" t="inlineStr">
        <is>
          <t>Carmen Quintanilla Mejía</t>
        </is>
      </c>
      <c r="M338" t="inlineStr">
        <is>
          <t>05832730-5</t>
        </is>
      </c>
      <c r="N338" t="inlineStr">
        <is>
          <t>6863-9414</t>
        </is>
      </c>
      <c r="O338" t="inlineStr">
        <is>
          <t>Consumidor final</t>
        </is>
      </c>
      <c r="P338" t="inlineStr">
        <is>
          <t>ARR-001</t>
        </is>
      </c>
      <c r="Q338" t="inlineStr">
        <is>
          <t>Arroz blanco 5lb</t>
        </is>
      </c>
      <c r="R338" t="inlineStr">
        <is>
          <t>Abarrotes</t>
        </is>
      </c>
      <c r="S338" t="inlineStr">
        <is>
          <t>Granos del Pacífico</t>
        </is>
      </c>
      <c r="T338" t="inlineStr">
        <is>
          <t>2234-8890</t>
        </is>
      </c>
      <c r="U338" t="n">
        <v>3.95</v>
      </c>
      <c r="V338" t="n">
        <v>1</v>
      </c>
      <c r="W338" t="n">
        <v>0</v>
      </c>
      <c r="X338">
        <f>IFERROR(U338*V338*(1-W338/100),"")</f>
        <v/>
      </c>
      <c r="Y338">
        <f>IFERROR(ROUND(X338*0.13,2),"")</f>
        <v/>
      </c>
      <c r="Z338">
        <f>IFERROR(X338+Y338,"")</f>
        <v/>
      </c>
      <c r="AA338" t="inlineStr">
        <is>
          <t>Efectivo</t>
        </is>
      </c>
      <c r="AB338" t="inlineStr">
        <is>
          <t>Cliente frecuente</t>
        </is>
      </c>
    </row>
    <row r="339">
      <c r="A339" t="inlineStr">
        <is>
          <t>F-10721</t>
        </is>
      </c>
      <c r="B339" s="3" t="n">
        <v>46213</v>
      </c>
      <c r="C339" t="inlineStr">
        <is>
          <t>Factura</t>
        </is>
      </c>
      <c r="D339" t="inlineStr">
        <is>
          <t>SS01</t>
        </is>
      </c>
      <c r="E339" t="inlineStr">
        <is>
          <t>San Salvador Centro</t>
        </is>
      </c>
      <c r="F339" t="inlineStr">
        <is>
          <t>4a Calle Poniente #215</t>
        </is>
      </c>
      <c r="G339" t="inlineStr">
        <is>
          <t>San Salvador</t>
        </is>
      </c>
      <c r="H339" t="inlineStr">
        <is>
          <t>San Salvador</t>
        </is>
      </c>
      <c r="I339" t="inlineStr">
        <is>
          <t>Roberto Alfaro</t>
        </is>
      </c>
      <c r="J339" t="inlineStr">
        <is>
          <t>2221-4580</t>
        </is>
      </c>
      <c r="K339" t="inlineStr">
        <is>
          <t>José Martínez</t>
        </is>
      </c>
      <c r="L339" t="inlineStr">
        <is>
          <t>Carmen Quintanilla Mejía</t>
        </is>
      </c>
      <c r="M339" t="inlineStr">
        <is>
          <t>05832730-5</t>
        </is>
      </c>
      <c r="N339" t="inlineStr">
        <is>
          <t>6863-9414</t>
        </is>
      </c>
      <c r="O339" t="inlineStr">
        <is>
          <t>Consumidor final</t>
        </is>
      </c>
      <c r="P339" t="inlineStr">
        <is>
          <t>BEB-003</t>
        </is>
      </c>
      <c r="Q339" t="inlineStr">
        <is>
          <t>Horchata en polvo 400g</t>
        </is>
      </c>
      <c r="R339" t="inlineStr">
        <is>
          <t>Bebidas</t>
        </is>
      </c>
      <c r="S339" t="inlineStr">
        <is>
          <t>Bebidas Izalco</t>
        </is>
      </c>
      <c r="T339" t="inlineStr">
        <is>
          <t>2450-7700</t>
        </is>
      </c>
      <c r="U339" t="n">
        <v>2.6</v>
      </c>
      <c r="V339" t="n">
        <v>4</v>
      </c>
      <c r="W339" t="n">
        <v>0</v>
      </c>
      <c r="X339">
        <f>IFERROR(U339*V339*(1-W339/100),"")</f>
        <v/>
      </c>
      <c r="Y339">
        <f>IFERROR(ROUND(X339*0.13,2),"")</f>
        <v/>
      </c>
      <c r="Z339">
        <f>IFERROR(X339+Y339,"")</f>
        <v/>
      </c>
      <c r="AA339" t="inlineStr">
        <is>
          <t>Efectivo</t>
        </is>
      </c>
      <c r="AB339" t="inlineStr">
        <is>
          <t>precio especial autorizado por gerente</t>
        </is>
      </c>
    </row>
    <row r="340">
      <c r="A340" t="inlineStr">
        <is>
          <t>F-10722</t>
        </is>
      </c>
      <c r="B340" t="inlineStr">
        <is>
          <t>01/07/2026</t>
        </is>
      </c>
      <c r="C340" t="inlineStr">
        <is>
          <t>Factura</t>
        </is>
      </c>
      <c r="D340" t="inlineStr">
        <is>
          <t>LL01</t>
        </is>
      </c>
      <c r="E340" t="inlineStr">
        <is>
          <t>Santa Tecla</t>
        </is>
      </c>
      <c r="F340" t="inlineStr">
        <is>
          <t>Calle Daniel Hernández #18</t>
        </is>
      </c>
      <c r="G340" t="inlineStr">
        <is>
          <t>Santa Tecla</t>
        </is>
      </c>
      <c r="H340" t="inlineStr">
        <is>
          <t>La Libertad</t>
        </is>
      </c>
      <c r="I340" t="inlineStr">
        <is>
          <t>Óscar Rivas</t>
        </is>
      </c>
      <c r="J340" t="inlineStr">
        <is>
          <t>2228-7731</t>
        </is>
      </c>
      <c r="K340" t="inlineStr">
        <is>
          <t>Luis Escobar</t>
        </is>
      </c>
      <c r="L340" t="inlineStr">
        <is>
          <t>Sandra Lemus Flores</t>
        </is>
      </c>
      <c r="M340" t="inlineStr">
        <is>
          <t>07143344-7</t>
        </is>
      </c>
      <c r="N340" t="inlineStr">
        <is>
          <t>2764-5365</t>
        </is>
      </c>
      <c r="O340" t="inlineStr">
        <is>
          <t>Consumidor final</t>
        </is>
      </c>
      <c r="P340" t="inlineStr">
        <is>
          <t>LAC-003</t>
        </is>
      </c>
      <c r="Q340" t="inlineStr">
        <is>
          <t>Leche entera 1L</t>
        </is>
      </c>
      <c r="R340" t="inlineStr">
        <is>
          <t>Lácteos</t>
        </is>
      </c>
      <c r="S340" t="inlineStr">
        <is>
          <t>Lácteos Chalate</t>
        </is>
      </c>
      <c r="T340" t="inlineStr">
        <is>
          <t>2335-1020</t>
        </is>
      </c>
      <c r="U340" t="n">
        <v>1.2</v>
      </c>
      <c r="V340" t="n">
        <v>12</v>
      </c>
      <c r="W340" t="n">
        <v>0</v>
      </c>
      <c r="X340">
        <f>IFERROR(U340*V340*(1-W340/100),"")</f>
        <v/>
      </c>
      <c r="Y340">
        <f>IFERROR(ROUND(X340*0.13,2),"")</f>
        <v/>
      </c>
      <c r="Z340">
        <f>IFERROR(X340+Y340,"")</f>
        <v/>
      </c>
      <c r="AA340" t="inlineStr">
        <is>
          <t>Tarjeta</t>
        </is>
      </c>
      <c r="AB340" t="inlineStr"/>
    </row>
    <row r="341">
      <c r="A341" t="inlineStr">
        <is>
          <t>F-10722</t>
        </is>
      </c>
      <c r="B341" t="inlineStr">
        <is>
          <t>01/07/2026</t>
        </is>
      </c>
      <c r="C341" t="inlineStr">
        <is>
          <t>Factura</t>
        </is>
      </c>
      <c r="D341" t="inlineStr">
        <is>
          <t>LL01</t>
        </is>
      </c>
      <c r="E341" t="inlineStr">
        <is>
          <t>Santa Tecla</t>
        </is>
      </c>
      <c r="F341" t="inlineStr">
        <is>
          <t>Calle Daniel Hernández #18</t>
        </is>
      </c>
      <c r="G341" t="inlineStr">
        <is>
          <t>Santa Tecla</t>
        </is>
      </c>
      <c r="H341" t="inlineStr">
        <is>
          <t>La Libertad</t>
        </is>
      </c>
      <c r="I341" t="inlineStr">
        <is>
          <t>Óscar Rivas</t>
        </is>
      </c>
      <c r="J341" t="inlineStr">
        <is>
          <t>2228-7731</t>
        </is>
      </c>
      <c r="K341" t="inlineStr">
        <is>
          <t>Luis Escobar</t>
        </is>
      </c>
      <c r="L341" t="inlineStr">
        <is>
          <t>Sandra Lemus Flores</t>
        </is>
      </c>
      <c r="M341" t="inlineStr">
        <is>
          <t>07143344-7</t>
        </is>
      </c>
      <c r="N341" t="inlineStr">
        <is>
          <t>2764-5365</t>
        </is>
      </c>
      <c r="O341" t="inlineStr">
        <is>
          <t>Consumidor final</t>
        </is>
      </c>
      <c r="P341" t="inlineStr">
        <is>
          <t>ARR-001</t>
        </is>
      </c>
      <c r="Q341" t="inlineStr">
        <is>
          <t>Arroz blanco 5lb</t>
        </is>
      </c>
      <c r="R341" t="inlineStr">
        <is>
          <t>Granos básicos</t>
        </is>
      </c>
      <c r="S341" t="inlineStr">
        <is>
          <t>Granos del Pacífico</t>
        </is>
      </c>
      <c r="T341" t="inlineStr">
        <is>
          <t>2234-8890</t>
        </is>
      </c>
      <c r="U341" t="n">
        <v>3.95</v>
      </c>
      <c r="V341" t="n">
        <v>6</v>
      </c>
      <c r="W341" t="n">
        <v>0</v>
      </c>
      <c r="X341">
        <f>IFERROR(U341*V341*(1-W341/100),"")</f>
        <v/>
      </c>
      <c r="Y341">
        <f>IFERROR(ROUND(X341*0.13,2),"")</f>
        <v/>
      </c>
      <c r="Z341">
        <f>IFERROR(X341+Y341,"")</f>
        <v/>
      </c>
      <c r="AA341" t="inlineStr">
        <is>
          <t>Tarjeta</t>
        </is>
      </c>
      <c r="AB341" t="inlineStr">
        <is>
          <t>entregar en bodega</t>
        </is>
      </c>
    </row>
    <row r="342">
      <c r="A342" t="inlineStr">
        <is>
          <t>F-10725</t>
        </is>
      </c>
      <c r="B342" s="3" t="n">
        <v>46231</v>
      </c>
      <c r="C342" t="inlineStr">
        <is>
          <t>FCF</t>
        </is>
      </c>
      <c r="D342" t="inlineStr">
        <is>
          <t>SS02</t>
        </is>
      </c>
      <c r="E342" t="inlineStr">
        <is>
          <t>Escalón</t>
        </is>
      </c>
      <c r="F342" t="inlineStr">
        <is>
          <t>Paseo General Escalón #3910</t>
        </is>
      </c>
      <c r="G342" t="inlineStr">
        <is>
          <t>San Salvador</t>
        </is>
      </c>
      <c r="H342" t="inlineStr">
        <is>
          <t>San Salvador</t>
        </is>
      </c>
      <c r="I342" t="inlineStr">
        <is>
          <t>Claudia Menjívar</t>
        </is>
      </c>
      <c r="J342" t="inlineStr">
        <is>
          <t>2264-1190</t>
        </is>
      </c>
      <c r="K342" t="inlineStr">
        <is>
          <t>Fátima Rosales</t>
        </is>
      </c>
      <c r="L342" t="inlineStr">
        <is>
          <t>Carlos Romero García</t>
        </is>
      </c>
      <c r="M342" t="inlineStr">
        <is>
          <t>07543956-0</t>
        </is>
      </c>
      <c r="N342" t="inlineStr">
        <is>
          <t>7602-6148</t>
        </is>
      </c>
      <c r="O342" t="inlineStr">
        <is>
          <t>Consumidor final</t>
        </is>
      </c>
      <c r="P342" t="inlineStr">
        <is>
          <t>FRI-001</t>
        </is>
      </c>
      <c r="Q342" t="inlineStr">
        <is>
          <t>Frijol rojo de seda 2lb</t>
        </is>
      </c>
      <c r="R342" t="inlineStr">
        <is>
          <t>Abarrotes</t>
        </is>
      </c>
      <c r="S342" t="inlineStr">
        <is>
          <t>Granos del Pacífico</t>
        </is>
      </c>
      <c r="T342" t="inlineStr">
        <is>
          <t>2234-8890</t>
        </is>
      </c>
      <c r="U342" t="n">
        <v>2.4</v>
      </c>
      <c r="V342" t="n">
        <v>12</v>
      </c>
      <c r="W342" t="n">
        <v>0</v>
      </c>
      <c r="X342">
        <f>IFERROR(U342*V342*(1-W342/100),"")</f>
        <v/>
      </c>
      <c r="Y342">
        <f>IFERROR(ROUND(X342*0.13,2),"")</f>
        <v/>
      </c>
      <c r="Z342">
        <f>IFERROR(X342+Y342,"")</f>
        <v/>
      </c>
      <c r="AA342" t="inlineStr">
        <is>
          <t>Bitcoin</t>
        </is>
      </c>
      <c r="AB342" t="inlineStr">
        <is>
          <t>pagó con billete de $100</t>
        </is>
      </c>
    </row>
    <row r="343">
      <c r="A343" t="inlineStr">
        <is>
          <t>F-10725</t>
        </is>
      </c>
      <c r="B343" t="inlineStr">
        <is>
          <t>28/07/2026</t>
        </is>
      </c>
      <c r="C343" t="inlineStr">
        <is>
          <t>FCF</t>
        </is>
      </c>
      <c r="D343" t="inlineStr">
        <is>
          <t>SS02</t>
        </is>
      </c>
      <c r="E343" t="inlineStr">
        <is>
          <t>ESCALON</t>
        </is>
      </c>
      <c r="F343" t="inlineStr">
        <is>
          <t>Paseo General Escalón #3910</t>
        </is>
      </c>
      <c r="G343" t="inlineStr">
        <is>
          <t>San Salvador</t>
        </is>
      </c>
      <c r="H343" t="inlineStr">
        <is>
          <t>San Salvador</t>
        </is>
      </c>
      <c r="I343" t="inlineStr">
        <is>
          <t>Claudia Menjívar</t>
        </is>
      </c>
      <c r="J343" t="inlineStr">
        <is>
          <t>2264-1190</t>
        </is>
      </c>
      <c r="K343" t="inlineStr">
        <is>
          <t>Fátima Rosales</t>
        </is>
      </c>
      <c r="L343" t="inlineStr">
        <is>
          <t>Carlos Romero García</t>
        </is>
      </c>
      <c r="M343" t="inlineStr">
        <is>
          <t>07543956-0</t>
        </is>
      </c>
      <c r="N343" t="inlineStr">
        <is>
          <t>7602-6148</t>
        </is>
      </c>
      <c r="O343" t="inlineStr">
        <is>
          <t>Consumidor final</t>
        </is>
      </c>
      <c r="P343" t="inlineStr">
        <is>
          <t>LAC-002</t>
        </is>
      </c>
      <c r="Q343" t="inlineStr">
        <is>
          <t>Crema 500ml</t>
        </is>
      </c>
      <c r="R343" t="inlineStr">
        <is>
          <t>Lácteos</t>
        </is>
      </c>
      <c r="S343" t="inlineStr">
        <is>
          <t>Lácteos Chalate</t>
        </is>
      </c>
      <c r="T343" t="inlineStr">
        <is>
          <t>2335-1020</t>
        </is>
      </c>
      <c r="U343" t="n">
        <v>2.25</v>
      </c>
      <c r="V343" t="n">
        <v>2</v>
      </c>
      <c r="W343" t="n">
        <v>0</v>
      </c>
      <c r="X343">
        <f>IFERROR(U343*V343*(1-W343/100),"")</f>
        <v/>
      </c>
      <c r="Y343">
        <f>IFERROR(ROUND(X343*0.13,2),"")</f>
        <v/>
      </c>
      <c r="Z343">
        <f>IFERROR(X343+Y343,"")</f>
        <v/>
      </c>
      <c r="AA343" t="inlineStr">
        <is>
          <t>Bitcoin</t>
        </is>
      </c>
      <c r="AB343" t="inlineStr"/>
    </row>
    <row r="344">
      <c r="A344" t="inlineStr">
        <is>
          <t>F-10725</t>
        </is>
      </c>
      <c r="B344" t="inlineStr">
        <is>
          <t>28/07/2026</t>
        </is>
      </c>
      <c r="C344" t="inlineStr">
        <is>
          <t>FCF</t>
        </is>
      </c>
      <c r="D344" t="inlineStr">
        <is>
          <t>SS02</t>
        </is>
      </c>
      <c r="E344" t="inlineStr">
        <is>
          <t>Escalon</t>
        </is>
      </c>
      <c r="F344" t="inlineStr">
        <is>
          <t>Paseo General Escalón #3910</t>
        </is>
      </c>
      <c r="G344" t="inlineStr">
        <is>
          <t>San Salvador</t>
        </is>
      </c>
      <c r="H344" t="inlineStr">
        <is>
          <t>San Salvador</t>
        </is>
      </c>
      <c r="I344" t="inlineStr">
        <is>
          <t>Claudia Menjívar</t>
        </is>
      </c>
      <c r="J344" t="inlineStr">
        <is>
          <t>2264-1190</t>
        </is>
      </c>
      <c r="K344" t="inlineStr">
        <is>
          <t>Fátima Rosales</t>
        </is>
      </c>
      <c r="L344" t="inlineStr">
        <is>
          <t>Carlos Romero García</t>
        </is>
      </c>
      <c r="M344" t="inlineStr">
        <is>
          <t>07543956-0</t>
        </is>
      </c>
      <c r="N344" t="inlineStr">
        <is>
          <t>7602-6148</t>
        </is>
      </c>
      <c r="O344" t="inlineStr">
        <is>
          <t>Consumidor final</t>
        </is>
      </c>
      <c r="P344" t="inlineStr">
        <is>
          <t>BEB-003</t>
        </is>
      </c>
      <c r="Q344" t="inlineStr">
        <is>
          <t>Horchata en polvo 400g</t>
        </is>
      </c>
      <c r="R344" t="inlineStr">
        <is>
          <t>Abarrotes</t>
        </is>
      </c>
      <c r="S344" t="inlineStr">
        <is>
          <t>Bebidas Izalco</t>
        </is>
      </c>
      <c r="T344" t="inlineStr">
        <is>
          <t>2450-7700</t>
        </is>
      </c>
      <c r="U344" t="inlineStr">
        <is>
          <t>2,60</t>
        </is>
      </c>
      <c r="V344" t="n">
        <v>2</v>
      </c>
      <c r="W344" t="n">
        <v>0</v>
      </c>
      <c r="X344">
        <f>IFERROR(U344*V344*(1-W344/100),"")</f>
        <v/>
      </c>
      <c r="Y344">
        <f>IFERROR(ROUND(X344*0.13,2),"")</f>
        <v/>
      </c>
      <c r="Z344">
        <f>IFERROR(X344+Y344,"")</f>
        <v/>
      </c>
      <c r="AA344" t="inlineStr">
        <is>
          <t>Bitcoin</t>
        </is>
      </c>
      <c r="AB344" t="inlineStr">
        <is>
          <t>precio especial autorizado por gerente</t>
        </is>
      </c>
    </row>
    <row r="345">
      <c r="A345" t="inlineStr">
        <is>
          <t>F-10725</t>
        </is>
      </c>
      <c r="B345" s="3" t="n">
        <v>46231</v>
      </c>
      <c r="C345" t="inlineStr">
        <is>
          <t>FCF</t>
        </is>
      </c>
      <c r="D345" t="inlineStr">
        <is>
          <t>SS02</t>
        </is>
      </c>
      <c r="E345" t="inlineStr">
        <is>
          <t>Escalón</t>
        </is>
      </c>
      <c r="F345" t="inlineStr">
        <is>
          <t>Paseo General Escalón #3910</t>
        </is>
      </c>
      <c r="G345" t="inlineStr">
        <is>
          <t>San Salvador</t>
        </is>
      </c>
      <c r="H345" t="inlineStr">
        <is>
          <t>San Salvador</t>
        </is>
      </c>
      <c r="I345" t="inlineStr">
        <is>
          <t>Claudia Menjívar</t>
        </is>
      </c>
      <c r="J345" t="inlineStr">
        <is>
          <t>2264-1190</t>
        </is>
      </c>
      <c r="K345" t="inlineStr">
        <is>
          <t>Fátima Rosales</t>
        </is>
      </c>
      <c r="L345" t="inlineStr">
        <is>
          <t>Carlos Romero García</t>
        </is>
      </c>
      <c r="M345" t="inlineStr">
        <is>
          <t>07543956-0</t>
        </is>
      </c>
      <c r="N345" t="inlineStr">
        <is>
          <t>7602-6148</t>
        </is>
      </c>
      <c r="O345" t="inlineStr">
        <is>
          <t>Consumidor final</t>
        </is>
      </c>
      <c r="P345" t="inlineStr">
        <is>
          <t>HIG-001</t>
        </is>
      </c>
      <c r="Q345" t="inlineStr">
        <is>
          <t>Detergente 1kg</t>
        </is>
      </c>
      <c r="R345" t="inlineStr">
        <is>
          <t>limpieza</t>
        </is>
      </c>
      <c r="S345" t="inlineStr">
        <is>
          <t>Higiene Total C.A.</t>
        </is>
      </c>
      <c r="T345" t="inlineStr">
        <is>
          <t>2207-5566</t>
        </is>
      </c>
      <c r="U345" t="n">
        <v>3.45</v>
      </c>
      <c r="V345" t="n">
        <v>3</v>
      </c>
      <c r="W345" t="n">
        <v>0</v>
      </c>
      <c r="X345">
        <f>IFERROR(U345*V345*(1-W345/100),"")</f>
        <v/>
      </c>
      <c r="Y345">
        <f>IFERROR(ROUND(X345*0.13,2),"")</f>
        <v/>
      </c>
      <c r="Z345">
        <f>IFERROR(X345+Y345,"")</f>
        <v/>
      </c>
      <c r="AA345" t="inlineStr">
        <is>
          <t>Bitcoin</t>
        </is>
      </c>
      <c r="AB345" t="inlineStr">
        <is>
          <t>Llamar al 7788-1234 antes de entregar</t>
        </is>
      </c>
    </row>
    <row r="346">
      <c r="A346" t="inlineStr">
        <is>
          <t>F-10726</t>
        </is>
      </c>
      <c r="B346" t="inlineStr">
        <is>
          <t>2026-07-15</t>
        </is>
      </c>
      <c r="C346" t="inlineStr">
        <is>
          <t>Factura</t>
        </is>
      </c>
      <c r="D346" t="inlineStr">
        <is>
          <t>LL02</t>
        </is>
      </c>
      <c r="E346" t="inlineStr">
        <is>
          <t>Puerto de La Libertad</t>
        </is>
      </c>
      <c r="F346" t="inlineStr">
        <is>
          <t>Calle El Malecón, Local 4</t>
        </is>
      </c>
      <c r="G346" t="inlineStr">
        <is>
          <t>La Libertad</t>
        </is>
      </c>
      <c r="H346" t="inlineStr">
        <is>
          <t>La Libertad</t>
        </is>
      </c>
      <c r="I346" t="inlineStr">
        <is>
          <t>Wendy Aguilar</t>
        </is>
      </c>
      <c r="J346" t="inlineStr">
        <is>
          <t>2335-6140</t>
        </is>
      </c>
      <c r="K346" t="inlineStr">
        <is>
          <t>Gabriela Saravia</t>
        </is>
      </c>
      <c r="L346" t="inlineStr">
        <is>
          <t>Edwin Alvarado García</t>
        </is>
      </c>
      <c r="M346" t="inlineStr">
        <is>
          <t>03264621-6</t>
        </is>
      </c>
      <c r="N346" t="inlineStr">
        <is>
          <t>2560-1229</t>
        </is>
      </c>
      <c r="O346" t="inlineStr">
        <is>
          <t>Consumidor final</t>
        </is>
      </c>
      <c r="P346" t="inlineStr">
        <is>
          <t>LAC-001</t>
        </is>
      </c>
      <c r="Q346" t="inlineStr">
        <is>
          <t>Quesillo 1lb</t>
        </is>
      </c>
      <c r="R346" t="inlineStr">
        <is>
          <t>Lacteos</t>
        </is>
      </c>
      <c r="S346" t="inlineStr">
        <is>
          <t>Lácteos Chalate</t>
        </is>
      </c>
      <c r="T346" t="inlineStr">
        <is>
          <t>2335-1020</t>
        </is>
      </c>
      <c r="U346" t="inlineStr">
        <is>
          <t>3,80</t>
        </is>
      </c>
      <c r="V346" t="n">
        <v>2</v>
      </c>
      <c r="W346" t="n">
        <v>0</v>
      </c>
      <c r="X346">
        <f>IFERROR(U346*V346*(1-W346/100),"")</f>
        <v/>
      </c>
      <c r="Y346">
        <f>IFERROR(ROUND(X346*0.13,2),"")</f>
        <v/>
      </c>
      <c r="Z346">
        <f>IFERROR(X346+Y346,"")</f>
        <v/>
      </c>
      <c r="AA346" t="inlineStr">
        <is>
          <t>TARJETA</t>
        </is>
      </c>
      <c r="AB346" t="inlineStr">
        <is>
          <t>Llamar al 7788-1234 antes de entregar</t>
        </is>
      </c>
    </row>
    <row r="347">
      <c r="A347" t="inlineStr">
        <is>
          <t>10726</t>
        </is>
      </c>
      <c r="B347" s="3" t="n">
        <v>46218</v>
      </c>
      <c r="C347" t="inlineStr">
        <is>
          <t>Factura</t>
        </is>
      </c>
      <c r="D347" t="inlineStr">
        <is>
          <t>LL02</t>
        </is>
      </c>
      <c r="E347" t="inlineStr">
        <is>
          <t>La Libertad Puerto</t>
        </is>
      </c>
      <c r="F347" t="inlineStr">
        <is>
          <t>Calle El Malecón, Local 4</t>
        </is>
      </c>
      <c r="G347" t="inlineStr">
        <is>
          <t>La Libertad</t>
        </is>
      </c>
      <c r="H347" t="inlineStr">
        <is>
          <t>La Libertad</t>
        </is>
      </c>
      <c r="I347" t="inlineStr">
        <is>
          <t>Wendy Aguilar</t>
        </is>
      </c>
      <c r="J347" t="inlineStr">
        <is>
          <t>2335-6140</t>
        </is>
      </c>
      <c r="K347" t="inlineStr">
        <is>
          <t>Gabriela Saravia</t>
        </is>
      </c>
      <c r="L347" t="inlineStr">
        <is>
          <t>Edwin Alvarado García</t>
        </is>
      </c>
      <c r="M347" t="inlineStr">
        <is>
          <t>03264621-6</t>
        </is>
      </c>
      <c r="N347" t="inlineStr">
        <is>
          <t>2560-1229</t>
        </is>
      </c>
      <c r="O347" t="inlineStr">
        <is>
          <t>Consumidor final</t>
        </is>
      </c>
      <c r="P347" t="inlineStr">
        <is>
          <t>PAN-001</t>
        </is>
      </c>
      <c r="Q347" t="inlineStr">
        <is>
          <t>Pan francés bolsa 10u</t>
        </is>
      </c>
      <c r="R347" t="inlineStr">
        <is>
          <t>Panaderia</t>
        </is>
      </c>
      <c r="S347" t="inlineStr">
        <is>
          <t>Panificadora Ilopango</t>
        </is>
      </c>
      <c r="T347" t="inlineStr">
        <is>
          <t>2295-0081</t>
        </is>
      </c>
      <c r="U347" t="n">
        <v>1</v>
      </c>
      <c r="V347" t="n">
        <v>2</v>
      </c>
      <c r="W347" t="n">
        <v>0</v>
      </c>
      <c r="X347">
        <f>IFERROR(U347*V347*(1-W347/100),"")</f>
        <v/>
      </c>
      <c r="Y347">
        <f>IFERROR(ROUND(X347*0.13,2),"")</f>
        <v/>
      </c>
      <c r="Z347">
        <f>IFERROR(X347+Y347,"")</f>
        <v/>
      </c>
      <c r="AA347" t="inlineStr">
        <is>
          <t>TARJETA</t>
        </is>
      </c>
      <c r="AB347" t="inlineStr"/>
    </row>
    <row r="348">
      <c r="A348" t="inlineStr">
        <is>
          <t>F-10726</t>
        </is>
      </c>
      <c r="B348" s="3" t="n">
        <v>46218</v>
      </c>
      <c r="C348" t="inlineStr">
        <is>
          <t>Factura</t>
        </is>
      </c>
      <c r="D348" t="inlineStr">
        <is>
          <t>LL02</t>
        </is>
      </c>
      <c r="E348" t="inlineStr">
        <is>
          <t>Pto. La Libertad</t>
        </is>
      </c>
      <c r="F348" t="inlineStr">
        <is>
          <t>Calle El Malecón, Local 4</t>
        </is>
      </c>
      <c r="G348" t="inlineStr">
        <is>
          <t>La Libertad</t>
        </is>
      </c>
      <c r="H348" t="inlineStr">
        <is>
          <t>La Libertad</t>
        </is>
      </c>
      <c r="I348" t="inlineStr">
        <is>
          <t>Wendy Aguilar</t>
        </is>
      </c>
      <c r="J348" t="inlineStr">
        <is>
          <t>2335-6140</t>
        </is>
      </c>
      <c r="K348" t="inlineStr">
        <is>
          <t>Gabriela Saravia</t>
        </is>
      </c>
      <c r="L348" t="inlineStr">
        <is>
          <t>Edwin Alvarado García</t>
        </is>
      </c>
      <c r="M348" t="inlineStr">
        <is>
          <t>03264621-6</t>
        </is>
      </c>
      <c r="N348" t="inlineStr">
        <is>
          <t>2560-1229</t>
        </is>
      </c>
      <c r="O348" t="inlineStr">
        <is>
          <t>Consumidor final</t>
        </is>
      </c>
      <c r="P348" t="inlineStr">
        <is>
          <t>HIG-003</t>
        </is>
      </c>
      <c r="Q348" t="inlineStr">
        <is>
          <t>Jabón de lavar barra</t>
        </is>
      </c>
      <c r="R348" t="inlineStr">
        <is>
          <t>Limpieza</t>
        </is>
      </c>
      <c r="S348" t="inlineStr">
        <is>
          <t>Higiene Total C.A.</t>
        </is>
      </c>
      <c r="T348" t="inlineStr">
        <is>
          <t>2207-5566</t>
        </is>
      </c>
      <c r="U348" t="n">
        <v>0.75</v>
      </c>
      <c r="V348" t="n">
        <v>4</v>
      </c>
      <c r="W348" t="n">
        <v>0</v>
      </c>
      <c r="X348">
        <f>IFERROR(U348*V348*(1-W348/100),"")</f>
        <v/>
      </c>
      <c r="Y348">
        <f>IFERROR(ROUND(X348*0.13,2),"")</f>
        <v/>
      </c>
      <c r="Z348">
        <f>IFERROR(X348+Y348,"")</f>
        <v/>
      </c>
      <c r="AA348" t="inlineStr">
        <is>
          <t>TARJETA</t>
        </is>
      </c>
      <c r="AB348" t="inlineStr">
        <is>
          <t>Cliente frecuente</t>
        </is>
      </c>
    </row>
    <row r="349">
      <c r="A349" t="inlineStr">
        <is>
          <t>F-10726</t>
        </is>
      </c>
      <c r="B349" s="3" t="n">
        <v>46218</v>
      </c>
      <c r="C349" t="inlineStr">
        <is>
          <t>Factura</t>
        </is>
      </c>
      <c r="D349" t="inlineStr">
        <is>
          <t>LL02</t>
        </is>
      </c>
      <c r="E349" t="inlineStr">
        <is>
          <t>Pto. La Libertad</t>
        </is>
      </c>
      <c r="F349" t="inlineStr">
        <is>
          <t>Calle El Malecón, Local 4</t>
        </is>
      </c>
      <c r="G349" t="inlineStr">
        <is>
          <t>La Libertad</t>
        </is>
      </c>
      <c r="H349" t="inlineStr">
        <is>
          <t>La Libertad</t>
        </is>
      </c>
      <c r="I349" t="inlineStr">
        <is>
          <t>Wendy Aguilar</t>
        </is>
      </c>
      <c r="J349" t="inlineStr">
        <is>
          <t>2335-6140</t>
        </is>
      </c>
      <c r="K349" t="inlineStr">
        <is>
          <t>Gabriela Saravia</t>
        </is>
      </c>
      <c r="L349" t="inlineStr">
        <is>
          <t>Edwin Alvarado García</t>
        </is>
      </c>
      <c r="M349" t="inlineStr">
        <is>
          <t>03264621-6</t>
        </is>
      </c>
      <c r="N349" t="inlineStr">
        <is>
          <t>2560-1229</t>
        </is>
      </c>
      <c r="O349" t="inlineStr">
        <is>
          <t>Consumidor final</t>
        </is>
      </c>
      <c r="P349" t="inlineStr">
        <is>
          <t>LAC-002</t>
        </is>
      </c>
      <c r="Q349" t="inlineStr">
        <is>
          <t>Crema 500ml</t>
        </is>
      </c>
      <c r="R349" t="inlineStr">
        <is>
          <t>Lácteos</t>
        </is>
      </c>
      <c r="S349" t="inlineStr">
        <is>
          <t>Lácteos Chalate</t>
        </is>
      </c>
      <c r="T349" t="inlineStr">
        <is>
          <t>7120-4455</t>
        </is>
      </c>
      <c r="U349" t="n">
        <v>2.25</v>
      </c>
      <c r="V349" t="n">
        <v>24</v>
      </c>
      <c r="W349" t="n">
        <v>0</v>
      </c>
      <c r="X349">
        <f>IFERROR(U349*V349*(1-W349/100),"")</f>
        <v/>
      </c>
      <c r="Y349">
        <f>IFERROR(ROUND(X349*0.13,2),"")</f>
        <v/>
      </c>
      <c r="Z349">
        <f>IFERROR(X349+Y349,"")</f>
        <v/>
      </c>
      <c r="AA349" t="inlineStr">
        <is>
          <t>TARJETA</t>
        </is>
      </c>
      <c r="AB349" t="inlineStr">
        <is>
          <t>entregar en bodega</t>
        </is>
      </c>
    </row>
    <row r="350">
      <c r="A350" t="inlineStr">
        <is>
          <t>F-10728</t>
        </is>
      </c>
      <c r="B350" s="3" t="n">
        <v>46209</v>
      </c>
      <c r="C350" t="inlineStr">
        <is>
          <t>Factura</t>
        </is>
      </c>
      <c r="D350" t="inlineStr">
        <is>
          <t>SS02</t>
        </is>
      </c>
      <c r="E350" t="inlineStr">
        <is>
          <t>Col. Escalón</t>
        </is>
      </c>
      <c r="F350" t="inlineStr">
        <is>
          <t>Paseo General Escalón #3910</t>
        </is>
      </c>
      <c r="G350" t="inlineStr">
        <is>
          <t>San Salvador</t>
        </is>
      </c>
      <c r="H350" t="inlineStr">
        <is>
          <t>San Salvador</t>
        </is>
      </c>
      <c r="I350" t="inlineStr">
        <is>
          <t>Claudia Menjívar</t>
        </is>
      </c>
      <c r="J350" t="inlineStr">
        <is>
          <t>2264-1190</t>
        </is>
      </c>
      <c r="K350" t="inlineStr">
        <is>
          <t>Kevin Benítez</t>
        </is>
      </c>
      <c r="L350" t="inlineStr">
        <is>
          <t>Xiomara Cornejo Guevara</t>
        </is>
      </c>
      <c r="M350" t="inlineStr">
        <is>
          <t>09840186-7</t>
        </is>
      </c>
      <c r="N350" t="inlineStr">
        <is>
          <t>2102-2322</t>
        </is>
      </c>
      <c r="O350" t="inlineStr">
        <is>
          <t>Consumidor final</t>
        </is>
      </c>
      <c r="P350" t="inlineStr">
        <is>
          <t>HIG-001</t>
        </is>
      </c>
      <c r="Q350" t="inlineStr">
        <is>
          <t>Detergente 1kg</t>
        </is>
      </c>
      <c r="R350" t="inlineStr">
        <is>
          <t>Limpieza</t>
        </is>
      </c>
      <c r="S350" t="inlineStr">
        <is>
          <t>Higiene Total C.A.</t>
        </is>
      </c>
      <c r="T350" t="inlineStr">
        <is>
          <t>2207-5566</t>
        </is>
      </c>
      <c r="U350" t="n">
        <v>3.45</v>
      </c>
      <c r="V350" t="n">
        <v>24</v>
      </c>
      <c r="W350" t="n">
        <v>0</v>
      </c>
      <c r="X350">
        <f>IFERROR(U350*V350*(1-W350/100),"")</f>
        <v/>
      </c>
      <c r="Y350">
        <f>IFERROR(ROUND(X350*0.13,2),"")</f>
        <v/>
      </c>
      <c r="Z350">
        <f>IFERROR(X350+Y350,"")</f>
        <v/>
      </c>
      <c r="AA350" t="inlineStr">
        <is>
          <t>efectivo</t>
        </is>
      </c>
      <c r="AB350" t="inlineStr">
        <is>
          <t>Llamar al 7788-1234 antes de entregar</t>
        </is>
      </c>
    </row>
    <row r="351">
      <c r="A351" t="inlineStr">
        <is>
          <t>F-10728</t>
        </is>
      </c>
      <c r="B351" s="3" t="n">
        <v>46209</v>
      </c>
      <c r="C351" t="inlineStr">
        <is>
          <t>Factura</t>
        </is>
      </c>
      <c r="D351" t="inlineStr">
        <is>
          <t>SS02</t>
        </is>
      </c>
      <c r="E351" t="inlineStr">
        <is>
          <t>Escalon</t>
        </is>
      </c>
      <c r="F351" t="inlineStr">
        <is>
          <t>Paseo General Escalón #3910</t>
        </is>
      </c>
      <c r="G351" t="inlineStr">
        <is>
          <t>San Salvador</t>
        </is>
      </c>
      <c r="H351" t="inlineStr">
        <is>
          <t>San Salvador</t>
        </is>
      </c>
      <c r="I351" t="inlineStr">
        <is>
          <t>Claudia Menjívar</t>
        </is>
      </c>
      <c r="J351" t="inlineStr">
        <is>
          <t>2264-1190</t>
        </is>
      </c>
      <c r="K351" t="inlineStr">
        <is>
          <t>Kevin Benítez</t>
        </is>
      </c>
      <c r="L351" t="inlineStr">
        <is>
          <t>Xiomara Cornejo Guevara</t>
        </is>
      </c>
      <c r="M351" t="inlineStr">
        <is>
          <t>09840186-7</t>
        </is>
      </c>
      <c r="N351" t="inlineStr">
        <is>
          <t>2102-2322</t>
        </is>
      </c>
      <c r="O351" t="inlineStr">
        <is>
          <t>Consumidor final</t>
        </is>
      </c>
      <c r="P351" t="inlineStr">
        <is>
          <t>PAN-002</t>
        </is>
      </c>
      <c r="Q351" t="inlineStr">
        <is>
          <t>Semita alta</t>
        </is>
      </c>
      <c r="R351" t="inlineStr">
        <is>
          <t>Panadería</t>
        </is>
      </c>
      <c r="S351" t="inlineStr">
        <is>
          <t>Panificadora Ilopango</t>
        </is>
      </c>
      <c r="T351" t="inlineStr">
        <is>
          <t>2295-0081</t>
        </is>
      </c>
      <c r="U351" t="n">
        <v>1.75</v>
      </c>
      <c r="V351" t="n">
        <v>3</v>
      </c>
      <c r="W351" t="n">
        <v>0</v>
      </c>
      <c r="X351">
        <f>IFERROR(U351*V351*(1-W351/100),"")</f>
        <v/>
      </c>
      <c r="Y351">
        <f>IFERROR(ROUND(X351*0.13,2),"")</f>
        <v/>
      </c>
      <c r="Z351">
        <f>IFERROR(X351+Y351,"")</f>
        <v/>
      </c>
      <c r="AA351" t="inlineStr">
        <is>
          <t>efectivo</t>
        </is>
      </c>
      <c r="AB351" t="inlineStr">
        <is>
          <t>pagó con billete de $100</t>
        </is>
      </c>
    </row>
    <row r="352">
      <c r="A352" t="inlineStr">
        <is>
          <t>F-10728</t>
        </is>
      </c>
      <c r="B352" s="3" t="n">
        <v>46209</v>
      </c>
      <c r="C352" t="inlineStr">
        <is>
          <t>Factura</t>
        </is>
      </c>
      <c r="D352" t="inlineStr">
        <is>
          <t>SS02</t>
        </is>
      </c>
      <c r="E352" t="inlineStr">
        <is>
          <t>Escalon</t>
        </is>
      </c>
      <c r="F352" t="inlineStr">
        <is>
          <t>Paseo General Escalón #3910</t>
        </is>
      </c>
      <c r="G352" t="inlineStr">
        <is>
          <t>San Salvador</t>
        </is>
      </c>
      <c r="H352" t="inlineStr">
        <is>
          <t>San Salvador</t>
        </is>
      </c>
      <c r="I352" t="inlineStr">
        <is>
          <t>Claudia Menjívar</t>
        </is>
      </c>
      <c r="J352" t="inlineStr">
        <is>
          <t>2264-1190</t>
        </is>
      </c>
      <c r="K352" t="inlineStr">
        <is>
          <t>Kevin Benítez</t>
        </is>
      </c>
      <c r="L352" t="inlineStr">
        <is>
          <t>Xiomara Cornejo Guevara</t>
        </is>
      </c>
      <c r="M352" t="inlineStr">
        <is>
          <t>09840186-7</t>
        </is>
      </c>
      <c r="N352" t="inlineStr">
        <is>
          <t>2102-2322</t>
        </is>
      </c>
      <c r="O352" t="inlineStr">
        <is>
          <t>Consumidor final</t>
        </is>
      </c>
      <c r="P352" t="inlineStr">
        <is>
          <t>BEB-002</t>
        </is>
      </c>
      <c r="Q352" t="inlineStr">
        <is>
          <t>Agua purificada 1 galón</t>
        </is>
      </c>
      <c r="R352" t="inlineStr">
        <is>
          <t>Bebidas</t>
        </is>
      </c>
      <c r="S352" t="inlineStr">
        <is>
          <t>Bebidas Izalco</t>
        </is>
      </c>
      <c r="T352" t="inlineStr">
        <is>
          <t>2450-7700</t>
        </is>
      </c>
      <c r="U352" t="n">
        <v>1.1</v>
      </c>
      <c r="V352" t="n">
        <v>1</v>
      </c>
      <c r="W352" t="n">
        <v>0</v>
      </c>
      <c r="X352">
        <f>IFERROR(U352*V352*(1-W352/100),"")</f>
        <v/>
      </c>
      <c r="Y352">
        <f>IFERROR(ROUND(X352*0.13,2),"")</f>
        <v/>
      </c>
      <c r="Z352">
        <f>IFERROR(X352+Y352,"")</f>
        <v/>
      </c>
      <c r="AA352" t="inlineStr">
        <is>
          <t>efectivo</t>
        </is>
      </c>
      <c r="AB352" t="inlineStr">
        <is>
          <t>Cliente frecuente</t>
        </is>
      </c>
    </row>
    <row r="353">
      <c r="A353" t="inlineStr">
        <is>
          <t>F-10730</t>
        </is>
      </c>
      <c r="B353" s="3" t="n">
        <v>46290</v>
      </c>
      <c r="C353" t="inlineStr">
        <is>
          <t>factura</t>
        </is>
      </c>
      <c r="D353" t="inlineStr">
        <is>
          <t>SS01</t>
        </is>
      </c>
      <c r="E353" t="inlineStr">
        <is>
          <t xml:space="preserve">san salvador centro </t>
        </is>
      </c>
      <c r="F353" t="inlineStr">
        <is>
          <t>4a Calle Poniente #215</t>
        </is>
      </c>
      <c r="G353" t="inlineStr">
        <is>
          <t>San Salvador</t>
        </is>
      </c>
      <c r="H353" t="inlineStr">
        <is>
          <t>San Salvador</t>
        </is>
      </c>
      <c r="I353" t="inlineStr">
        <is>
          <t>Roberto Alfaro</t>
        </is>
      </c>
      <c r="J353" t="inlineStr">
        <is>
          <t>2221-4580</t>
        </is>
      </c>
      <c r="K353" t="inlineStr">
        <is>
          <t>Daniela Orellana</t>
        </is>
      </c>
      <c r="L353" t="inlineStr">
        <is>
          <t>María López Lemus</t>
        </is>
      </c>
      <c r="M353" t="inlineStr">
        <is>
          <t>09741522-8</t>
        </is>
      </c>
      <c r="N353" t="inlineStr">
        <is>
          <t>2724-4257</t>
        </is>
      </c>
      <c r="O353" t="inlineStr">
        <is>
          <t>Consumidor final</t>
        </is>
      </c>
      <c r="P353" t="inlineStr">
        <is>
          <t>HAR-001</t>
        </is>
      </c>
      <c r="Q353" t="inlineStr">
        <is>
          <t>Harina de maíz 2lb</t>
        </is>
      </c>
      <c r="R353" t="inlineStr">
        <is>
          <t>Abarrotes</t>
        </is>
      </c>
      <c r="S353" t="inlineStr">
        <is>
          <t>Granos del Pacífico</t>
        </is>
      </c>
      <c r="T353" t="inlineStr">
        <is>
          <t>2234-8890</t>
        </is>
      </c>
      <c r="U353" t="n">
        <v>1.35</v>
      </c>
      <c r="V353" t="n">
        <v>24</v>
      </c>
      <c r="W353" t="n">
        <v>0</v>
      </c>
      <c r="X353">
        <f>IFERROR(U353*V353*(1-W353/100),"")</f>
        <v/>
      </c>
      <c r="Y353">
        <f>IFERROR(ROUND(X353*0.13,2),"")</f>
        <v/>
      </c>
      <c r="Z353">
        <f>IFERROR(X353+Y353,"")</f>
        <v/>
      </c>
      <c r="AA353" t="inlineStr">
        <is>
          <t>Efectivo</t>
        </is>
      </c>
      <c r="AB353" t="inlineStr">
        <is>
          <t>pagó con billete de $100</t>
        </is>
      </c>
    </row>
    <row r="354">
      <c r="A354" t="inlineStr">
        <is>
          <t>F-10733</t>
        </is>
      </c>
      <c r="B354" s="3" t="n">
        <v>46284</v>
      </c>
      <c r="C354" t="inlineStr">
        <is>
          <t>Factura</t>
        </is>
      </c>
      <c r="D354" t="inlineStr">
        <is>
          <t>SO01</t>
        </is>
      </c>
      <c r="E354" t="inlineStr">
        <is>
          <t>SONSONATE</t>
        </is>
      </c>
      <c r="F354" t="inlineStr">
        <is>
          <t>Calle Obispo Marroquín #3</t>
        </is>
      </c>
      <c r="G354" t="inlineStr">
        <is>
          <t>Sonsonate</t>
        </is>
      </c>
      <c r="H354" t="inlineStr">
        <is>
          <t>Sonsonate</t>
        </is>
      </c>
      <c r="I354" t="inlineStr">
        <is>
          <t>Ernesto Chávez</t>
        </is>
      </c>
      <c r="J354" t="inlineStr">
        <is>
          <t>2451-2288</t>
        </is>
      </c>
      <c r="K354" t="inlineStr">
        <is>
          <t>Ricardo Funes</t>
        </is>
      </c>
      <c r="L354" t="inlineStr">
        <is>
          <t>Sandra Sorto López</t>
        </is>
      </c>
      <c r="M354" t="inlineStr">
        <is>
          <t>00961529-1</t>
        </is>
      </c>
      <c r="N354" t="inlineStr">
        <is>
          <t>2123-6077</t>
        </is>
      </c>
      <c r="O354" t="inlineStr">
        <is>
          <t>Consumidor final</t>
        </is>
      </c>
      <c r="P354" t="inlineStr">
        <is>
          <t>LAC-003</t>
        </is>
      </c>
      <c r="Q354" t="inlineStr">
        <is>
          <t>Leche entera 1L</t>
        </is>
      </c>
      <c r="R354" t="inlineStr">
        <is>
          <t>Lácteos</t>
        </is>
      </c>
      <c r="S354" t="inlineStr">
        <is>
          <t>Lácteos Chalate</t>
        </is>
      </c>
      <c r="T354" t="inlineStr">
        <is>
          <t>2335-1020</t>
        </is>
      </c>
      <c r="U354" t="n">
        <v>1.2</v>
      </c>
      <c r="V354" t="n">
        <v>12</v>
      </c>
      <c r="W354" t="n">
        <v>0</v>
      </c>
      <c r="X354">
        <f>IFERROR(U354*V354*(1-W354/100),"")</f>
        <v/>
      </c>
      <c r="Y354">
        <f>IFERROR(ROUND(X354*0.13,2),"")</f>
        <v/>
      </c>
      <c r="Z354">
        <f>IFERROR(X354+Y354,"")</f>
        <v/>
      </c>
      <c r="AA354" t="inlineStr">
        <is>
          <t>Efectivo</t>
        </is>
      </c>
      <c r="AB354" t="inlineStr">
        <is>
          <t>pagó con billete de $100</t>
        </is>
      </c>
    </row>
    <row r="355">
      <c r="A355" t="inlineStr">
        <is>
          <t>F-10736</t>
        </is>
      </c>
      <c r="B355" s="3" t="n">
        <v>46263</v>
      </c>
      <c r="C355" t="inlineStr">
        <is>
          <t>factura</t>
        </is>
      </c>
      <c r="D355" t="inlineStr">
        <is>
          <t>SS01</t>
        </is>
      </c>
      <c r="E355" t="inlineStr">
        <is>
          <t>San Salvador Centro</t>
        </is>
      </c>
      <c r="F355" t="inlineStr">
        <is>
          <t>4a Calle Poniente #215</t>
        </is>
      </c>
      <c r="G355" t="inlineStr">
        <is>
          <t>San Salvador</t>
        </is>
      </c>
      <c r="H355" t="inlineStr">
        <is>
          <t>San Salvador</t>
        </is>
      </c>
      <c r="I355" t="inlineStr">
        <is>
          <t>Roberto Alfaro</t>
        </is>
      </c>
      <c r="J355" t="inlineStr">
        <is>
          <t>2221-4580</t>
        </is>
      </c>
      <c r="K355" t="inlineStr">
        <is>
          <t>José Martínez</t>
        </is>
      </c>
      <c r="L355" t="inlineStr">
        <is>
          <t>Silvia Mejía Sorto</t>
        </is>
      </c>
      <c r="M355" t="inlineStr">
        <is>
          <t>08942439-6</t>
        </is>
      </c>
      <c r="N355" t="inlineStr">
        <is>
          <t>2492-5995</t>
        </is>
      </c>
      <c r="O355" t="inlineStr">
        <is>
          <t>Consumidor final</t>
        </is>
      </c>
      <c r="P355" t="inlineStr">
        <is>
          <t>CAF-001</t>
        </is>
      </c>
      <c r="Q355" t="inlineStr">
        <is>
          <t>Café molido 400g</t>
        </is>
      </c>
      <c r="R355" t="inlineStr">
        <is>
          <t>Abarrotes</t>
        </is>
      </c>
      <c r="S355" t="inlineStr">
        <is>
          <t>Café Volcán S.A.</t>
        </is>
      </c>
      <c r="T355" t="inlineStr">
        <is>
          <t>2510-3344</t>
        </is>
      </c>
      <c r="U355" t="n">
        <v>4.25</v>
      </c>
      <c r="V355" t="n">
        <v>2</v>
      </c>
      <c r="W355" t="n">
        <v>0</v>
      </c>
      <c r="X355">
        <f>IFERROR(U355*V355*(1-W355/100),"")</f>
        <v/>
      </c>
      <c r="Y355">
        <f>IFERROR(ROUND(X355*0.13,2),"")</f>
        <v/>
      </c>
      <c r="Z355">
        <f>IFERROR(X355+Y355,"")</f>
        <v/>
      </c>
      <c r="AA355" t="inlineStr">
        <is>
          <t>Tarjeta</t>
        </is>
      </c>
      <c r="AB355" t="inlineStr">
        <is>
          <t>pagó con billete de $100</t>
        </is>
      </c>
    </row>
    <row r="356">
      <c r="A356" t="inlineStr">
        <is>
          <t>F-10736</t>
        </is>
      </c>
      <c r="B356" s="3" t="n">
        <v>46263</v>
      </c>
      <c r="C356" t="inlineStr">
        <is>
          <t>factura</t>
        </is>
      </c>
      <c r="D356" t="inlineStr">
        <is>
          <t>SS01</t>
        </is>
      </c>
      <c r="E356" t="inlineStr">
        <is>
          <t xml:space="preserve">san salvador centro </t>
        </is>
      </c>
      <c r="F356" t="inlineStr">
        <is>
          <t>4a Calle Poniente #215</t>
        </is>
      </c>
      <c r="G356" t="inlineStr">
        <is>
          <t>San Salvador</t>
        </is>
      </c>
      <c r="H356" t="inlineStr">
        <is>
          <t>San Salvador</t>
        </is>
      </c>
      <c r="I356" t="inlineStr">
        <is>
          <t>Roberto Alfaro</t>
        </is>
      </c>
      <c r="J356" t="inlineStr">
        <is>
          <t>2221-4580</t>
        </is>
      </c>
      <c r="K356" t="inlineStr">
        <is>
          <t>José Martínez</t>
        </is>
      </c>
      <c r="L356" t="inlineStr">
        <is>
          <t>Silvia Mejía Sorto</t>
        </is>
      </c>
      <c r="M356" t="inlineStr">
        <is>
          <t>08942439-6</t>
        </is>
      </c>
      <c r="N356" t="inlineStr">
        <is>
          <t>2492-5995</t>
        </is>
      </c>
      <c r="O356" t="inlineStr">
        <is>
          <t>Consumidor final</t>
        </is>
      </c>
      <c r="P356" t="inlineStr">
        <is>
          <t>BEB-001</t>
        </is>
      </c>
      <c r="Q356" t="inlineStr">
        <is>
          <t>Gaseosa 2.5L</t>
        </is>
      </c>
      <c r="R356" t="inlineStr">
        <is>
          <t>bebidas</t>
        </is>
      </c>
      <c r="S356" t="inlineStr">
        <is>
          <t>Bebidas Izalco</t>
        </is>
      </c>
      <c r="T356" t="inlineStr">
        <is>
          <t>2450-7700</t>
        </is>
      </c>
      <c r="U356" t="inlineStr">
        <is>
          <t>$1.95</t>
        </is>
      </c>
      <c r="V356" t="n">
        <v>4</v>
      </c>
      <c r="W356" t="n">
        <v>0</v>
      </c>
      <c r="X356">
        <f>IFERROR(U356*V356*(1-W356/100),"")</f>
        <v/>
      </c>
      <c r="Y356">
        <f>IFERROR(ROUND(X356*0.13,2),"")</f>
        <v/>
      </c>
      <c r="Z356">
        <f>IFERROR(X356+Y356,"")</f>
        <v/>
      </c>
      <c r="AA356" t="inlineStr">
        <is>
          <t>Tarjeta</t>
        </is>
      </c>
      <c r="AB356" t="inlineStr">
        <is>
          <t>Cliente frecuente</t>
        </is>
      </c>
    </row>
    <row r="357">
      <c r="A357" t="inlineStr">
        <is>
          <t>F-10736</t>
        </is>
      </c>
      <c r="B357" t="inlineStr">
        <is>
          <t>29/08/2026</t>
        </is>
      </c>
      <c r="C357" t="inlineStr">
        <is>
          <t>factura</t>
        </is>
      </c>
      <c r="D357" t="inlineStr">
        <is>
          <t>SS01</t>
        </is>
      </c>
      <c r="E357" t="inlineStr">
        <is>
          <t xml:space="preserve">san salvador centro </t>
        </is>
      </c>
      <c r="F357" t="inlineStr">
        <is>
          <t>4a Calle Poniente #215</t>
        </is>
      </c>
      <c r="G357" t="inlineStr">
        <is>
          <t>San Salvador</t>
        </is>
      </c>
      <c r="H357" t="inlineStr">
        <is>
          <t>San Salvador</t>
        </is>
      </c>
      <c r="I357" t="inlineStr">
        <is>
          <t>Roberto Alfaro</t>
        </is>
      </c>
      <c r="J357" t="inlineStr">
        <is>
          <t>2221-4580</t>
        </is>
      </c>
      <c r="K357" t="inlineStr">
        <is>
          <t>José Martínez</t>
        </is>
      </c>
      <c r="L357" t="inlineStr">
        <is>
          <t>Silvia Mejía Sorto</t>
        </is>
      </c>
      <c r="M357" t="inlineStr">
        <is>
          <t>08942439-6</t>
        </is>
      </c>
      <c r="N357" t="inlineStr">
        <is>
          <t>2492-5995</t>
        </is>
      </c>
      <c r="O357" t="inlineStr">
        <is>
          <t>Consumidor final</t>
        </is>
      </c>
      <c r="P357" t="inlineStr">
        <is>
          <t>HIG-001</t>
        </is>
      </c>
      <c r="Q357" t="inlineStr">
        <is>
          <t>Detergente 1kg</t>
        </is>
      </c>
      <c r="R357" t="inlineStr">
        <is>
          <t>Higiene</t>
        </is>
      </c>
      <c r="S357" t="inlineStr">
        <is>
          <t>Higiene Total C.A.</t>
        </is>
      </c>
      <c r="T357" t="inlineStr">
        <is>
          <t>2207-5566</t>
        </is>
      </c>
      <c r="U357" t="n">
        <v>3.45</v>
      </c>
      <c r="V357" t="n">
        <v>12</v>
      </c>
      <c r="W357" t="n">
        <v>0</v>
      </c>
      <c r="X357">
        <f>IFERROR(U357*V357*(1-W357/100),"")</f>
        <v/>
      </c>
      <c r="Y357">
        <f>IFERROR(ROUND(X357*0.13,2),"")</f>
        <v/>
      </c>
      <c r="Z357">
        <f>IFERROR(X357+Y357,"")</f>
        <v/>
      </c>
      <c r="AA357" t="inlineStr">
        <is>
          <t>Tarjeta</t>
        </is>
      </c>
      <c r="AB357" t="inlineStr">
        <is>
          <t>pagó con billete de $100</t>
        </is>
      </c>
    </row>
    <row r="358">
      <c r="A358" t="inlineStr">
        <is>
          <t>F-10738</t>
        </is>
      </c>
      <c r="B358" s="3" t="n">
        <v>46262</v>
      </c>
      <c r="C358" t="inlineStr">
        <is>
          <t>Factura</t>
        </is>
      </c>
      <c r="D358" t="inlineStr">
        <is>
          <t>SS01</t>
        </is>
      </c>
      <c r="E358" t="inlineStr">
        <is>
          <t>S.S. Centro</t>
        </is>
      </c>
      <c r="F358" t="inlineStr">
        <is>
          <t>4a Calle Poniente #215</t>
        </is>
      </c>
      <c r="G358" t="inlineStr">
        <is>
          <t>San Salvador</t>
        </is>
      </c>
      <c r="H358" t="inlineStr">
        <is>
          <t>San Salvador</t>
        </is>
      </c>
      <c r="I358" t="inlineStr">
        <is>
          <t>Roberto Alfaro</t>
        </is>
      </c>
      <c r="J358" t="inlineStr">
        <is>
          <t>2221-4580</t>
        </is>
      </c>
      <c r="K358" t="inlineStr">
        <is>
          <t>Daniela Orellana</t>
        </is>
      </c>
      <c r="L358" t="inlineStr">
        <is>
          <t>José López Pérez</t>
        </is>
      </c>
      <c r="M358" t="inlineStr">
        <is>
          <t>07894436-0</t>
        </is>
      </c>
      <c r="N358" t="inlineStr">
        <is>
          <t>2795-9333</t>
        </is>
      </c>
      <c r="O358" t="inlineStr">
        <is>
          <t>Consumidor final</t>
        </is>
      </c>
      <c r="P358" t="inlineStr">
        <is>
          <t>LAC-002</t>
        </is>
      </c>
      <c r="Q358" t="inlineStr">
        <is>
          <t>Crema 500ml</t>
        </is>
      </c>
      <c r="R358" t="inlineStr">
        <is>
          <t>Lacteos</t>
        </is>
      </c>
      <c r="S358" t="inlineStr">
        <is>
          <t>Lácteos Chalate</t>
        </is>
      </c>
      <c r="T358" t="inlineStr">
        <is>
          <t>2335-1020</t>
        </is>
      </c>
      <c r="U358" t="n">
        <v>2.25</v>
      </c>
      <c r="V358" t="n">
        <v>12</v>
      </c>
      <c r="W358" t="n">
        <v>0</v>
      </c>
      <c r="X358">
        <f>IFERROR(U358*V358*(1-W358/100),"")</f>
        <v/>
      </c>
      <c r="Y358">
        <f>IFERROR(ROUND(X358*0.13,2),"")</f>
        <v/>
      </c>
      <c r="Z358">
        <f>IFERROR(X358+Y358,"")</f>
        <v/>
      </c>
      <c r="AA358" t="inlineStr">
        <is>
          <t>Tarjeta</t>
        </is>
      </c>
      <c r="AB358" t="inlineStr">
        <is>
          <t>precio especial autorizado por gerente</t>
        </is>
      </c>
    </row>
    <row r="359">
      <c r="A359" t="inlineStr">
        <is>
          <t>F-10738</t>
        </is>
      </c>
      <c r="B359" s="3" t="n">
        <v>46262</v>
      </c>
      <c r="C359" t="inlineStr">
        <is>
          <t>Factura</t>
        </is>
      </c>
      <c r="D359" t="inlineStr">
        <is>
          <t>SS01</t>
        </is>
      </c>
      <c r="E359" t="inlineStr">
        <is>
          <t>SAN SALVADOR CENTRO</t>
        </is>
      </c>
      <c r="F359" t="inlineStr">
        <is>
          <t>4a Calle Poniente #215</t>
        </is>
      </c>
      <c r="G359" t="inlineStr">
        <is>
          <t>San Salvador</t>
        </is>
      </c>
      <c r="H359" t="inlineStr">
        <is>
          <t>San Salvador</t>
        </is>
      </c>
      <c r="I359" t="inlineStr">
        <is>
          <t>Roberto Alfaro</t>
        </is>
      </c>
      <c r="J359" t="inlineStr">
        <is>
          <t>2221-4580</t>
        </is>
      </c>
      <c r="K359" t="inlineStr">
        <is>
          <t>Daniela Orellana</t>
        </is>
      </c>
      <c r="L359" t="inlineStr">
        <is>
          <t>José López Pérez</t>
        </is>
      </c>
      <c r="M359" t="inlineStr">
        <is>
          <t>07894436-0</t>
        </is>
      </c>
      <c r="N359" t="inlineStr">
        <is>
          <t>2795-9333</t>
        </is>
      </c>
      <c r="O359" t="inlineStr">
        <is>
          <t>Consumidor final</t>
        </is>
      </c>
      <c r="P359" t="inlineStr">
        <is>
          <t>LAC-001</t>
        </is>
      </c>
      <c r="Q359" t="inlineStr">
        <is>
          <t>Quesillo 1lb</t>
        </is>
      </c>
      <c r="R359" t="inlineStr">
        <is>
          <t>Lácteos</t>
        </is>
      </c>
      <c r="S359" t="inlineStr">
        <is>
          <t>Lácteos Chalate</t>
        </is>
      </c>
      <c r="T359" t="inlineStr">
        <is>
          <t>2335-1020</t>
        </is>
      </c>
      <c r="U359" t="inlineStr">
        <is>
          <t>3,80</t>
        </is>
      </c>
      <c r="V359" t="n">
        <v>1</v>
      </c>
      <c r="W359" t="n">
        <v>0</v>
      </c>
      <c r="X359">
        <f>IFERROR(U359*V359*(1-W359/100),"")</f>
        <v/>
      </c>
      <c r="Y359">
        <f>IFERROR(ROUND(X359*0.13,2),"")</f>
        <v/>
      </c>
      <c r="Z359">
        <f>IFERROR(X359+Y359,"")</f>
        <v/>
      </c>
      <c r="AA359" t="inlineStr">
        <is>
          <t>Tarjeta</t>
        </is>
      </c>
      <c r="AB359" t="inlineStr">
        <is>
          <t>entregar en bodega</t>
        </is>
      </c>
    </row>
    <row r="360">
      <c r="A360" t="inlineStr">
        <is>
          <t>F-10741</t>
        </is>
      </c>
      <c r="B360" s="3" t="n">
        <v>46263</v>
      </c>
      <c r="C360" t="inlineStr">
        <is>
          <t>factura</t>
        </is>
      </c>
      <c r="D360" t="inlineStr">
        <is>
          <t>LL02</t>
        </is>
      </c>
      <c r="E360" t="inlineStr">
        <is>
          <t>La Libertad Puerto</t>
        </is>
      </c>
      <c r="F360" t="inlineStr">
        <is>
          <t>Calle El Malecón, Local 4</t>
        </is>
      </c>
      <c r="G360" t="inlineStr">
        <is>
          <t>La Libertad</t>
        </is>
      </c>
      <c r="H360" t="inlineStr">
        <is>
          <t>La Libertad</t>
        </is>
      </c>
      <c r="I360" t="inlineStr">
        <is>
          <t>Wendy Aguilar</t>
        </is>
      </c>
      <c r="J360" t="inlineStr">
        <is>
          <t>2335-6140</t>
        </is>
      </c>
      <c r="K360" t="inlineStr">
        <is>
          <t>Gabriela Saravia</t>
        </is>
      </c>
      <c r="L360" t="inlineStr">
        <is>
          <t>Mario Martínez Sorto</t>
        </is>
      </c>
      <c r="M360" t="inlineStr">
        <is>
          <t>02686393-2</t>
        </is>
      </c>
      <c r="N360" t="inlineStr">
        <is>
          <t>7413-9318</t>
        </is>
      </c>
      <c r="O360" t="inlineStr">
        <is>
          <t>Consumidor final</t>
        </is>
      </c>
      <c r="P360" t="inlineStr">
        <is>
          <t>HIG-001</t>
        </is>
      </c>
      <c r="Q360" t="inlineStr">
        <is>
          <t>Detergente 1kg</t>
        </is>
      </c>
      <c r="R360" t="inlineStr">
        <is>
          <t>Higiene</t>
        </is>
      </c>
      <c r="S360" t="inlineStr">
        <is>
          <t>Higiene Total C.A.</t>
        </is>
      </c>
      <c r="T360" t="inlineStr">
        <is>
          <t>2207-5566</t>
        </is>
      </c>
      <c r="U360" t="n">
        <v>3.45</v>
      </c>
      <c r="V360" t="n">
        <v>3</v>
      </c>
      <c r="W360" t="n">
        <v>0</v>
      </c>
      <c r="X360">
        <f>IFERROR(U360*V360*(1-W360/100),"")</f>
        <v/>
      </c>
      <c r="Y360">
        <f>IFERROR(ROUND(X360*0.13,2),"")</f>
        <v/>
      </c>
      <c r="Z360">
        <f>IFERROR(X360+Y360,"")</f>
        <v/>
      </c>
      <c r="AA360" t="inlineStr">
        <is>
          <t>Tarjeta</t>
        </is>
      </c>
      <c r="AB360" t="inlineStr"/>
    </row>
    <row r="361">
      <c r="A361" t="inlineStr">
        <is>
          <t>F-10743</t>
        </is>
      </c>
      <c r="B361" s="3" t="n">
        <v>46236</v>
      </c>
      <c r="C361" t="inlineStr">
        <is>
          <t>Factura</t>
        </is>
      </c>
      <c r="D361" t="inlineStr">
        <is>
          <t>SS02</t>
        </is>
      </c>
      <c r="E361" t="inlineStr">
        <is>
          <t>ESCALON</t>
        </is>
      </c>
      <c r="F361" t="inlineStr">
        <is>
          <t>Paseo General Escalón #3910</t>
        </is>
      </c>
      <c r="G361" t="inlineStr">
        <is>
          <t>San Salvador</t>
        </is>
      </c>
      <c r="H361" t="inlineStr">
        <is>
          <t>San Salvador</t>
        </is>
      </c>
      <c r="I361" t="inlineStr">
        <is>
          <t>Claudia Menjívar</t>
        </is>
      </c>
      <c r="J361" t="inlineStr">
        <is>
          <t>2264-1190</t>
        </is>
      </c>
      <c r="K361" t="inlineStr">
        <is>
          <t>Fátima Rosales</t>
        </is>
      </c>
      <c r="L361" t="inlineStr">
        <is>
          <t>Sandra Sorto López</t>
        </is>
      </c>
      <c r="M361" t="inlineStr">
        <is>
          <t>00961529-1</t>
        </is>
      </c>
      <c r="N361" t="inlineStr">
        <is>
          <t>2123-6077</t>
        </is>
      </c>
      <c r="O361" t="inlineStr">
        <is>
          <t>Consumidor final</t>
        </is>
      </c>
      <c r="P361" t="inlineStr">
        <is>
          <t>BEB-002</t>
        </is>
      </c>
      <c r="Q361" t="inlineStr">
        <is>
          <t>Agua purificada 1 galón</t>
        </is>
      </c>
      <c r="R361" t="inlineStr">
        <is>
          <t>Bebidas</t>
        </is>
      </c>
      <c r="S361" t="inlineStr">
        <is>
          <t>Bebidas Izalco</t>
        </is>
      </c>
      <c r="T361" t="inlineStr">
        <is>
          <t>2450-7700</t>
        </is>
      </c>
      <c r="U361" t="inlineStr">
        <is>
          <t>1,10</t>
        </is>
      </c>
      <c r="V361" t="n">
        <v>1</v>
      </c>
      <c r="W361" t="n">
        <v>0</v>
      </c>
      <c r="X361">
        <f>IFERROR(U361*V361*(1-W361/100),"")</f>
        <v/>
      </c>
      <c r="Y361">
        <f>IFERROR(ROUND(X361*0.13,2),"")</f>
        <v/>
      </c>
      <c r="Z361">
        <f>IFERROR(X361+Y361,"")</f>
        <v/>
      </c>
      <c r="AA361" t="inlineStr">
        <is>
          <t>Tarjeta</t>
        </is>
      </c>
      <c r="AB361" t="inlineStr"/>
    </row>
    <row r="362">
      <c r="A362" t="inlineStr">
        <is>
          <t>F-10745</t>
        </is>
      </c>
      <c r="B362" s="3" t="n">
        <v>46273</v>
      </c>
      <c r="C362" t="inlineStr">
        <is>
          <t>factura</t>
        </is>
      </c>
      <c r="D362" t="inlineStr">
        <is>
          <t>SS02</t>
        </is>
      </c>
      <c r="E362" t="inlineStr">
        <is>
          <t>Escalon</t>
        </is>
      </c>
      <c r="F362" t="inlineStr">
        <is>
          <t>Paseo General Escalón #3910</t>
        </is>
      </c>
      <c r="G362" t="inlineStr">
        <is>
          <t>San Salvador</t>
        </is>
      </c>
      <c r="H362" t="inlineStr">
        <is>
          <t>San Salvador</t>
        </is>
      </c>
      <c r="I362" t="inlineStr">
        <is>
          <t>Claudia Menjívar</t>
        </is>
      </c>
      <c r="J362" t="inlineStr">
        <is>
          <t>2264-1190</t>
        </is>
      </c>
      <c r="K362" t="inlineStr">
        <is>
          <t>Kevin Benítez</t>
        </is>
      </c>
      <c r="L362" t="inlineStr">
        <is>
          <t>Edwin Alvarado García</t>
        </is>
      </c>
      <c r="M362" t="inlineStr">
        <is>
          <t>03264621-6</t>
        </is>
      </c>
      <c r="N362" t="inlineStr">
        <is>
          <t>2560-1229</t>
        </is>
      </c>
      <c r="O362" t="inlineStr">
        <is>
          <t>Consumidor final</t>
        </is>
      </c>
      <c r="P362" t="inlineStr">
        <is>
          <t>PAN-001</t>
        </is>
      </c>
      <c r="Q362" t="inlineStr">
        <is>
          <t>Pan francés bolsa 10u</t>
        </is>
      </c>
      <c r="R362" t="inlineStr">
        <is>
          <t>Panaderia</t>
        </is>
      </c>
      <c r="S362" t="inlineStr">
        <is>
          <t>Panificadora Ilopango</t>
        </is>
      </c>
      <c r="T362" t="inlineStr">
        <is>
          <t>2295-0081</t>
        </is>
      </c>
      <c r="U362" t="n">
        <v>1</v>
      </c>
      <c r="V362" t="n">
        <v>1</v>
      </c>
      <c r="W362" t="n">
        <v>0</v>
      </c>
      <c r="X362">
        <f>IFERROR(U362*V362*(1-W362/100),"")</f>
        <v/>
      </c>
      <c r="Y362">
        <f>IFERROR(ROUND(X362*0.13,2),"")</f>
        <v/>
      </c>
      <c r="Z362">
        <f>IFERROR(X362+Y362,"")</f>
        <v/>
      </c>
      <c r="AA362" t="inlineStr">
        <is>
          <t>Chivo</t>
        </is>
      </c>
      <c r="AB362" t="inlineStr"/>
    </row>
    <row r="363">
      <c r="A363" t="inlineStr">
        <is>
          <t>F-10745</t>
        </is>
      </c>
      <c r="B363" s="4" t="n">
        <v>46273</v>
      </c>
      <c r="C363" t="inlineStr">
        <is>
          <t>factura</t>
        </is>
      </c>
      <c r="D363" t="inlineStr">
        <is>
          <t>SS02</t>
        </is>
      </c>
      <c r="E363" t="inlineStr">
        <is>
          <t>Escalon</t>
        </is>
      </c>
      <c r="F363" t="inlineStr">
        <is>
          <t>Paseo General Escalón #3910</t>
        </is>
      </c>
      <c r="G363" t="inlineStr">
        <is>
          <t>San Salvador</t>
        </is>
      </c>
      <c r="H363" t="inlineStr">
        <is>
          <t>San Salvador</t>
        </is>
      </c>
      <c r="I363" t="inlineStr">
        <is>
          <t>Claudia Menjívar</t>
        </is>
      </c>
      <c r="J363" t="inlineStr">
        <is>
          <t>2264-1190</t>
        </is>
      </c>
      <c r="K363" t="inlineStr">
        <is>
          <t>Kevin Benítez</t>
        </is>
      </c>
      <c r="L363" t="inlineStr">
        <is>
          <t>Edwin Alvarado García</t>
        </is>
      </c>
      <c r="M363" t="inlineStr">
        <is>
          <t>03264621-6</t>
        </is>
      </c>
      <c r="N363" t="inlineStr">
        <is>
          <t>2560-1229</t>
        </is>
      </c>
      <c r="O363" t="inlineStr">
        <is>
          <t>Consumidor final</t>
        </is>
      </c>
      <c r="P363" t="inlineStr">
        <is>
          <t>PAN-001</t>
        </is>
      </c>
      <c r="Q363" t="inlineStr">
        <is>
          <t>Pan francés bolsa 10u</t>
        </is>
      </c>
      <c r="R363" t="inlineStr">
        <is>
          <t>Panaderia</t>
        </is>
      </c>
      <c r="S363" t="inlineStr">
        <is>
          <t>Panificadora Ilopango</t>
        </is>
      </c>
      <c r="T363" t="inlineStr">
        <is>
          <t>2295-0081</t>
        </is>
      </c>
      <c r="U363" t="n">
        <v>1</v>
      </c>
      <c r="V363" t="n">
        <v>1</v>
      </c>
      <c r="W363" t="n">
        <v>0</v>
      </c>
      <c r="X363">
        <f>IFERROR(U363*V363*(1-W363/100),"")</f>
        <v/>
      </c>
      <c r="Y363">
        <f>IFERROR(ROUND(X363*0.13,2),"")</f>
        <v/>
      </c>
      <c r="Z363">
        <f>IFERROR(X363+Y363,"")</f>
        <v/>
      </c>
      <c r="AA363" t="inlineStr">
        <is>
          <t>Chivo</t>
        </is>
      </c>
      <c r="AB363" t="inlineStr"/>
    </row>
    <row r="364">
      <c r="A364" t="inlineStr">
        <is>
          <t>F-10747</t>
        </is>
      </c>
      <c r="B364" s="3" t="n">
        <v>46253</v>
      </c>
      <c r="C364" t="inlineStr">
        <is>
          <t>Factura</t>
        </is>
      </c>
      <c r="D364" t="inlineStr">
        <is>
          <t>SS03</t>
        </is>
      </c>
      <c r="E364" t="inlineStr">
        <is>
          <t>soyapango</t>
        </is>
      </c>
      <c r="F364" t="inlineStr">
        <is>
          <t>Blvd. del Ejército km 4</t>
        </is>
      </c>
      <c r="G364" t="inlineStr">
        <is>
          <t>Soyapango</t>
        </is>
      </c>
      <c r="H364" t="inlineStr">
        <is>
          <t>San Salvador</t>
        </is>
      </c>
      <c r="I364" t="inlineStr">
        <is>
          <t>Karla Henríquez</t>
        </is>
      </c>
      <c r="J364" t="inlineStr">
        <is>
          <t>2277-3402</t>
        </is>
      </c>
      <c r="K364" t="inlineStr">
        <is>
          <t>Carlos Molina</t>
        </is>
      </c>
      <c r="L364" t="inlineStr">
        <is>
          <t>Rosa Flores Cornejo</t>
        </is>
      </c>
      <c r="M364" t="inlineStr">
        <is>
          <t>00476760-8</t>
        </is>
      </c>
      <c r="N364" t="inlineStr">
        <is>
          <t>7668-7502</t>
        </is>
      </c>
      <c r="O364" t="inlineStr">
        <is>
          <t>Consumidor final</t>
        </is>
      </c>
      <c r="P364" t="inlineStr">
        <is>
          <t>PAN-003</t>
        </is>
      </c>
      <c r="Q364" t="inlineStr">
        <is>
          <t>Quesadilla salvadoreña</t>
        </is>
      </c>
      <c r="R364" t="inlineStr">
        <is>
          <t>PANADERIA</t>
        </is>
      </c>
      <c r="S364" t="inlineStr">
        <is>
          <t>Panificadora Ilopango</t>
        </is>
      </c>
      <c r="T364" t="inlineStr">
        <is>
          <t>2295-0081</t>
        </is>
      </c>
      <c r="U364" t="n">
        <v>2.5</v>
      </c>
      <c r="V364" t="n">
        <v>4</v>
      </c>
      <c r="W364" t="n">
        <v>0</v>
      </c>
      <c r="X364">
        <f>IFERROR(U364*V364*(1-W364/100),"")</f>
        <v/>
      </c>
      <c r="Y364">
        <f>IFERROR(ROUND(X364*0.13,2),"")</f>
        <v/>
      </c>
      <c r="Z364">
        <f>IFERROR(X364+Y364,"")</f>
        <v/>
      </c>
      <c r="AA364" t="inlineStr">
        <is>
          <t>Efectivo</t>
        </is>
      </c>
      <c r="AB364" t="inlineStr">
        <is>
          <t>entregar en bodega</t>
        </is>
      </c>
    </row>
    <row r="365">
      <c r="A365" t="inlineStr">
        <is>
          <t>F-10747</t>
        </is>
      </c>
      <c r="B365" s="3" t="n">
        <v>46253</v>
      </c>
      <c r="C365" t="inlineStr">
        <is>
          <t>Factura</t>
        </is>
      </c>
      <c r="D365" t="inlineStr">
        <is>
          <t>SS03</t>
        </is>
      </c>
      <c r="E365" t="inlineStr">
        <is>
          <t>soyapango</t>
        </is>
      </c>
      <c r="F365" t="inlineStr">
        <is>
          <t>Blvd. del Ejército km 4</t>
        </is>
      </c>
      <c r="G365" t="inlineStr">
        <is>
          <t>Soyapango</t>
        </is>
      </c>
      <c r="H365" t="inlineStr">
        <is>
          <t>San Salvador</t>
        </is>
      </c>
      <c r="I365" t="inlineStr">
        <is>
          <t>Karla Henríquez</t>
        </is>
      </c>
      <c r="J365" t="inlineStr">
        <is>
          <t>2277-3402</t>
        </is>
      </c>
      <c r="K365" t="inlineStr">
        <is>
          <t>Carlos Molina</t>
        </is>
      </c>
      <c r="L365" t="inlineStr">
        <is>
          <t>Rosa Flores Cornejo</t>
        </is>
      </c>
      <c r="M365" t="inlineStr">
        <is>
          <t>00476760-8</t>
        </is>
      </c>
      <c r="N365" t="inlineStr">
        <is>
          <t>7668-7502</t>
        </is>
      </c>
      <c r="O365" t="inlineStr">
        <is>
          <t>Consumidor final</t>
        </is>
      </c>
      <c r="P365" t="inlineStr">
        <is>
          <t>CAF-002</t>
        </is>
      </c>
      <c r="Q365" t="inlineStr">
        <is>
          <t>Café en grano 1lb</t>
        </is>
      </c>
      <c r="R365" t="inlineStr">
        <is>
          <t>Abarrotes</t>
        </is>
      </c>
      <c r="S365" t="inlineStr">
        <is>
          <t>Café Volcán S.A.</t>
        </is>
      </c>
      <c r="T365" t="inlineStr">
        <is>
          <t>2510-3344</t>
        </is>
      </c>
      <c r="U365" t="n">
        <v>6.75</v>
      </c>
      <c r="V365" t="n">
        <v>6</v>
      </c>
      <c r="W365" t="n">
        <v>0</v>
      </c>
      <c r="X365">
        <f>IFERROR(U365*V365*(1-W365/100),"")</f>
        <v/>
      </c>
      <c r="Y365">
        <f>IFERROR(ROUND(X365*0.13,2),"")</f>
        <v/>
      </c>
      <c r="Z365">
        <f>IFERROR(X365+Y365,"")</f>
        <v/>
      </c>
      <c r="AA365" t="inlineStr">
        <is>
          <t>Efectivo</t>
        </is>
      </c>
      <c r="AB365" t="inlineStr"/>
    </row>
    <row r="366">
      <c r="A366" t="inlineStr">
        <is>
          <t>F-10747</t>
        </is>
      </c>
      <c r="B366" s="3" t="n">
        <v>46253</v>
      </c>
      <c r="C366" t="inlineStr">
        <is>
          <t>Factura</t>
        </is>
      </c>
      <c r="D366" t="inlineStr">
        <is>
          <t>SS03</t>
        </is>
      </c>
      <c r="E366" t="inlineStr">
        <is>
          <t>Soyapango</t>
        </is>
      </c>
      <c r="F366" t="inlineStr">
        <is>
          <t>Blvd. del Ejército km 4</t>
        </is>
      </c>
      <c r="G366" t="inlineStr">
        <is>
          <t>Soyapango</t>
        </is>
      </c>
      <c r="H366" t="inlineStr">
        <is>
          <t>San Salvador</t>
        </is>
      </c>
      <c r="I366" t="inlineStr">
        <is>
          <t>Karla Henríquez</t>
        </is>
      </c>
      <c r="J366" t="inlineStr">
        <is>
          <t>2277-3402</t>
        </is>
      </c>
      <c r="K366" t="inlineStr">
        <is>
          <t>Carlos Molina</t>
        </is>
      </c>
      <c r="L366" t="inlineStr">
        <is>
          <t>Rosa Flores Cornejo</t>
        </is>
      </c>
      <c r="M366" t="inlineStr">
        <is>
          <t>00476760-8</t>
        </is>
      </c>
      <c r="N366" t="inlineStr">
        <is>
          <t>7668-7502</t>
        </is>
      </c>
      <c r="O366" t="inlineStr">
        <is>
          <t>Consumidor final</t>
        </is>
      </c>
      <c r="P366" t="inlineStr">
        <is>
          <t>PAN-001</t>
        </is>
      </c>
      <c r="Q366" t="inlineStr">
        <is>
          <t>Pan francés bolsa 10u</t>
        </is>
      </c>
      <c r="R366" t="inlineStr">
        <is>
          <t>Panaderia</t>
        </is>
      </c>
      <c r="S366" t="inlineStr">
        <is>
          <t>Panificadora Ilopango</t>
        </is>
      </c>
      <c r="T366" t="inlineStr">
        <is>
          <t>2295-0081</t>
        </is>
      </c>
      <c r="U366" t="n">
        <v>1</v>
      </c>
      <c r="V366" t="n">
        <v>24</v>
      </c>
      <c r="W366" t="n">
        <v>0</v>
      </c>
      <c r="X366">
        <f>IFERROR(U366*V366*(1-W366/100),"")</f>
        <v/>
      </c>
      <c r="Y366">
        <f>IFERROR(ROUND(X366*0.13,2),"")</f>
        <v/>
      </c>
      <c r="Z366">
        <f>IFERROR(X366+Y366,"")</f>
        <v/>
      </c>
      <c r="AA366" t="inlineStr">
        <is>
          <t>Efectivo</t>
        </is>
      </c>
      <c r="AB366" t="inlineStr"/>
    </row>
    <row r="367">
      <c r="A367" t="inlineStr">
        <is>
          <t>F-10750</t>
        </is>
      </c>
      <c r="B367" t="inlineStr">
        <is>
          <t>06/09/2026</t>
        </is>
      </c>
      <c r="C367" t="inlineStr">
        <is>
          <t>FCF</t>
        </is>
      </c>
      <c r="D367" t="inlineStr">
        <is>
          <t>SS01</t>
        </is>
      </c>
      <c r="E367" t="inlineStr">
        <is>
          <t xml:space="preserve">san salvador centro </t>
        </is>
      </c>
      <c r="F367" t="inlineStr">
        <is>
          <t>4a Calle Poniente #215</t>
        </is>
      </c>
      <c r="G367" t="inlineStr">
        <is>
          <t>San Salvador</t>
        </is>
      </c>
      <c r="H367" t="inlineStr">
        <is>
          <t>San Salvador</t>
        </is>
      </c>
      <c r="I367" t="inlineStr">
        <is>
          <t>Roberto Alfaro</t>
        </is>
      </c>
      <c r="J367" t="inlineStr">
        <is>
          <t>2221-4580</t>
        </is>
      </c>
      <c r="K367" t="inlineStr">
        <is>
          <t>Daniela Orellana</t>
        </is>
      </c>
      <c r="L367" t="inlineStr">
        <is>
          <t>Mario Lemus Flores</t>
        </is>
      </c>
      <c r="M367" t="inlineStr">
        <is>
          <t>05465836-8</t>
        </is>
      </c>
      <c r="N367" t="inlineStr">
        <is>
          <t>6555-2967</t>
        </is>
      </c>
      <c r="O367" t="inlineStr">
        <is>
          <t>Consumidor final</t>
        </is>
      </c>
      <c r="P367" t="inlineStr">
        <is>
          <t>CAF-002</t>
        </is>
      </c>
      <c r="Q367" t="inlineStr">
        <is>
          <t>Café en grano 1lb</t>
        </is>
      </c>
      <c r="R367" t="inlineStr">
        <is>
          <t>Abarrotes</t>
        </is>
      </c>
      <c r="S367" t="inlineStr">
        <is>
          <t>Café Volcán S.A.</t>
        </is>
      </c>
      <c r="T367" t="inlineStr">
        <is>
          <t>2510-3344</t>
        </is>
      </c>
      <c r="U367" t="n">
        <v>6.75</v>
      </c>
      <c r="V367" t="n">
        <v>1</v>
      </c>
      <c r="W367" t="n">
        <v>0</v>
      </c>
      <c r="X367">
        <f>IFERROR(U367*V367*(1-W367/100),"")</f>
        <v/>
      </c>
      <c r="Y367">
        <f>IFERROR(ROUND(X367*0.13,2),"")</f>
        <v/>
      </c>
      <c r="Z367">
        <f>IFERROR(X367+Y367,"")</f>
        <v/>
      </c>
      <c r="AA367" t="inlineStr">
        <is>
          <t>Efectivo</t>
        </is>
      </c>
      <c r="AB367" t="inlineStr"/>
    </row>
    <row r="368">
      <c r="A368" t="inlineStr">
        <is>
          <t>F-10750</t>
        </is>
      </c>
      <c r="B368" t="inlineStr">
        <is>
          <t>06/09/2026</t>
        </is>
      </c>
      <c r="C368" t="inlineStr">
        <is>
          <t>FCF</t>
        </is>
      </c>
      <c r="D368" t="inlineStr">
        <is>
          <t>SS01</t>
        </is>
      </c>
      <c r="E368" t="inlineStr">
        <is>
          <t>San Salvador Centro</t>
        </is>
      </c>
      <c r="F368" t="inlineStr">
        <is>
          <t>4a Calle Poniente #215</t>
        </is>
      </c>
      <c r="G368" t="inlineStr">
        <is>
          <t>San Salvador</t>
        </is>
      </c>
      <c r="H368" t="inlineStr">
        <is>
          <t>San Salvador</t>
        </is>
      </c>
      <c r="I368" t="inlineStr">
        <is>
          <t>Roberto Alfaro</t>
        </is>
      </c>
      <c r="J368" t="inlineStr">
        <is>
          <t>2221-4580</t>
        </is>
      </c>
      <c r="K368" t="inlineStr">
        <is>
          <t>Daniela Orellana</t>
        </is>
      </c>
      <c r="L368" t="inlineStr">
        <is>
          <t>Mario Lemus Flores</t>
        </is>
      </c>
      <c r="M368" t="inlineStr">
        <is>
          <t>05465836-8</t>
        </is>
      </c>
      <c r="N368" t="inlineStr">
        <is>
          <t>6555-2967</t>
        </is>
      </c>
      <c r="O368" t="inlineStr">
        <is>
          <t>Consumidor final</t>
        </is>
      </c>
      <c r="P368" t="inlineStr">
        <is>
          <t>HIG-003</t>
        </is>
      </c>
      <c r="Q368" t="inlineStr">
        <is>
          <t>Jabón de lavar barra</t>
        </is>
      </c>
      <c r="R368" t="inlineStr">
        <is>
          <t>Limpieza</t>
        </is>
      </c>
      <c r="S368" t="inlineStr">
        <is>
          <t>Higiene Total C.A.</t>
        </is>
      </c>
      <c r="T368" t="inlineStr">
        <is>
          <t>2207-5566</t>
        </is>
      </c>
      <c r="U368" t="n">
        <v>0.75</v>
      </c>
      <c r="V368" t="n">
        <v>1</v>
      </c>
      <c r="W368" t="n">
        <v>0</v>
      </c>
      <c r="X368">
        <f>IFERROR(U368*V368*(1-W368/100),"")</f>
        <v/>
      </c>
      <c r="Y368">
        <f>IFERROR(ROUND(X368*0.13,2),"")</f>
        <v/>
      </c>
      <c r="Z368">
        <f>IFERROR(X368+Y368,"")</f>
        <v/>
      </c>
      <c r="AA368" t="inlineStr">
        <is>
          <t>Efectivo</t>
        </is>
      </c>
      <c r="AB368" t="inlineStr"/>
    </row>
    <row r="369">
      <c r="A369" t="inlineStr">
        <is>
          <t>F-10752</t>
        </is>
      </c>
      <c r="B369" s="3" t="n">
        <v>46277</v>
      </c>
      <c r="C369" t="inlineStr">
        <is>
          <t>CCF</t>
        </is>
      </c>
      <c r="D369" t="inlineStr">
        <is>
          <t>SS02</t>
        </is>
      </c>
      <c r="E369" t="inlineStr">
        <is>
          <t>Escalon</t>
        </is>
      </c>
      <c r="F369" t="inlineStr">
        <is>
          <t>Paseo General Escalón #3910</t>
        </is>
      </c>
      <c r="G369" t="inlineStr">
        <is>
          <t>San Salvador</t>
        </is>
      </c>
      <c r="H369" t="inlineStr">
        <is>
          <t>San Salvador</t>
        </is>
      </c>
      <c r="I369" t="inlineStr">
        <is>
          <t>Claudia Menjívar</t>
        </is>
      </c>
      <c r="J369" t="inlineStr">
        <is>
          <t>2264-1190</t>
        </is>
      </c>
      <c r="K369" t="inlineStr">
        <is>
          <t>Fátima Rosales</t>
        </is>
      </c>
      <c r="L369" t="inlineStr">
        <is>
          <t>Minisúper San José</t>
        </is>
      </c>
      <c r="M369" t="inlineStr">
        <is>
          <t>99593-8</t>
        </is>
      </c>
      <c r="N369" t="inlineStr">
        <is>
          <t>6931-9804</t>
        </is>
      </c>
      <c r="O369" t="inlineStr">
        <is>
          <t>Contribuyente</t>
        </is>
      </c>
      <c r="P369" t="inlineStr">
        <is>
          <t>PAN-002</t>
        </is>
      </c>
      <c r="Q369" t="inlineStr">
        <is>
          <t>Semita alta</t>
        </is>
      </c>
      <c r="R369" t="inlineStr">
        <is>
          <t>Panadería</t>
        </is>
      </c>
      <c r="S369" t="inlineStr">
        <is>
          <t>Panificadora Ilopango</t>
        </is>
      </c>
      <c r="T369" t="inlineStr">
        <is>
          <t>2295-0081</t>
        </is>
      </c>
      <c r="U369" t="inlineStr">
        <is>
          <t>$1.75</t>
        </is>
      </c>
      <c r="V369" t="n">
        <v>6</v>
      </c>
      <c r="W369" t="n">
        <v>0</v>
      </c>
      <c r="X369">
        <f>IFERROR(U369*V369*(1-W369/100),"")</f>
        <v/>
      </c>
      <c r="Y369">
        <f>IFERROR(ROUND(X369*0.13,2),"")</f>
        <v/>
      </c>
      <c r="Z369">
        <f>IFERROR(X369+Y369,"")</f>
        <v/>
      </c>
      <c r="AA369" t="inlineStr">
        <is>
          <t>Efectivo</t>
        </is>
      </c>
      <c r="AB369" t="inlineStr"/>
    </row>
    <row r="370">
      <c r="A370" t="inlineStr">
        <is>
          <t>F-10755</t>
        </is>
      </c>
      <c r="B370" t="inlineStr">
        <is>
          <t>02-Sep-26</t>
        </is>
      </c>
      <c r="C370" t="inlineStr">
        <is>
          <t>Factura</t>
        </is>
      </c>
      <c r="D370" t="inlineStr">
        <is>
          <t>LL01</t>
        </is>
      </c>
      <c r="E370" t="inlineStr">
        <is>
          <t>Sta. Tecla</t>
        </is>
      </c>
      <c r="F370" t="inlineStr">
        <is>
          <t>Calle Daniel Hernández #18</t>
        </is>
      </c>
      <c r="G370" t="inlineStr">
        <is>
          <t>Santa Tecla</t>
        </is>
      </c>
      <c r="H370" t="inlineStr">
        <is>
          <t>La Libertad</t>
        </is>
      </c>
      <c r="I370" t="inlineStr">
        <is>
          <t>Óscar Rivas</t>
        </is>
      </c>
      <c r="J370" t="inlineStr">
        <is>
          <t>2228-7731</t>
        </is>
      </c>
      <c r="K370" t="inlineStr">
        <is>
          <t>Andrea Pineda</t>
        </is>
      </c>
      <c r="L370" t="inlineStr">
        <is>
          <t>Carlos Romero García</t>
        </is>
      </c>
      <c r="M370" t="inlineStr">
        <is>
          <t>07543956-0</t>
        </is>
      </c>
      <c r="N370" t="inlineStr">
        <is>
          <t>7602-6148</t>
        </is>
      </c>
      <c r="O370" t="inlineStr">
        <is>
          <t>Consumidor final</t>
        </is>
      </c>
      <c r="P370" t="inlineStr">
        <is>
          <t>HAR-001</t>
        </is>
      </c>
      <c r="Q370" t="inlineStr">
        <is>
          <t>Harina de maíz 2lb</t>
        </is>
      </c>
      <c r="R370" t="inlineStr">
        <is>
          <t>Abarrotes</t>
        </is>
      </c>
      <c r="S370" t="inlineStr">
        <is>
          <t>Granos del Pacífico</t>
        </is>
      </c>
      <c r="T370" t="inlineStr">
        <is>
          <t>2234-8890</t>
        </is>
      </c>
      <c r="U370" t="n">
        <v>1.35</v>
      </c>
      <c r="V370" t="n">
        <v>2</v>
      </c>
      <c r="W370" t="n">
        <v>0</v>
      </c>
      <c r="X370">
        <f>IFERROR(U370*V370*(1-W370/100),"")</f>
        <v/>
      </c>
      <c r="Y370">
        <f>IFERROR(ROUND(X370*0.13,2),"")</f>
        <v/>
      </c>
      <c r="Z370">
        <f>IFERROR(X370+Y370,"")</f>
        <v/>
      </c>
      <c r="AA370" t="inlineStr">
        <is>
          <t>Transferencia</t>
        </is>
      </c>
      <c r="AB370" t="inlineStr"/>
    </row>
    <row r="371">
      <c r="A371" t="inlineStr">
        <is>
          <t>F-10755</t>
        </is>
      </c>
      <c r="B371" s="3" t="n">
        <v>46267</v>
      </c>
      <c r="C371" t="inlineStr">
        <is>
          <t>Factura</t>
        </is>
      </c>
      <c r="D371" t="inlineStr">
        <is>
          <t>LL01</t>
        </is>
      </c>
      <c r="E371" t="inlineStr">
        <is>
          <t>Santa Tecla</t>
        </is>
      </c>
      <c r="F371" t="inlineStr">
        <is>
          <t>Calle Daniel Hernández #18</t>
        </is>
      </c>
      <c r="G371" t="inlineStr">
        <is>
          <t>Santa Tecla</t>
        </is>
      </c>
      <c r="H371" t="inlineStr">
        <is>
          <t>La Libertad</t>
        </is>
      </c>
      <c r="I371" t="inlineStr">
        <is>
          <t>Óscar Rivas</t>
        </is>
      </c>
      <c r="J371" t="inlineStr">
        <is>
          <t>2228-7731</t>
        </is>
      </c>
      <c r="K371" t="inlineStr">
        <is>
          <t>Andrea Pineda</t>
        </is>
      </c>
      <c r="L371" t="inlineStr">
        <is>
          <t>Carlos Romero García</t>
        </is>
      </c>
      <c r="M371" t="inlineStr">
        <is>
          <t>07543956-0</t>
        </is>
      </c>
      <c r="N371" t="inlineStr">
        <is>
          <t>7602-6148</t>
        </is>
      </c>
      <c r="O371" t="inlineStr">
        <is>
          <t>Consumidor final</t>
        </is>
      </c>
      <c r="P371" t="inlineStr">
        <is>
          <t>CAF-001</t>
        </is>
      </c>
      <c r="Q371" t="inlineStr">
        <is>
          <t>Café molido 400g</t>
        </is>
      </c>
      <c r="R371" t="inlineStr">
        <is>
          <t>ABARROTES</t>
        </is>
      </c>
      <c r="S371" t="inlineStr">
        <is>
          <t>Café Volcán S.A.</t>
        </is>
      </c>
      <c r="T371" t="inlineStr">
        <is>
          <t>2510-3344</t>
        </is>
      </c>
      <c r="U371" t="n">
        <v>4.25</v>
      </c>
      <c r="V371" t="n">
        <v>24</v>
      </c>
      <c r="W371" t="n">
        <v>0</v>
      </c>
      <c r="X371">
        <f>IFERROR(U371*V371*(1-W371/100),"")</f>
        <v/>
      </c>
      <c r="Y371">
        <f>IFERROR(ROUND(X371*0.13,2),"")</f>
        <v/>
      </c>
      <c r="Z371">
        <f>IFERROR(X371+Y371,"")</f>
        <v/>
      </c>
      <c r="AA371" t="inlineStr">
        <is>
          <t>Transferencia</t>
        </is>
      </c>
      <c r="AB371" t="inlineStr">
        <is>
          <t>entregar en bodega</t>
        </is>
      </c>
    </row>
    <row r="372">
      <c r="A372" t="inlineStr">
        <is>
          <t>F-10757</t>
        </is>
      </c>
      <c r="B372" s="3" t="n">
        <v>46206</v>
      </c>
      <c r="C372" t="inlineStr">
        <is>
          <t>FCF</t>
        </is>
      </c>
      <c r="D372" t="inlineStr">
        <is>
          <t>LL02</t>
        </is>
      </c>
      <c r="E372" t="inlineStr">
        <is>
          <t>Puerto de La Libertad</t>
        </is>
      </c>
      <c r="F372" t="inlineStr">
        <is>
          <t>Calle El Malecón, Local 4</t>
        </is>
      </c>
      <c r="G372" t="inlineStr">
        <is>
          <t>La Libertad</t>
        </is>
      </c>
      <c r="H372" t="inlineStr">
        <is>
          <t>La Libertad</t>
        </is>
      </c>
      <c r="I372" t="inlineStr">
        <is>
          <t>Wendy Aguilar</t>
        </is>
      </c>
      <c r="J372" t="inlineStr">
        <is>
          <t>2335-6140</t>
        </is>
      </c>
      <c r="K372" t="inlineStr">
        <is>
          <t>Gabriela Saravia</t>
        </is>
      </c>
      <c r="L372" t="inlineStr">
        <is>
          <t>René Alvarado Lemus</t>
        </is>
      </c>
      <c r="M372" t="inlineStr">
        <is>
          <t>07676586-8</t>
        </is>
      </c>
      <c r="N372" t="inlineStr">
        <is>
          <t>6907-6114</t>
        </is>
      </c>
      <c r="O372" t="inlineStr">
        <is>
          <t>Consumidor final</t>
        </is>
      </c>
      <c r="P372" t="inlineStr">
        <is>
          <t>BEB-001</t>
        </is>
      </c>
      <c r="Q372" t="inlineStr">
        <is>
          <t>Gaseosa 2.5L</t>
        </is>
      </c>
      <c r="R372" t="inlineStr">
        <is>
          <t>bebidas</t>
        </is>
      </c>
      <c r="S372" t="inlineStr">
        <is>
          <t>Bebidas Izalco</t>
        </is>
      </c>
      <c r="T372" t="inlineStr">
        <is>
          <t>2450-7700</t>
        </is>
      </c>
      <c r="U372" t="n">
        <v>1.95</v>
      </c>
      <c r="V372" t="n">
        <v>-2</v>
      </c>
      <c r="W372" t="n">
        <v>0</v>
      </c>
      <c r="X372">
        <f>IFERROR(U372*V372*(1-W372/100),"")</f>
        <v/>
      </c>
      <c r="Y372">
        <f>IFERROR(ROUND(X372*0.13,2),"")</f>
        <v/>
      </c>
      <c r="Z372">
        <f>IFERROR(X372+Y372,"")</f>
        <v/>
      </c>
      <c r="AA372" t="inlineStr">
        <is>
          <t>Chivo</t>
        </is>
      </c>
      <c r="AB372" t="inlineStr">
        <is>
          <t>entregar en bodega</t>
        </is>
      </c>
    </row>
    <row r="373">
      <c r="A373" t="inlineStr">
        <is>
          <t>F-10757</t>
        </is>
      </c>
      <c r="B373" s="3" t="n">
        <v>46206</v>
      </c>
      <c r="C373" t="inlineStr">
        <is>
          <t>FCF</t>
        </is>
      </c>
      <c r="D373" t="inlineStr">
        <is>
          <t>LL02</t>
        </is>
      </c>
      <c r="E373" t="inlineStr">
        <is>
          <t>Puerto de La Libertad</t>
        </is>
      </c>
      <c r="F373" t="inlineStr">
        <is>
          <t>Calle El Malecón, Local 4</t>
        </is>
      </c>
      <c r="G373" t="inlineStr">
        <is>
          <t>La Libertad</t>
        </is>
      </c>
      <c r="H373" t="inlineStr">
        <is>
          <t>La Libertad</t>
        </is>
      </c>
      <c r="I373" t="inlineStr">
        <is>
          <t>Wendy Aguilar</t>
        </is>
      </c>
      <c r="J373" t="inlineStr">
        <is>
          <t>2335-6140</t>
        </is>
      </c>
      <c r="K373" t="inlineStr">
        <is>
          <t>Gabriela Saravia</t>
        </is>
      </c>
      <c r="L373" t="inlineStr">
        <is>
          <t>René Alvarado Lemus</t>
        </is>
      </c>
      <c r="M373" t="inlineStr">
        <is>
          <t>07676586-8</t>
        </is>
      </c>
      <c r="N373" t="inlineStr">
        <is>
          <t>6907-6114</t>
        </is>
      </c>
      <c r="O373" t="inlineStr">
        <is>
          <t>Consumidor final</t>
        </is>
      </c>
      <c r="P373" t="inlineStr">
        <is>
          <t>HAR-001</t>
        </is>
      </c>
      <c r="Q373" t="inlineStr">
        <is>
          <t>Harina de maíz 2lb</t>
        </is>
      </c>
      <c r="R373" t="inlineStr">
        <is>
          <t>Abarrotes</t>
        </is>
      </c>
      <c r="S373" t="inlineStr">
        <is>
          <t>Granos del Pacífico</t>
        </is>
      </c>
      <c r="T373" t="inlineStr">
        <is>
          <t>2234-8890</t>
        </is>
      </c>
      <c r="U373" t="n">
        <v>1.35</v>
      </c>
      <c r="V373" t="n">
        <v>2</v>
      </c>
      <c r="W373" t="n">
        <v>0</v>
      </c>
      <c r="X373">
        <f>IFERROR(U373*V373*(1-W373/100),"")</f>
        <v/>
      </c>
      <c r="Y373">
        <f>IFERROR(ROUND(X373*0.13,2),"")</f>
        <v/>
      </c>
      <c r="Z373">
        <f>IFERROR(X373+Y373,"")</f>
        <v/>
      </c>
      <c r="AA373" t="inlineStr">
        <is>
          <t>Chivo</t>
        </is>
      </c>
      <c r="AB373" t="inlineStr">
        <is>
          <t>Llamar al 7788-1234 antes de entregar</t>
        </is>
      </c>
    </row>
    <row r="374">
      <c r="A374" t="inlineStr">
        <is>
          <t>F-10757</t>
        </is>
      </c>
      <c r="B374" s="3" t="n">
        <v>46206</v>
      </c>
      <c r="C374" t="inlineStr">
        <is>
          <t>FCF</t>
        </is>
      </c>
      <c r="D374" t="inlineStr">
        <is>
          <t>LL02</t>
        </is>
      </c>
      <c r="E374" t="inlineStr">
        <is>
          <t>La Libertad Puerto</t>
        </is>
      </c>
      <c r="F374" t="inlineStr">
        <is>
          <t>Calle El Malecón, Local 4</t>
        </is>
      </c>
      <c r="G374" t="inlineStr">
        <is>
          <t>La Libertad</t>
        </is>
      </c>
      <c r="H374" t="inlineStr">
        <is>
          <t>La Libertad</t>
        </is>
      </c>
      <c r="I374" t="inlineStr">
        <is>
          <t>Wendy Aguilar</t>
        </is>
      </c>
      <c r="J374" t="inlineStr">
        <is>
          <t>2335-6140</t>
        </is>
      </c>
      <c r="K374" t="inlineStr">
        <is>
          <t>Gabriela Saravia</t>
        </is>
      </c>
      <c r="L374" t="inlineStr">
        <is>
          <t>René Alvarado Lemus</t>
        </is>
      </c>
      <c r="M374" t="inlineStr">
        <is>
          <t>07676586-8</t>
        </is>
      </c>
      <c r="N374" t="inlineStr">
        <is>
          <t>6907-6114</t>
        </is>
      </c>
      <c r="O374" t="inlineStr">
        <is>
          <t>Consumidor final</t>
        </is>
      </c>
      <c r="P374" t="inlineStr">
        <is>
          <t>PAN-001</t>
        </is>
      </c>
      <c r="Q374" t="inlineStr">
        <is>
          <t>Pan francés bolsa 10u</t>
        </is>
      </c>
      <c r="R374" t="inlineStr">
        <is>
          <t>Panaderia</t>
        </is>
      </c>
      <c r="S374" t="inlineStr">
        <is>
          <t>Panificadora Ilopango</t>
        </is>
      </c>
      <c r="T374" t="inlineStr">
        <is>
          <t>2295-0081</t>
        </is>
      </c>
      <c r="U374" t="n">
        <v>1</v>
      </c>
      <c r="V374" t="n">
        <v>4</v>
      </c>
      <c r="W374" t="n">
        <v>0</v>
      </c>
      <c r="X374">
        <f>IFERROR(U374*V374*(1-W374/100),"")</f>
        <v/>
      </c>
      <c r="Y374">
        <f>IFERROR(ROUND(X374*0.13,2),"")</f>
        <v/>
      </c>
      <c r="Z374">
        <f>IFERROR(X374+Y374,"")</f>
        <v/>
      </c>
      <c r="AA374" t="inlineStr">
        <is>
          <t>Chivo</t>
        </is>
      </c>
      <c r="AB374" t="inlineStr"/>
    </row>
    <row r="375">
      <c r="A375" t="inlineStr">
        <is>
          <t>F-10760</t>
        </is>
      </c>
      <c r="B375" t="inlineStr">
        <is>
          <t>19/07/2026</t>
        </is>
      </c>
      <c r="C375" t="inlineStr">
        <is>
          <t>Factura</t>
        </is>
      </c>
      <c r="D375" t="inlineStr">
        <is>
          <t>SS01</t>
        </is>
      </c>
      <c r="E375" t="inlineStr">
        <is>
          <t>San Salvador Centro</t>
        </is>
      </c>
      <c r="F375" t="inlineStr">
        <is>
          <t>4a Calle Poniente #215</t>
        </is>
      </c>
      <c r="G375" t="inlineStr">
        <is>
          <t>San Salvador</t>
        </is>
      </c>
      <c r="H375" t="inlineStr">
        <is>
          <t>San Salvador</t>
        </is>
      </c>
      <c r="I375" t="inlineStr">
        <is>
          <t>Roberto Alfaro</t>
        </is>
      </c>
      <c r="J375" t="inlineStr">
        <is>
          <t>2221-4580</t>
        </is>
      </c>
      <c r="K375" t="inlineStr">
        <is>
          <t>Daniela Orellana</t>
        </is>
      </c>
      <c r="L375" t="inlineStr">
        <is>
          <t>Rosa Flores Cornejo</t>
        </is>
      </c>
      <c r="M375" t="inlineStr">
        <is>
          <t>00476760-8</t>
        </is>
      </c>
      <c r="N375" t="inlineStr">
        <is>
          <t>7668-7502</t>
        </is>
      </c>
      <c r="O375" t="inlineStr">
        <is>
          <t>Consumidor final</t>
        </is>
      </c>
      <c r="P375" t="inlineStr">
        <is>
          <t>FRI-001</t>
        </is>
      </c>
      <c r="Q375" t="inlineStr">
        <is>
          <t>Frijol rojo de seda 2lb</t>
        </is>
      </c>
      <c r="R375" t="inlineStr">
        <is>
          <t>Granos básicos</t>
        </is>
      </c>
      <c r="S375" t="inlineStr">
        <is>
          <t>Granos del Pacífico</t>
        </is>
      </c>
      <c r="T375" t="inlineStr">
        <is>
          <t>2234-8890</t>
        </is>
      </c>
      <c r="U375" t="n">
        <v>2.4</v>
      </c>
      <c r="V375" t="n">
        <v>4</v>
      </c>
      <c r="W375" t="n">
        <v>0</v>
      </c>
      <c r="X375">
        <f>IFERROR(U375*V375*(1-W375/100),"")</f>
        <v/>
      </c>
      <c r="Y375">
        <f>IFERROR(ROUND(X375*0.13,2),"")</f>
        <v/>
      </c>
      <c r="Z375">
        <f>IFERROR(X375+Y375,"")</f>
        <v/>
      </c>
      <c r="AA375" t="inlineStr">
        <is>
          <t>Bitcoin</t>
        </is>
      </c>
      <c r="AB375" t="inlineStr">
        <is>
          <t>precio especial autorizado por gerente</t>
        </is>
      </c>
    </row>
    <row r="376">
      <c r="A376" t="inlineStr">
        <is>
          <t>F-10760</t>
        </is>
      </c>
      <c r="B376" s="3" t="n">
        <v>46222</v>
      </c>
      <c r="C376" t="inlineStr">
        <is>
          <t>Factura</t>
        </is>
      </c>
      <c r="D376" t="inlineStr">
        <is>
          <t>SS01</t>
        </is>
      </c>
      <c r="E376" t="inlineStr">
        <is>
          <t>San Salvador Centro</t>
        </is>
      </c>
      <c r="F376" t="inlineStr">
        <is>
          <t>4a Calle Poniente #215</t>
        </is>
      </c>
      <c r="G376" t="inlineStr">
        <is>
          <t>San Salvador</t>
        </is>
      </c>
      <c r="H376" t="inlineStr">
        <is>
          <t>San Salvador</t>
        </is>
      </c>
      <c r="I376" t="inlineStr">
        <is>
          <t>Roberto Alfaro</t>
        </is>
      </c>
      <c r="J376" t="inlineStr">
        <is>
          <t>2221-4580</t>
        </is>
      </c>
      <c r="K376" t="inlineStr">
        <is>
          <t>Daniela Orellana</t>
        </is>
      </c>
      <c r="L376" t="inlineStr">
        <is>
          <t>Rosa Flores Cornejo</t>
        </is>
      </c>
      <c r="M376" t="inlineStr">
        <is>
          <t>00476760-8</t>
        </is>
      </c>
      <c r="N376" t="inlineStr">
        <is>
          <t>7668-7502</t>
        </is>
      </c>
      <c r="O376" t="inlineStr">
        <is>
          <t>Consumidor final</t>
        </is>
      </c>
      <c r="P376" t="inlineStr">
        <is>
          <t>HIG-003</t>
        </is>
      </c>
      <c r="Q376" t="inlineStr">
        <is>
          <t>Jabón de lavar barra</t>
        </is>
      </c>
      <c r="R376" t="inlineStr">
        <is>
          <t>Limpieza</t>
        </is>
      </c>
      <c r="S376" t="inlineStr">
        <is>
          <t>Higiene Total C.A.</t>
        </is>
      </c>
      <c r="T376" t="inlineStr">
        <is>
          <t>2207-5566</t>
        </is>
      </c>
      <c r="U376" t="n">
        <v>0.75</v>
      </c>
      <c r="V376" t="n">
        <v>24</v>
      </c>
      <c r="W376" t="n">
        <v>0</v>
      </c>
      <c r="X376">
        <f>IFERROR(U376*V376*(1-W376/100),"")</f>
        <v/>
      </c>
      <c r="Y376">
        <f>IFERROR(ROUND(X376*0.13,2),"")</f>
        <v/>
      </c>
      <c r="Z376">
        <f>IFERROR(X376+Y376,"")</f>
        <v/>
      </c>
      <c r="AA376" t="inlineStr">
        <is>
          <t>Bitcoin</t>
        </is>
      </c>
      <c r="AB376" t="inlineStr"/>
    </row>
    <row r="377">
      <c r="A377" t="inlineStr">
        <is>
          <t>F-10762</t>
        </is>
      </c>
      <c r="B377" t="inlineStr">
        <is>
          <t>04/08/2026</t>
        </is>
      </c>
      <c r="C377" t="inlineStr">
        <is>
          <t>Factura</t>
        </is>
      </c>
      <c r="D377" t="inlineStr">
        <is>
          <t>LL01</t>
        </is>
      </c>
      <c r="E377" t="inlineStr">
        <is>
          <t>SANTA TECLA</t>
        </is>
      </c>
      <c r="F377" t="inlineStr">
        <is>
          <t>Calle Daniel Hernández #18</t>
        </is>
      </c>
      <c r="G377" t="inlineStr">
        <is>
          <t>Santa Tecla</t>
        </is>
      </c>
      <c r="H377" t="inlineStr">
        <is>
          <t>La Libertad</t>
        </is>
      </c>
      <c r="I377" t="inlineStr">
        <is>
          <t>Óscar Rivas</t>
        </is>
      </c>
      <c r="J377" t="inlineStr">
        <is>
          <t>2228-7731</t>
        </is>
      </c>
      <c r="K377" t="inlineStr">
        <is>
          <t>Andrea Pineda</t>
        </is>
      </c>
      <c r="L377" t="inlineStr">
        <is>
          <t>Sandra Rivera Pérez</t>
        </is>
      </c>
      <c r="M377" t="inlineStr">
        <is>
          <t>00391949-0</t>
        </is>
      </c>
      <c r="N377" t="inlineStr">
        <is>
          <t>6654-8845</t>
        </is>
      </c>
      <c r="O377" t="inlineStr">
        <is>
          <t>Consumidor final</t>
        </is>
      </c>
      <c r="P377" t="inlineStr">
        <is>
          <t>ARR-001</t>
        </is>
      </c>
      <c r="Q377" t="inlineStr">
        <is>
          <t>Arroz blanco 5lb</t>
        </is>
      </c>
      <c r="R377" t="inlineStr">
        <is>
          <t>Abarrotes</t>
        </is>
      </c>
      <c r="S377" t="inlineStr">
        <is>
          <t>Granos del Pacífico</t>
        </is>
      </c>
      <c r="T377" t="inlineStr">
        <is>
          <t>2234-8890</t>
        </is>
      </c>
      <c r="U377" t="n">
        <v>3.95</v>
      </c>
      <c r="V377" t="n">
        <v>3</v>
      </c>
      <c r="W377" t="n">
        <v>0</v>
      </c>
      <c r="X377">
        <f>IFERROR(U377*V377*(1-W377/100),"")</f>
        <v/>
      </c>
      <c r="Y377">
        <f>IFERROR(ROUND(X377*0.13,2),"")</f>
        <v/>
      </c>
      <c r="Z377">
        <f>IFERROR(X377+Y377,"")</f>
        <v/>
      </c>
      <c r="AA377" t="inlineStr">
        <is>
          <t>Efectivo</t>
        </is>
      </c>
      <c r="AB377" t="inlineStr"/>
    </row>
    <row r="378">
      <c r="A378" t="inlineStr">
        <is>
          <t>F-10762</t>
        </is>
      </c>
      <c r="B378" s="3" t="n">
        <v>46238</v>
      </c>
      <c r="C378" t="inlineStr">
        <is>
          <t>Factura</t>
        </is>
      </c>
      <c r="D378" t="inlineStr">
        <is>
          <t>LL01</t>
        </is>
      </c>
      <c r="E378" t="inlineStr">
        <is>
          <t>SANTA TECLA</t>
        </is>
      </c>
      <c r="F378" t="inlineStr">
        <is>
          <t>Calle Daniel Hernández #18</t>
        </is>
      </c>
      <c r="G378" t="inlineStr">
        <is>
          <t>Santa Tecla</t>
        </is>
      </c>
      <c r="H378" t="inlineStr">
        <is>
          <t>La Libertad</t>
        </is>
      </c>
      <c r="I378" t="inlineStr">
        <is>
          <t>Óscar Rivas</t>
        </is>
      </c>
      <c r="J378" t="inlineStr">
        <is>
          <t>2228-7731</t>
        </is>
      </c>
      <c r="K378" t="inlineStr">
        <is>
          <t>Andrea Pineda</t>
        </is>
      </c>
      <c r="L378" t="inlineStr">
        <is>
          <t>Sandra Rivera Pérez</t>
        </is>
      </c>
      <c r="M378" t="inlineStr">
        <is>
          <t>00391949-0</t>
        </is>
      </c>
      <c r="N378" t="inlineStr">
        <is>
          <t>6654-8845</t>
        </is>
      </c>
      <c r="O378" t="inlineStr">
        <is>
          <t>Consumidor final</t>
        </is>
      </c>
      <c r="P378" t="inlineStr">
        <is>
          <t>HIG-002</t>
        </is>
      </c>
      <c r="Q378" t="inlineStr">
        <is>
          <t>Papel higiénico 4 rollos</t>
        </is>
      </c>
      <c r="R378" t="inlineStr">
        <is>
          <t>Limpieza</t>
        </is>
      </c>
      <c r="S378" t="inlineStr">
        <is>
          <t>Higiene Total C.A.</t>
        </is>
      </c>
      <c r="T378" t="inlineStr">
        <is>
          <t>2207-5566</t>
        </is>
      </c>
      <c r="U378" t="n">
        <v>2.15</v>
      </c>
      <c r="V378" t="n">
        <v>6</v>
      </c>
      <c r="W378" t="n">
        <v>0</v>
      </c>
      <c r="X378">
        <f>IFERROR(U378*V378*(1-W378/100),"")</f>
        <v/>
      </c>
      <c r="Y378">
        <f>IFERROR(ROUND(X378*0.13,2),"")</f>
        <v/>
      </c>
      <c r="Z378">
        <f>IFERROR(X378+Y378,"")</f>
        <v/>
      </c>
      <c r="AA378" t="inlineStr">
        <is>
          <t>Efectivo</t>
        </is>
      </c>
      <c r="AB378" t="inlineStr">
        <is>
          <t>pagó con billete de $100</t>
        </is>
      </c>
    </row>
    <row r="379">
      <c r="A379" t="inlineStr">
        <is>
          <t>F-10765</t>
        </is>
      </c>
      <c r="B379" s="3" t="n">
        <v>46264</v>
      </c>
      <c r="C379" t="inlineStr">
        <is>
          <t>FCF</t>
        </is>
      </c>
      <c r="D379" t="inlineStr">
        <is>
          <t>LL02</t>
        </is>
      </c>
      <c r="E379" t="inlineStr">
        <is>
          <t>La Libertad Puerto</t>
        </is>
      </c>
      <c r="F379" t="inlineStr">
        <is>
          <t>Calle El Malecón, Local 4</t>
        </is>
      </c>
      <c r="G379" t="inlineStr">
        <is>
          <t>La Libertad</t>
        </is>
      </c>
      <c r="H379" t="inlineStr">
        <is>
          <t>La Libertad</t>
        </is>
      </c>
      <c r="I379" t="inlineStr">
        <is>
          <t>Wendy Aguilar</t>
        </is>
      </c>
      <c r="J379" t="inlineStr">
        <is>
          <t>2335-6140</t>
        </is>
      </c>
      <c r="K379" t="inlineStr">
        <is>
          <t>Gabriela Saravia</t>
        </is>
      </c>
      <c r="L379" t="inlineStr">
        <is>
          <t>Rosa García López</t>
        </is>
      </c>
      <c r="M379" t="inlineStr"/>
      <c r="N379" t="inlineStr">
        <is>
          <t>7696-6025</t>
        </is>
      </c>
      <c r="O379" t="inlineStr">
        <is>
          <t>Consumidor final</t>
        </is>
      </c>
      <c r="P379" t="inlineStr">
        <is>
          <t>BEB-003</t>
        </is>
      </c>
      <c r="Q379" t="inlineStr">
        <is>
          <t>Horchata en polvo 400g</t>
        </is>
      </c>
      <c r="R379" t="inlineStr">
        <is>
          <t>Bebidas</t>
        </is>
      </c>
      <c r="S379" t="inlineStr">
        <is>
          <t>Bebidas Izalco</t>
        </is>
      </c>
      <c r="T379" t="inlineStr">
        <is>
          <t>2450-7700</t>
        </is>
      </c>
      <c r="U379" t="inlineStr">
        <is>
          <t>$2.60</t>
        </is>
      </c>
      <c r="V379" t="n">
        <v>12</v>
      </c>
      <c r="W379" t="n">
        <v>0</v>
      </c>
      <c r="X379">
        <f>IFERROR(U379*V379*(1-W379/100),"")</f>
        <v/>
      </c>
      <c r="Y379">
        <f>IFERROR(ROUND(X379*0.13,2),"")</f>
        <v/>
      </c>
      <c r="Z379">
        <f>IFERROR(X379+Y379,"")</f>
        <v/>
      </c>
      <c r="AA379" t="inlineStr">
        <is>
          <t>Efectivo</t>
        </is>
      </c>
      <c r="AB379" t="inlineStr">
        <is>
          <t>Cliente frecuente</t>
        </is>
      </c>
    </row>
    <row r="380">
      <c r="A380" t="inlineStr">
        <is>
          <t>F-10766</t>
        </is>
      </c>
      <c r="B380" s="3" t="n">
        <v>46241</v>
      </c>
      <c r="C380" t="inlineStr">
        <is>
          <t>factura</t>
        </is>
      </c>
      <c r="D380" t="inlineStr">
        <is>
          <t>SS02</t>
        </is>
      </c>
      <c r="E380" t="inlineStr">
        <is>
          <t>ESCALON</t>
        </is>
      </c>
      <c r="F380" t="inlineStr">
        <is>
          <t>Paseo General Escalón #3910</t>
        </is>
      </c>
      <c r="G380" t="inlineStr">
        <is>
          <t>San Salvador</t>
        </is>
      </c>
      <c r="H380" t="inlineStr">
        <is>
          <t>San Salvador</t>
        </is>
      </c>
      <c r="I380" t="inlineStr">
        <is>
          <t>Claudia Menjívar</t>
        </is>
      </c>
      <c r="J380" t="inlineStr">
        <is>
          <t>2264-1190</t>
        </is>
      </c>
      <c r="K380" t="inlineStr">
        <is>
          <t>Fátima Rosales</t>
        </is>
      </c>
      <c r="L380" t="inlineStr">
        <is>
          <t>Walter Mejía Castillo</t>
        </is>
      </c>
      <c r="M380" t="inlineStr">
        <is>
          <t>02326285-9</t>
        </is>
      </c>
      <c r="N380" t="inlineStr">
        <is>
          <t>2959-3937</t>
        </is>
      </c>
      <c r="O380" t="inlineStr">
        <is>
          <t>Consumidor final</t>
        </is>
      </c>
      <c r="P380" t="inlineStr">
        <is>
          <t>FRI-001</t>
        </is>
      </c>
      <c r="Q380" t="inlineStr">
        <is>
          <t>Frijol rojo de seda 2lb</t>
        </is>
      </c>
      <c r="R380" t="inlineStr">
        <is>
          <t>Abarrotes</t>
        </is>
      </c>
      <c r="S380" t="inlineStr">
        <is>
          <t>Granos del Pacífico</t>
        </is>
      </c>
      <c r="T380" t="inlineStr">
        <is>
          <t>2234-8890</t>
        </is>
      </c>
      <c r="U380" t="inlineStr">
        <is>
          <t>$2.40</t>
        </is>
      </c>
      <c r="V380" t="n">
        <v>2</v>
      </c>
      <c r="W380" t="n">
        <v>0</v>
      </c>
      <c r="X380">
        <f>IFERROR(U380*V380*(1-W380/100),"")</f>
        <v/>
      </c>
      <c r="Y380">
        <f>IFERROR(ROUND(X380*0.13,2),"")</f>
        <v/>
      </c>
      <c r="Z380">
        <f>IFERROR(X380+Y380,"")</f>
        <v/>
      </c>
      <c r="AA380" t="inlineStr">
        <is>
          <t>Tarjeta</t>
        </is>
      </c>
      <c r="AB380" t="inlineStr"/>
    </row>
    <row r="381">
      <c r="A381" t="inlineStr">
        <is>
          <t>F-10766</t>
        </is>
      </c>
      <c r="B381" s="3" t="n">
        <v>46241</v>
      </c>
      <c r="C381" t="inlineStr">
        <is>
          <t>factura</t>
        </is>
      </c>
      <c r="D381" t="inlineStr">
        <is>
          <t>SS02</t>
        </is>
      </c>
      <c r="E381" t="inlineStr">
        <is>
          <t>Escalon</t>
        </is>
      </c>
      <c r="F381" t="inlineStr">
        <is>
          <t>Paseo General Escalón #3910</t>
        </is>
      </c>
      <c r="G381" t="inlineStr">
        <is>
          <t>San Salvador</t>
        </is>
      </c>
      <c r="H381" t="inlineStr">
        <is>
          <t>San Salvador</t>
        </is>
      </c>
      <c r="I381" t="inlineStr">
        <is>
          <t>Claudia Menjívar</t>
        </is>
      </c>
      <c r="J381" t="inlineStr">
        <is>
          <t>2264-1190</t>
        </is>
      </c>
      <c r="K381" t="inlineStr">
        <is>
          <t>Fátima Rosales</t>
        </is>
      </c>
      <c r="L381" t="inlineStr">
        <is>
          <t>Walter Mejía Castillo</t>
        </is>
      </c>
      <c r="M381" t="inlineStr">
        <is>
          <t>02326285-9</t>
        </is>
      </c>
      <c r="N381" t="inlineStr">
        <is>
          <t>2959-3937</t>
        </is>
      </c>
      <c r="O381" t="inlineStr">
        <is>
          <t>Consumidor final</t>
        </is>
      </c>
      <c r="P381" t="inlineStr">
        <is>
          <t>CAF-002</t>
        </is>
      </c>
      <c r="Q381" t="inlineStr">
        <is>
          <t>Café en grano 1lb</t>
        </is>
      </c>
      <c r="R381" t="inlineStr">
        <is>
          <t>Abarrotes</t>
        </is>
      </c>
      <c r="S381" t="inlineStr">
        <is>
          <t>Café Volcán S.A.</t>
        </is>
      </c>
      <c r="T381" t="inlineStr">
        <is>
          <t>2510-3344</t>
        </is>
      </c>
      <c r="U381" t="inlineStr">
        <is>
          <t>$6.75</t>
        </is>
      </c>
      <c r="V381" t="n">
        <v>2</v>
      </c>
      <c r="W381" t="n">
        <v>0</v>
      </c>
      <c r="X381">
        <f>IFERROR(U381*V381*(1-W381/100),"")</f>
        <v/>
      </c>
      <c r="Y381">
        <f>IFERROR(ROUND(X381*0.13,2),"")</f>
        <v/>
      </c>
      <c r="Z381">
        <f>IFERROR(X381+Y381,"")</f>
        <v/>
      </c>
      <c r="AA381" t="inlineStr">
        <is>
          <t>Tarjeta</t>
        </is>
      </c>
      <c r="AB381" t="inlineStr">
        <is>
          <t>Cliente frecuente</t>
        </is>
      </c>
    </row>
    <row r="382">
      <c r="A382" t="inlineStr">
        <is>
          <t>F-10767</t>
        </is>
      </c>
      <c r="B382" s="3" t="n">
        <v>46231</v>
      </c>
      <c r="C382" t="inlineStr">
        <is>
          <t>factura</t>
        </is>
      </c>
      <c r="D382" t="inlineStr">
        <is>
          <t>SS01</t>
        </is>
      </c>
      <c r="E382" t="inlineStr">
        <is>
          <t>SAN SALVADOR CENTRO</t>
        </is>
      </c>
      <c r="F382" t="inlineStr">
        <is>
          <t>4a Calle Poniente #215</t>
        </is>
      </c>
      <c r="G382" t="inlineStr">
        <is>
          <t>San Salvador</t>
        </is>
      </c>
      <c r="H382" t="inlineStr">
        <is>
          <t>San Salvador</t>
        </is>
      </c>
      <c r="I382" t="inlineStr">
        <is>
          <t>Roberto Alfaro</t>
        </is>
      </c>
      <c r="J382" t="inlineStr">
        <is>
          <t>2221-4580</t>
        </is>
      </c>
      <c r="K382" t="inlineStr">
        <is>
          <t>Daniela Orellana</t>
        </is>
      </c>
      <c r="L382" t="inlineStr">
        <is>
          <t>Edwin Alvarado García</t>
        </is>
      </c>
      <c r="M382" t="inlineStr">
        <is>
          <t>03264621-6</t>
        </is>
      </c>
      <c r="N382" t="inlineStr">
        <is>
          <t>2560-1229</t>
        </is>
      </c>
      <c r="O382" t="inlineStr">
        <is>
          <t>Consumidor final</t>
        </is>
      </c>
      <c r="P382" t="inlineStr">
        <is>
          <t>HAR-001</t>
        </is>
      </c>
      <c r="Q382" t="inlineStr">
        <is>
          <t>Harina de maíz 2lb</t>
        </is>
      </c>
      <c r="R382" t="inlineStr">
        <is>
          <t>Abarrotes</t>
        </is>
      </c>
      <c r="S382" t="inlineStr">
        <is>
          <t>Granos del Pacífico</t>
        </is>
      </c>
      <c r="T382" t="inlineStr">
        <is>
          <t>2234-8890</t>
        </is>
      </c>
      <c r="U382" t="inlineStr">
        <is>
          <t>$1.35</t>
        </is>
      </c>
      <c r="V382" t="n">
        <v>2</v>
      </c>
      <c r="W382" t="n">
        <v>0</v>
      </c>
      <c r="X382">
        <f>IFERROR(U382*V382*(1-W382/100),"")</f>
        <v/>
      </c>
      <c r="Y382">
        <f>IFERROR(ROUND(X382*0.13,2),"")</f>
        <v/>
      </c>
      <c r="Z382">
        <f>IFERROR(X382+Y382,"")</f>
        <v/>
      </c>
      <c r="AA382" t="inlineStr">
        <is>
          <t>Tarjeta</t>
        </is>
      </c>
      <c r="AB382" t="inlineStr">
        <is>
          <t>precio especial autorizado por gerente</t>
        </is>
      </c>
    </row>
    <row r="383">
      <c r="A383" t="inlineStr">
        <is>
          <t>F-10767</t>
        </is>
      </c>
      <c r="B383" s="3" t="n">
        <v>46231</v>
      </c>
      <c r="C383" t="inlineStr">
        <is>
          <t>factura</t>
        </is>
      </c>
      <c r="D383" t="inlineStr">
        <is>
          <t>SS01</t>
        </is>
      </c>
      <c r="E383" t="inlineStr">
        <is>
          <t xml:space="preserve">san salvador centro </t>
        </is>
      </c>
      <c r="F383" t="inlineStr">
        <is>
          <t>4a Calle Poniente #215</t>
        </is>
      </c>
      <c r="G383" t="inlineStr">
        <is>
          <t>San Salvador</t>
        </is>
      </c>
      <c r="H383" t="inlineStr">
        <is>
          <t>San Salvador</t>
        </is>
      </c>
      <c r="I383" t="inlineStr">
        <is>
          <t>Roberto Alfaro</t>
        </is>
      </c>
      <c r="J383" t="inlineStr">
        <is>
          <t>2221-4580</t>
        </is>
      </c>
      <c r="K383" t="inlineStr">
        <is>
          <t>Daniela Orellana</t>
        </is>
      </c>
      <c r="L383" t="inlineStr">
        <is>
          <t>Edwin Alvarado García</t>
        </is>
      </c>
      <c r="M383" t="inlineStr">
        <is>
          <t>03264621-6</t>
        </is>
      </c>
      <c r="N383" t="inlineStr">
        <is>
          <t>2560-1229</t>
        </is>
      </c>
      <c r="O383" t="inlineStr">
        <is>
          <t>Consumidor final</t>
        </is>
      </c>
      <c r="P383" t="inlineStr">
        <is>
          <t>HIG-003</t>
        </is>
      </c>
      <c r="Q383" t="inlineStr">
        <is>
          <t>Jabón de lavar barra</t>
        </is>
      </c>
      <c r="R383" t="inlineStr">
        <is>
          <t>Limpieza</t>
        </is>
      </c>
      <c r="S383" t="inlineStr">
        <is>
          <t>Higiene Total C.A.</t>
        </is>
      </c>
      <c r="T383" t="inlineStr">
        <is>
          <t>2207-5566</t>
        </is>
      </c>
      <c r="U383" t="n">
        <v>0.75</v>
      </c>
      <c r="V383" t="n">
        <v>1</v>
      </c>
      <c r="W383" t="n">
        <v>0</v>
      </c>
      <c r="X383">
        <f>IFERROR(U383*V383*(1-W383/100),"")</f>
        <v/>
      </c>
      <c r="Y383">
        <f>IFERROR(ROUND(X383*0.13,2),"")</f>
        <v/>
      </c>
      <c r="Z383">
        <f>IFERROR(X383+Y383,"")</f>
        <v/>
      </c>
      <c r="AA383" t="inlineStr">
        <is>
          <t>Tarjeta</t>
        </is>
      </c>
      <c r="AB383" t="inlineStr"/>
    </row>
    <row r="384">
      <c r="A384" t="inlineStr">
        <is>
          <t>F-10768</t>
        </is>
      </c>
      <c r="B384" s="3" t="n">
        <v>46232</v>
      </c>
      <c r="C384" t="inlineStr">
        <is>
          <t>Factura</t>
        </is>
      </c>
      <c r="D384" t="inlineStr">
        <is>
          <t>SS03</t>
        </is>
      </c>
      <c r="E384" t="inlineStr">
        <is>
          <t>Soyapango</t>
        </is>
      </c>
      <c r="F384" t="inlineStr">
        <is>
          <t>Blvd. del Ejército km 4</t>
        </is>
      </c>
      <c r="G384" t="inlineStr">
        <is>
          <t>Soyapango</t>
        </is>
      </c>
      <c r="H384" t="inlineStr">
        <is>
          <t>San Salvador</t>
        </is>
      </c>
      <c r="I384" t="inlineStr">
        <is>
          <t>Karla Henríquez</t>
        </is>
      </c>
      <c r="J384" t="inlineStr">
        <is>
          <t>2277-3402</t>
        </is>
      </c>
      <c r="K384" t="inlineStr">
        <is>
          <t>Marta Gómez</t>
        </is>
      </c>
      <c r="L384" t="inlineStr">
        <is>
          <t>Sandra Lemus Flores</t>
        </is>
      </c>
      <c r="M384" t="inlineStr">
        <is>
          <t>07143344-7</t>
        </is>
      </c>
      <c r="N384" t="inlineStr">
        <is>
          <t>2764-5365</t>
        </is>
      </c>
      <c r="O384" t="inlineStr">
        <is>
          <t>Consumidor final</t>
        </is>
      </c>
      <c r="P384" t="inlineStr">
        <is>
          <t>FRI-001</t>
        </is>
      </c>
      <c r="Q384" t="inlineStr">
        <is>
          <t>Frijol rojo de seda 2lb</t>
        </is>
      </c>
      <c r="R384" t="inlineStr">
        <is>
          <t>Granos básicos</t>
        </is>
      </c>
      <c r="S384" t="inlineStr">
        <is>
          <t>Granos del Pacífico</t>
        </is>
      </c>
      <c r="T384" t="inlineStr">
        <is>
          <t>2234-8890</t>
        </is>
      </c>
      <c r="U384" t="n">
        <v>2.4</v>
      </c>
      <c r="V384" t="n">
        <v>2</v>
      </c>
      <c r="W384" t="n">
        <v>0</v>
      </c>
      <c r="X384">
        <f>IFERROR(U384*V384*(1-W384/100),"")</f>
        <v/>
      </c>
      <c r="Y384">
        <f>IFERROR(ROUND(X384*0.13,2),"")</f>
        <v/>
      </c>
      <c r="Z384">
        <f>IFERROR(X384+Y384,"")</f>
        <v/>
      </c>
      <c r="AA384" t="inlineStr">
        <is>
          <t>Transferencia</t>
        </is>
      </c>
      <c r="AB384" t="inlineStr">
        <is>
          <t>Cliente frecuente</t>
        </is>
      </c>
    </row>
    <row r="385">
      <c r="A385" t="inlineStr">
        <is>
          <t>F-10768</t>
        </is>
      </c>
      <c r="B385" t="inlineStr">
        <is>
          <t>29/07/2026</t>
        </is>
      </c>
      <c r="C385" t="inlineStr">
        <is>
          <t>Factura</t>
        </is>
      </c>
      <c r="D385" t="inlineStr">
        <is>
          <t>SS03</t>
        </is>
      </c>
      <c r="E385" t="inlineStr">
        <is>
          <t>soyapango</t>
        </is>
      </c>
      <c r="F385" t="inlineStr">
        <is>
          <t>Blvd. del Ejército km 4</t>
        </is>
      </c>
      <c r="G385" t="inlineStr">
        <is>
          <t>Soyapango</t>
        </is>
      </c>
      <c r="H385" t="inlineStr">
        <is>
          <t>San Salvador</t>
        </is>
      </c>
      <c r="I385" t="inlineStr">
        <is>
          <t>Karla Henríquez</t>
        </is>
      </c>
      <c r="J385" t="inlineStr">
        <is>
          <t>2277-3402</t>
        </is>
      </c>
      <c r="K385" t="inlineStr">
        <is>
          <t>Marta Gómez</t>
        </is>
      </c>
      <c r="L385" t="inlineStr">
        <is>
          <t>Sandra Lemus Flores</t>
        </is>
      </c>
      <c r="M385" t="inlineStr">
        <is>
          <t>07143344-7</t>
        </is>
      </c>
      <c r="N385" t="inlineStr">
        <is>
          <t>2764-5365</t>
        </is>
      </c>
      <c r="O385" t="inlineStr">
        <is>
          <t>Consumidor final</t>
        </is>
      </c>
      <c r="P385" t="inlineStr">
        <is>
          <t>BEB-003</t>
        </is>
      </c>
      <c r="Q385" t="inlineStr">
        <is>
          <t>Horchata en polvo 400g</t>
        </is>
      </c>
      <c r="R385" t="inlineStr">
        <is>
          <t>Abarrotes</t>
        </is>
      </c>
      <c r="S385" t="inlineStr">
        <is>
          <t>Bebidas Izalco</t>
        </is>
      </c>
      <c r="T385" t="inlineStr">
        <is>
          <t>2450-7700</t>
        </is>
      </c>
      <c r="U385" t="n">
        <v>2.6</v>
      </c>
      <c r="V385" t="n">
        <v>12</v>
      </c>
      <c r="W385" t="n">
        <v>0</v>
      </c>
      <c r="X385">
        <f>IFERROR(U385*V385*(1-W385/100),"")</f>
        <v/>
      </c>
      <c r="Y385">
        <f>IFERROR(ROUND(X385*0.13,2),"")</f>
        <v/>
      </c>
      <c r="Z385">
        <f>IFERROR(X385+Y385,"")</f>
        <v/>
      </c>
      <c r="AA385" t="inlineStr">
        <is>
          <t>Transferencia</t>
        </is>
      </c>
      <c r="AB385" t="inlineStr"/>
    </row>
    <row r="386">
      <c r="A386" t="inlineStr">
        <is>
          <t>F-10768</t>
        </is>
      </c>
      <c r="B386" s="3" t="n">
        <v>46232</v>
      </c>
      <c r="C386" t="inlineStr">
        <is>
          <t>Factura</t>
        </is>
      </c>
      <c r="D386" t="inlineStr"/>
      <c r="E386" t="inlineStr">
        <is>
          <t>Soyapango</t>
        </is>
      </c>
      <c r="F386" t="inlineStr">
        <is>
          <t>Blvd. del Ejército km 4</t>
        </is>
      </c>
      <c r="G386" t="inlineStr">
        <is>
          <t>Soyapango</t>
        </is>
      </c>
      <c r="H386" t="inlineStr">
        <is>
          <t>San Salvador</t>
        </is>
      </c>
      <c r="I386" t="inlineStr">
        <is>
          <t>Karla Henríquez</t>
        </is>
      </c>
      <c r="J386" t="inlineStr">
        <is>
          <t>2277-3402</t>
        </is>
      </c>
      <c r="K386" t="inlineStr">
        <is>
          <t>Marta Gómez</t>
        </is>
      </c>
      <c r="L386" t="inlineStr">
        <is>
          <t>Sandra Lemus Flores</t>
        </is>
      </c>
      <c r="M386" t="inlineStr">
        <is>
          <t>07143344-7</t>
        </is>
      </c>
      <c r="N386" t="inlineStr">
        <is>
          <t>2764-5365</t>
        </is>
      </c>
      <c r="O386" t="inlineStr">
        <is>
          <t>Consumidor final</t>
        </is>
      </c>
      <c r="P386" t="inlineStr">
        <is>
          <t>CAF-001</t>
        </is>
      </c>
      <c r="Q386" t="inlineStr">
        <is>
          <t>Café molido 400g</t>
        </is>
      </c>
      <c r="R386" t="inlineStr">
        <is>
          <t>abarrotes</t>
        </is>
      </c>
      <c r="S386" t="inlineStr">
        <is>
          <t>Café Volcán S.A.</t>
        </is>
      </c>
      <c r="T386" t="inlineStr">
        <is>
          <t>2510-3344</t>
        </is>
      </c>
      <c r="U386" t="n">
        <v>4.25</v>
      </c>
      <c r="V386" t="n">
        <v>24</v>
      </c>
      <c r="W386" t="n">
        <v>0</v>
      </c>
      <c r="X386">
        <f>IFERROR(U386*V386*(1-W386/100),"")</f>
        <v/>
      </c>
      <c r="Y386">
        <f>IFERROR(ROUND(X386*0.13,2),"")</f>
        <v/>
      </c>
      <c r="Z386">
        <f>IFERROR(X386+Y386,"")</f>
        <v/>
      </c>
      <c r="AA386" t="inlineStr">
        <is>
          <t>Transferencia</t>
        </is>
      </c>
      <c r="AB386" t="inlineStr">
        <is>
          <t>entregar en bodega</t>
        </is>
      </c>
    </row>
    <row r="387">
      <c r="A387" t="inlineStr">
        <is>
          <t>F-10768</t>
        </is>
      </c>
      <c r="B387" t="inlineStr">
        <is>
          <t>29/07/2026</t>
        </is>
      </c>
      <c r="C387" t="inlineStr">
        <is>
          <t>Factura</t>
        </is>
      </c>
      <c r="D387" t="inlineStr">
        <is>
          <t>SS03</t>
        </is>
      </c>
      <c r="E387" t="inlineStr">
        <is>
          <t xml:space="preserve">SOYAPANGO </t>
        </is>
      </c>
      <c r="F387" t="inlineStr">
        <is>
          <t>Blvd. del Ejército km 4</t>
        </is>
      </c>
      <c r="G387" t="inlineStr">
        <is>
          <t>Soyapango</t>
        </is>
      </c>
      <c r="H387" t="inlineStr">
        <is>
          <t>San Salvador</t>
        </is>
      </c>
      <c r="I387" t="inlineStr">
        <is>
          <t>Karla Henríquez</t>
        </is>
      </c>
      <c r="J387" t="inlineStr">
        <is>
          <t>2277-3402</t>
        </is>
      </c>
      <c r="K387" t="inlineStr">
        <is>
          <t>Marta Gómez</t>
        </is>
      </c>
      <c r="L387" t="inlineStr">
        <is>
          <t>Sandra Lemus Flores</t>
        </is>
      </c>
      <c r="M387" t="inlineStr">
        <is>
          <t>07143344-7</t>
        </is>
      </c>
      <c r="N387" t="inlineStr">
        <is>
          <t>2764-5365</t>
        </is>
      </c>
      <c r="O387" t="inlineStr">
        <is>
          <t>Consumidor final</t>
        </is>
      </c>
      <c r="P387" t="inlineStr">
        <is>
          <t>HIG-003</t>
        </is>
      </c>
      <c r="Q387" t="inlineStr">
        <is>
          <t>Jabón de lavar barra</t>
        </is>
      </c>
      <c r="R387" t="inlineStr">
        <is>
          <t>Limpieza</t>
        </is>
      </c>
      <c r="S387" t="inlineStr">
        <is>
          <t>Higiene Total C.A.</t>
        </is>
      </c>
      <c r="T387" t="inlineStr">
        <is>
          <t>2207-5566</t>
        </is>
      </c>
      <c r="U387" t="n">
        <v>0.75</v>
      </c>
      <c r="V387" t="n">
        <v>1</v>
      </c>
      <c r="W387" t="n">
        <v>0</v>
      </c>
      <c r="X387">
        <f>IFERROR(U387*V387*(1-W387/100),"")</f>
        <v/>
      </c>
      <c r="Y387">
        <f>IFERROR(ROUND(X387*0.13,2),"")</f>
        <v/>
      </c>
      <c r="Z387">
        <f>IFERROR(X387+Y387,"")</f>
        <v/>
      </c>
      <c r="AA387" t="inlineStr">
        <is>
          <t>Transferencia</t>
        </is>
      </c>
      <c r="AB387" t="inlineStr">
        <is>
          <t>pagó con billete de $100</t>
        </is>
      </c>
    </row>
    <row r="388">
      <c r="A388" t="inlineStr">
        <is>
          <t>F-10771</t>
        </is>
      </c>
      <c r="B388" t="inlineStr">
        <is>
          <t>17-Jul-26</t>
        </is>
      </c>
      <c r="C388" t="inlineStr">
        <is>
          <t>Factura</t>
        </is>
      </c>
      <c r="D388" t="inlineStr">
        <is>
          <t>SA01</t>
        </is>
      </c>
      <c r="E388" t="inlineStr">
        <is>
          <t>Santa Ana</t>
        </is>
      </c>
      <c r="F388" t="inlineStr">
        <is>
          <t>Av. Independencia Sur #12</t>
        </is>
      </c>
      <c r="G388" t="inlineStr">
        <is>
          <t>Santa Ana</t>
        </is>
      </c>
      <c r="H388" t="inlineStr">
        <is>
          <t>Santa Ana</t>
        </is>
      </c>
      <c r="I388" t="inlineStr">
        <is>
          <t>Mauricio Linares</t>
        </is>
      </c>
      <c r="J388" t="inlineStr">
        <is>
          <t>2440-9921</t>
        </is>
      </c>
      <c r="K388" t="inlineStr">
        <is>
          <t>Diego Zelaya</t>
        </is>
      </c>
      <c r="L388" t="inlineStr">
        <is>
          <t>René Sorto Quintanilla</t>
        </is>
      </c>
      <c r="M388" t="inlineStr">
        <is>
          <t>06328066-3</t>
        </is>
      </c>
      <c r="N388" t="inlineStr">
        <is>
          <t>6778-4597</t>
        </is>
      </c>
      <c r="O388" t="inlineStr">
        <is>
          <t>Consumidor final</t>
        </is>
      </c>
      <c r="P388" t="inlineStr">
        <is>
          <t>HAR-001</t>
        </is>
      </c>
      <c r="Q388" t="inlineStr">
        <is>
          <t>Harina de maíz 2lb</t>
        </is>
      </c>
      <c r="R388" t="inlineStr">
        <is>
          <t>Abarrotes</t>
        </is>
      </c>
      <c r="S388" t="inlineStr">
        <is>
          <t>Granos del Pacífico</t>
        </is>
      </c>
      <c r="T388" t="inlineStr">
        <is>
          <t>2234-8890</t>
        </is>
      </c>
      <c r="U388" t="inlineStr">
        <is>
          <t>$1.35</t>
        </is>
      </c>
      <c r="V388" t="n">
        <v>12</v>
      </c>
      <c r="W388" t="n">
        <v>0</v>
      </c>
      <c r="X388">
        <f>IFERROR(U388*V388*(1-W388/100),"")</f>
        <v/>
      </c>
      <c r="Y388">
        <f>IFERROR(ROUND(X388*0.13,2),"")</f>
        <v/>
      </c>
      <c r="Z388">
        <f>IFERROR(X388+Y388,"")</f>
        <v/>
      </c>
      <c r="AA388" t="inlineStr">
        <is>
          <t>Efectivo</t>
        </is>
      </c>
      <c r="AB388" t="inlineStr">
        <is>
          <t>entregar en bodega</t>
        </is>
      </c>
    </row>
    <row r="389">
      <c r="A389" t="inlineStr">
        <is>
          <t>F-10771</t>
        </is>
      </c>
      <c r="B389" s="3" t="n">
        <v>46220</v>
      </c>
      <c r="C389" t="inlineStr">
        <is>
          <t>Factura</t>
        </is>
      </c>
      <c r="D389" t="inlineStr">
        <is>
          <t>SA01</t>
        </is>
      </c>
      <c r="E389" t="inlineStr">
        <is>
          <t>STA ANA</t>
        </is>
      </c>
      <c r="F389" t="inlineStr">
        <is>
          <t>Av. Independencia Sur #12</t>
        </is>
      </c>
      <c r="G389" t="inlineStr">
        <is>
          <t>Santa Ana</t>
        </is>
      </c>
      <c r="H389" t="inlineStr">
        <is>
          <t>Santa Ana</t>
        </is>
      </c>
      <c r="I389" t="inlineStr">
        <is>
          <t>Mauricio Linares</t>
        </is>
      </c>
      <c r="J389" t="inlineStr">
        <is>
          <t>2440-9921</t>
        </is>
      </c>
      <c r="K389" t="inlineStr">
        <is>
          <t>Diego Zelaya</t>
        </is>
      </c>
      <c r="L389" t="inlineStr">
        <is>
          <t>René Sorto Quintanilla</t>
        </is>
      </c>
      <c r="M389" t="inlineStr">
        <is>
          <t>06328066-3</t>
        </is>
      </c>
      <c r="N389" t="inlineStr">
        <is>
          <t>6778-4597</t>
        </is>
      </c>
      <c r="O389" t="inlineStr">
        <is>
          <t>Consumidor final</t>
        </is>
      </c>
      <c r="P389" t="inlineStr">
        <is>
          <t>BEB-002</t>
        </is>
      </c>
      <c r="Q389" t="inlineStr">
        <is>
          <t>Agua purificada 1 galón</t>
        </is>
      </c>
      <c r="R389" t="inlineStr">
        <is>
          <t>Bebidas</t>
        </is>
      </c>
      <c r="S389" t="inlineStr">
        <is>
          <t>Bebidas Izalco</t>
        </is>
      </c>
      <c r="T389" t="inlineStr">
        <is>
          <t>2450-7700</t>
        </is>
      </c>
      <c r="U389" t="n">
        <v>1.1</v>
      </c>
      <c r="V389" t="n">
        <v>4</v>
      </c>
      <c r="W389" t="n">
        <v>0</v>
      </c>
      <c r="X389">
        <f>IFERROR(U389*V389*(1-W389/100),"")</f>
        <v/>
      </c>
      <c r="Y389">
        <f>IFERROR(ROUND(X389*0.13,2),"")</f>
        <v/>
      </c>
      <c r="Z389">
        <f>IFERROR(X389+Y389,"")</f>
        <v/>
      </c>
      <c r="AA389" t="inlineStr">
        <is>
          <t>Efectivo</t>
        </is>
      </c>
      <c r="AB389" t="inlineStr"/>
    </row>
    <row r="390">
      <c r="A390" t="inlineStr">
        <is>
          <t>F-10771</t>
        </is>
      </c>
      <c r="B390" s="3" t="n">
        <v>46220</v>
      </c>
      <c r="C390" t="inlineStr">
        <is>
          <t>Factura</t>
        </is>
      </c>
      <c r="D390" t="inlineStr">
        <is>
          <t>SA01</t>
        </is>
      </c>
      <c r="E390" t="inlineStr">
        <is>
          <t>Santa  Ana</t>
        </is>
      </c>
      <c r="F390" t="inlineStr">
        <is>
          <t>Av. Independencia Sur #12</t>
        </is>
      </c>
      <c r="G390" t="inlineStr">
        <is>
          <t>Santa Ana</t>
        </is>
      </c>
      <c r="H390" t="inlineStr">
        <is>
          <t>Santa Ana</t>
        </is>
      </c>
      <c r="I390" t="inlineStr">
        <is>
          <t>Mauricio Linares</t>
        </is>
      </c>
      <c r="J390" t="inlineStr">
        <is>
          <t>2440-9921</t>
        </is>
      </c>
      <c r="K390" t="inlineStr">
        <is>
          <t>Diego Zelaya</t>
        </is>
      </c>
      <c r="L390" t="inlineStr">
        <is>
          <t>René Sorto Quintanilla</t>
        </is>
      </c>
      <c r="M390" t="inlineStr"/>
      <c r="N390" t="inlineStr">
        <is>
          <t>6778-4597</t>
        </is>
      </c>
      <c r="O390" t="inlineStr">
        <is>
          <t>Consumidor final</t>
        </is>
      </c>
      <c r="P390" t="inlineStr">
        <is>
          <t>HIG-001</t>
        </is>
      </c>
      <c r="Q390" t="inlineStr">
        <is>
          <t>Detergente 1kg</t>
        </is>
      </c>
      <c r="R390" t="inlineStr">
        <is>
          <t>limpieza</t>
        </is>
      </c>
      <c r="S390" t="inlineStr">
        <is>
          <t>Higiene Total C.A.</t>
        </is>
      </c>
      <c r="T390" t="inlineStr">
        <is>
          <t>2207-5566</t>
        </is>
      </c>
      <c r="U390" t="inlineStr">
        <is>
          <t>$3.45</t>
        </is>
      </c>
      <c r="V390" t="n">
        <v>24</v>
      </c>
      <c r="W390" t="n">
        <v>0</v>
      </c>
      <c r="X390">
        <f>IFERROR(U390*V390*(1-W390/100),"")</f>
        <v/>
      </c>
      <c r="Y390">
        <f>IFERROR(ROUND(X390*0.13,2),"")</f>
        <v/>
      </c>
      <c r="Z390">
        <f>IFERROR(X390+Y390,"")</f>
        <v/>
      </c>
      <c r="AA390" t="inlineStr">
        <is>
          <t>Efectivo</t>
        </is>
      </c>
      <c r="AB390" t="inlineStr"/>
    </row>
    <row r="391">
      <c r="A391" t="inlineStr">
        <is>
          <t>F-10773</t>
        </is>
      </c>
      <c r="B391" t="inlineStr">
        <is>
          <t>02/09/2026</t>
        </is>
      </c>
      <c r="C391" t="inlineStr">
        <is>
          <t>factura</t>
        </is>
      </c>
      <c r="D391" t="inlineStr">
        <is>
          <t>SS03</t>
        </is>
      </c>
      <c r="E391" t="inlineStr">
        <is>
          <t xml:space="preserve">SOYAPANGO </t>
        </is>
      </c>
      <c r="F391" t="inlineStr">
        <is>
          <t>Blvd. del Ejército km 4</t>
        </is>
      </c>
      <c r="G391" t="inlineStr">
        <is>
          <t>Soyapango</t>
        </is>
      </c>
      <c r="H391" t="inlineStr">
        <is>
          <t>San Salvador</t>
        </is>
      </c>
      <c r="I391" t="inlineStr">
        <is>
          <t>Karla Henríquez</t>
        </is>
      </c>
      <c r="J391" t="inlineStr">
        <is>
          <t>2277-3402</t>
        </is>
      </c>
      <c r="K391" t="inlineStr">
        <is>
          <t>Carlos Molina</t>
        </is>
      </c>
      <c r="L391" t="inlineStr">
        <is>
          <t>Edwin Castillo Romero</t>
        </is>
      </c>
      <c r="M391" t="inlineStr">
        <is>
          <t>07552102-5</t>
        </is>
      </c>
      <c r="N391" t="inlineStr">
        <is>
          <t>2609-8644</t>
        </is>
      </c>
      <c r="O391" t="inlineStr">
        <is>
          <t>Consumidor final</t>
        </is>
      </c>
      <c r="P391" t="inlineStr">
        <is>
          <t>LAC-001</t>
        </is>
      </c>
      <c r="Q391" t="inlineStr">
        <is>
          <t>Quesillo 1lb</t>
        </is>
      </c>
      <c r="R391" t="inlineStr">
        <is>
          <t>LACTEOS</t>
        </is>
      </c>
      <c r="S391" t="inlineStr">
        <is>
          <t>Lácteos Chalate</t>
        </is>
      </c>
      <c r="T391" t="inlineStr">
        <is>
          <t>2335-1020</t>
        </is>
      </c>
      <c r="U391" t="inlineStr">
        <is>
          <t>$3.80</t>
        </is>
      </c>
      <c r="V391" t="n">
        <v>1</v>
      </c>
      <c r="W391" t="n">
        <v>0</v>
      </c>
      <c r="X391">
        <f>IFERROR(U391*V391*(1-W391/100),"")</f>
        <v/>
      </c>
      <c r="Y391">
        <f>IFERROR(ROUND(X391*0.13,2),"")</f>
        <v/>
      </c>
      <c r="Z391">
        <f>IFERROR(X391+Y391,"")</f>
        <v/>
      </c>
      <c r="AA391" t="inlineStr">
        <is>
          <t>Tarjeta</t>
        </is>
      </c>
      <c r="AB391" t="inlineStr"/>
    </row>
    <row r="392">
      <c r="A392" t="inlineStr">
        <is>
          <t>F-10773</t>
        </is>
      </c>
      <c r="B392" s="3" t="n">
        <v>46267</v>
      </c>
      <c r="C392" t="inlineStr">
        <is>
          <t>factura</t>
        </is>
      </c>
      <c r="D392" t="inlineStr">
        <is>
          <t>SS03</t>
        </is>
      </c>
      <c r="E392" t="inlineStr">
        <is>
          <t>soyapango</t>
        </is>
      </c>
      <c r="F392" t="inlineStr">
        <is>
          <t>Blvd. del Ejército km 4</t>
        </is>
      </c>
      <c r="G392" t="inlineStr">
        <is>
          <t>Soyapango</t>
        </is>
      </c>
      <c r="H392" t="inlineStr">
        <is>
          <t>San Salvador</t>
        </is>
      </c>
      <c r="I392" t="inlineStr">
        <is>
          <t>Karla Henríquez</t>
        </is>
      </c>
      <c r="J392" t="inlineStr">
        <is>
          <t>2277-3402</t>
        </is>
      </c>
      <c r="K392" t="inlineStr">
        <is>
          <t>Carlos Molina</t>
        </is>
      </c>
      <c r="L392" t="inlineStr">
        <is>
          <t>Edwin Castillo Romero</t>
        </is>
      </c>
      <c r="M392" t="inlineStr">
        <is>
          <t>07552102-5</t>
        </is>
      </c>
      <c r="N392" t="inlineStr">
        <is>
          <t>2609-8644</t>
        </is>
      </c>
      <c r="O392" t="inlineStr">
        <is>
          <t>Consumidor final</t>
        </is>
      </c>
      <c r="P392" t="inlineStr">
        <is>
          <t>BEB-001</t>
        </is>
      </c>
      <c r="Q392" t="inlineStr">
        <is>
          <t>Gaseosa 2.5L</t>
        </is>
      </c>
      <c r="R392" t="inlineStr">
        <is>
          <t>bebidas</t>
        </is>
      </c>
      <c r="S392" t="inlineStr">
        <is>
          <t>Bebidas Izalco</t>
        </is>
      </c>
      <c r="T392" t="inlineStr">
        <is>
          <t>2450-7700</t>
        </is>
      </c>
      <c r="U392" t="n">
        <v>1.95</v>
      </c>
      <c r="V392" t="n">
        <v>1</v>
      </c>
      <c r="W392" t="n">
        <v>0</v>
      </c>
      <c r="X392">
        <f>IFERROR(U392*V392*(1-W392/100),"")</f>
        <v/>
      </c>
      <c r="Y392">
        <f>IFERROR(ROUND(X392*0.13,2),"")</f>
        <v/>
      </c>
      <c r="Z392">
        <f>IFERROR(X392+Y392,"")</f>
        <v/>
      </c>
      <c r="AA392" t="inlineStr">
        <is>
          <t>Tarjeta</t>
        </is>
      </c>
      <c r="AB392" t="inlineStr"/>
    </row>
    <row r="393">
      <c r="A393" t="inlineStr">
        <is>
          <t>F-10773</t>
        </is>
      </c>
      <c r="B393" s="4" t="n">
        <v>46267</v>
      </c>
      <c r="C393" t="inlineStr">
        <is>
          <t>factura</t>
        </is>
      </c>
      <c r="D393" t="inlineStr">
        <is>
          <t>SS03</t>
        </is>
      </c>
      <c r="E393" t="inlineStr">
        <is>
          <t>soyapango</t>
        </is>
      </c>
      <c r="F393" t="inlineStr">
        <is>
          <t>Blvd. del Ejército km 4</t>
        </is>
      </c>
      <c r="G393" t="inlineStr">
        <is>
          <t>Soyapango</t>
        </is>
      </c>
      <c r="H393" t="inlineStr">
        <is>
          <t>San Salvador</t>
        </is>
      </c>
      <c r="I393" t="inlineStr">
        <is>
          <t>Karla Henríquez</t>
        </is>
      </c>
      <c r="J393" t="inlineStr">
        <is>
          <t>2277-3402</t>
        </is>
      </c>
      <c r="K393" t="inlineStr">
        <is>
          <t>Carlos Molina</t>
        </is>
      </c>
      <c r="L393" t="inlineStr">
        <is>
          <t>Edwin Castillo Romero</t>
        </is>
      </c>
      <c r="M393" t="inlineStr">
        <is>
          <t>07552102-5</t>
        </is>
      </c>
      <c r="N393" t="inlineStr">
        <is>
          <t>2609-8644</t>
        </is>
      </c>
      <c r="O393" t="inlineStr">
        <is>
          <t>Consumidor final</t>
        </is>
      </c>
      <c r="P393" t="inlineStr">
        <is>
          <t>BEB-001</t>
        </is>
      </c>
      <c r="Q393" t="inlineStr">
        <is>
          <t>Gaseosa 2.5L</t>
        </is>
      </c>
      <c r="R393" t="inlineStr">
        <is>
          <t>bebidas</t>
        </is>
      </c>
      <c r="S393" t="inlineStr">
        <is>
          <t>Bebidas Izalco</t>
        </is>
      </c>
      <c r="T393" t="inlineStr">
        <is>
          <t>2450-7700</t>
        </is>
      </c>
      <c r="U393" t="n">
        <v>1.95</v>
      </c>
      <c r="V393" t="n">
        <v>1</v>
      </c>
      <c r="W393" t="n">
        <v>0</v>
      </c>
      <c r="X393">
        <f>IFERROR(U393*V393*(1-W393/100),"")</f>
        <v/>
      </c>
      <c r="Y393">
        <f>IFERROR(ROUND(X393*0.13,2),"")</f>
        <v/>
      </c>
      <c r="Z393">
        <f>IFERROR(X393+Y393,"")</f>
        <v/>
      </c>
      <c r="AA393" t="inlineStr">
        <is>
          <t>Tarjeta</t>
        </is>
      </c>
      <c r="AB393" t="inlineStr"/>
    </row>
    <row r="394">
      <c r="A394" t="inlineStr">
        <is>
          <t>F-10773</t>
        </is>
      </c>
      <c r="B394" s="3" t="n">
        <v>46267</v>
      </c>
      <c r="C394" t="inlineStr">
        <is>
          <t>factura</t>
        </is>
      </c>
      <c r="D394" t="inlineStr">
        <is>
          <t>SS03</t>
        </is>
      </c>
      <c r="E394" t="inlineStr">
        <is>
          <t>Soyapango</t>
        </is>
      </c>
      <c r="F394" t="inlineStr">
        <is>
          <t>Blvd. del Ejército km 4</t>
        </is>
      </c>
      <c r="G394" t="inlineStr">
        <is>
          <t>Soyapango</t>
        </is>
      </c>
      <c r="H394" t="inlineStr">
        <is>
          <t>San Salvador</t>
        </is>
      </c>
      <c r="I394" t="inlineStr">
        <is>
          <t>Karla Henríquez</t>
        </is>
      </c>
      <c r="J394" t="inlineStr">
        <is>
          <t>2277-3402</t>
        </is>
      </c>
      <c r="K394" t="inlineStr">
        <is>
          <t>Carlos Molina</t>
        </is>
      </c>
      <c r="L394" t="inlineStr">
        <is>
          <t>Edwin Castillo Romero</t>
        </is>
      </c>
      <c r="M394" t="inlineStr">
        <is>
          <t>07552102-5</t>
        </is>
      </c>
      <c r="N394" t="inlineStr">
        <is>
          <t>2609-8644</t>
        </is>
      </c>
      <c r="O394" t="inlineStr">
        <is>
          <t>Consumidor final</t>
        </is>
      </c>
      <c r="P394" t="inlineStr">
        <is>
          <t>BEB-002</t>
        </is>
      </c>
      <c r="Q394" t="inlineStr">
        <is>
          <t>Agua purificada 1 galón</t>
        </is>
      </c>
      <c r="R394" t="inlineStr">
        <is>
          <t>Bebidas</t>
        </is>
      </c>
      <c r="S394" t="inlineStr">
        <is>
          <t>Bebidas Izalco</t>
        </is>
      </c>
      <c r="T394" t="inlineStr">
        <is>
          <t>2450-7700</t>
        </is>
      </c>
      <c r="U394" t="n">
        <v>1.1</v>
      </c>
      <c r="V394" t="n">
        <v>1</v>
      </c>
      <c r="W394" t="n">
        <v>0</v>
      </c>
      <c r="X394">
        <f>IFERROR(U394*V394*(1-W394/100),"")</f>
        <v/>
      </c>
      <c r="Y394">
        <f>IFERROR(ROUND(X394*0.13,2),"")</f>
        <v/>
      </c>
      <c r="Z394">
        <f>IFERROR(X394+Y394,"")</f>
        <v/>
      </c>
      <c r="AA394" t="inlineStr">
        <is>
          <t>Tarjeta</t>
        </is>
      </c>
      <c r="AB394" t="inlineStr">
        <is>
          <t>precio especial autorizado por gerente</t>
        </is>
      </c>
    </row>
    <row r="395">
      <c r="A395" t="inlineStr">
        <is>
          <t>F-10773</t>
        </is>
      </c>
      <c r="B395" t="inlineStr">
        <is>
          <t>2026-09-02</t>
        </is>
      </c>
      <c r="C395" t="inlineStr">
        <is>
          <t>factura</t>
        </is>
      </c>
      <c r="D395" t="inlineStr">
        <is>
          <t>SS03</t>
        </is>
      </c>
      <c r="E395" t="inlineStr">
        <is>
          <t xml:space="preserve">SOYAPANGO </t>
        </is>
      </c>
      <c r="F395" t="inlineStr">
        <is>
          <t>Blvd. del Ejército km 4</t>
        </is>
      </c>
      <c r="G395" t="inlineStr">
        <is>
          <t>Soyapango</t>
        </is>
      </c>
      <c r="H395" t="inlineStr">
        <is>
          <t>San Salvador</t>
        </is>
      </c>
      <c r="I395" t="inlineStr">
        <is>
          <t>Karla Henríquez</t>
        </is>
      </c>
      <c r="J395" t="inlineStr">
        <is>
          <t>2277-3402</t>
        </is>
      </c>
      <c r="K395" t="inlineStr">
        <is>
          <t>Carlos Molina</t>
        </is>
      </c>
      <c r="L395" t="inlineStr">
        <is>
          <t>Edwin Castillo Romero</t>
        </is>
      </c>
      <c r="M395" t="inlineStr">
        <is>
          <t>07552102-5</t>
        </is>
      </c>
      <c r="N395" t="inlineStr">
        <is>
          <t>2609-8644</t>
        </is>
      </c>
      <c r="O395" t="inlineStr">
        <is>
          <t>Consumidor final</t>
        </is>
      </c>
      <c r="P395" t="inlineStr">
        <is>
          <t>FRI-001</t>
        </is>
      </c>
      <c r="Q395" t="inlineStr">
        <is>
          <t>Frijol rojo de seda 2lb</t>
        </is>
      </c>
      <c r="R395" t="inlineStr">
        <is>
          <t>Abarrotes</t>
        </is>
      </c>
      <c r="S395" t="inlineStr">
        <is>
          <t>Granos del Pacífico</t>
        </is>
      </c>
      <c r="T395" t="inlineStr">
        <is>
          <t>2234-8890</t>
        </is>
      </c>
      <c r="U395" t="n">
        <v>2.4</v>
      </c>
      <c r="V395" t="n">
        <v>2</v>
      </c>
      <c r="W395" t="n">
        <v>0</v>
      </c>
      <c r="X395">
        <f>IFERROR(U395*V395*(1-W395/100),"")</f>
        <v/>
      </c>
      <c r="Y395">
        <f>IFERROR(ROUND(X395*0.13,2),"")</f>
        <v/>
      </c>
      <c r="Z395">
        <f>IFERROR(X395+Y395,"")</f>
        <v/>
      </c>
      <c r="AA395" t="inlineStr">
        <is>
          <t>Tarjeta</t>
        </is>
      </c>
      <c r="AB395" t="inlineStr">
        <is>
          <t>precio especial autorizado por gerente</t>
        </is>
      </c>
    </row>
    <row r="396">
      <c r="A396" t="inlineStr">
        <is>
          <t>F-10775</t>
        </is>
      </c>
      <c r="B396" s="3" t="n">
        <v>46208</v>
      </c>
      <c r="C396" t="inlineStr">
        <is>
          <t>Factura</t>
        </is>
      </c>
      <c r="D396" t="inlineStr">
        <is>
          <t>SA01</t>
        </is>
      </c>
      <c r="E396" t="inlineStr">
        <is>
          <t>Santa  Ana</t>
        </is>
      </c>
      <c r="F396" t="inlineStr">
        <is>
          <t>Av. Independencia Sur #12</t>
        </is>
      </c>
      <c r="G396" t="inlineStr">
        <is>
          <t>Santa Ana</t>
        </is>
      </c>
      <c r="H396" t="inlineStr">
        <is>
          <t>Santa Ana</t>
        </is>
      </c>
      <c r="I396" t="inlineStr">
        <is>
          <t>Mauricio Linares</t>
        </is>
      </c>
      <c r="J396" t="inlineStr">
        <is>
          <t>2440-9921</t>
        </is>
      </c>
      <c r="K396" t="inlineStr">
        <is>
          <t>Diego Zelaya</t>
        </is>
      </c>
      <c r="L396" t="inlineStr">
        <is>
          <t>Brenda Castillo Sorto</t>
        </is>
      </c>
      <c r="M396" t="inlineStr">
        <is>
          <t>09144591-2</t>
        </is>
      </c>
      <c r="N396" t="inlineStr">
        <is>
          <t>2460-3568</t>
        </is>
      </c>
      <c r="O396" t="inlineStr">
        <is>
          <t>Consumidor final</t>
        </is>
      </c>
      <c r="P396" t="inlineStr">
        <is>
          <t>FRI-001</t>
        </is>
      </c>
      <c r="Q396" t="inlineStr">
        <is>
          <t>Frijol rojo de seda 2lb</t>
        </is>
      </c>
      <c r="R396" t="inlineStr">
        <is>
          <t>Abarrotes</t>
        </is>
      </c>
      <c r="S396" t="inlineStr">
        <is>
          <t>Granos del Pacífico</t>
        </is>
      </c>
      <c r="T396" t="inlineStr">
        <is>
          <t>2234-8890</t>
        </is>
      </c>
      <c r="U396" t="n">
        <v>2.4</v>
      </c>
      <c r="V396" t="n">
        <v>1</v>
      </c>
      <c r="W396" t="n">
        <v>0</v>
      </c>
      <c r="X396">
        <f>IFERROR(U396*V396*(1-W396/100),"")</f>
        <v/>
      </c>
      <c r="Y396">
        <f>IFERROR(ROUND(X396*0.13,2),"")</f>
        <v/>
      </c>
      <c r="Z396">
        <f>IFERROR(X396+Y396,"")</f>
        <v/>
      </c>
      <c r="AA396" t="inlineStr">
        <is>
          <t>Chivo</t>
        </is>
      </c>
      <c r="AB396" t="inlineStr">
        <is>
          <t>precio especial autorizado por gerente</t>
        </is>
      </c>
    </row>
    <row r="397">
      <c r="A397" t="inlineStr">
        <is>
          <t>F-10777</t>
        </is>
      </c>
      <c r="B397" s="3" t="n">
        <v>46251</v>
      </c>
      <c r="C397" t="inlineStr">
        <is>
          <t>factura</t>
        </is>
      </c>
      <c r="D397" t="inlineStr">
        <is>
          <t>SA01</t>
        </is>
      </c>
      <c r="E397" t="inlineStr">
        <is>
          <t>Santa  Ana</t>
        </is>
      </c>
      <c r="F397" t="inlineStr">
        <is>
          <t>Av. Independencia Sur #12</t>
        </is>
      </c>
      <c r="G397" t="inlineStr">
        <is>
          <t>Santa Ana</t>
        </is>
      </c>
      <c r="H397" t="inlineStr">
        <is>
          <t>Santa Ana</t>
        </is>
      </c>
      <c r="I397" t="inlineStr">
        <is>
          <t>Mauricio Linares</t>
        </is>
      </c>
      <c r="J397" t="inlineStr">
        <is>
          <t>2440-9921</t>
        </is>
      </c>
      <c r="K397" t="inlineStr">
        <is>
          <t>Diego Zelaya</t>
        </is>
      </c>
      <c r="L397" t="inlineStr">
        <is>
          <t>Carlos Mejía García</t>
        </is>
      </c>
      <c r="M397" t="inlineStr">
        <is>
          <t>07315753-2</t>
        </is>
      </c>
      <c r="N397" t="inlineStr">
        <is>
          <t>2800-1990</t>
        </is>
      </c>
      <c r="O397" t="inlineStr">
        <is>
          <t>Consumidor final</t>
        </is>
      </c>
      <c r="P397" t="inlineStr">
        <is>
          <t>BEB-003</t>
        </is>
      </c>
      <c r="Q397" t="inlineStr">
        <is>
          <t>Horchata en polvo 400g</t>
        </is>
      </c>
      <c r="R397" t="inlineStr">
        <is>
          <t>Bebidas</t>
        </is>
      </c>
      <c r="S397" t="inlineStr">
        <is>
          <t>Bebidas Izalco</t>
        </is>
      </c>
      <c r="T397" t="inlineStr">
        <is>
          <t>2450-7700</t>
        </is>
      </c>
      <c r="U397" t="inlineStr">
        <is>
          <t>$2.60</t>
        </is>
      </c>
      <c r="V397" t="n">
        <v>6</v>
      </c>
      <c r="W397" t="n">
        <v>0</v>
      </c>
      <c r="X397">
        <f>IFERROR(U397*V397*(1-W397/100),"")</f>
        <v/>
      </c>
      <c r="Y397">
        <f>IFERROR(ROUND(X397*0.13,2),"")</f>
        <v/>
      </c>
      <c r="Z397">
        <f>IFERROR(X397+Y397,"")</f>
        <v/>
      </c>
      <c r="AA397" t="inlineStr">
        <is>
          <t>Bitcoin</t>
        </is>
      </c>
      <c r="AB397" t="inlineStr">
        <is>
          <t>entregar en bodega</t>
        </is>
      </c>
    </row>
    <row r="398">
      <c r="A398" t="inlineStr">
        <is>
          <t>F-10777</t>
        </is>
      </c>
      <c r="B398" s="3" t="n">
        <v>46251</v>
      </c>
      <c r="C398" t="inlineStr">
        <is>
          <t>factura</t>
        </is>
      </c>
      <c r="D398" t="inlineStr">
        <is>
          <t>SA01</t>
        </is>
      </c>
      <c r="E398" t="inlineStr">
        <is>
          <t>STA ANA</t>
        </is>
      </c>
      <c r="F398" t="inlineStr">
        <is>
          <t>Av. Independencia Sur #12</t>
        </is>
      </c>
      <c r="G398" t="inlineStr">
        <is>
          <t>Santa Ana</t>
        </is>
      </c>
      <c r="H398" t="inlineStr">
        <is>
          <t>Santa Ana</t>
        </is>
      </c>
      <c r="I398" t="inlineStr">
        <is>
          <t>Mauricio Linares</t>
        </is>
      </c>
      <c r="J398" t="inlineStr">
        <is>
          <t>2440-9921</t>
        </is>
      </c>
      <c r="K398" t="inlineStr">
        <is>
          <t>Diego Zelaya</t>
        </is>
      </c>
      <c r="L398" t="inlineStr">
        <is>
          <t>Carlos Mejía García</t>
        </is>
      </c>
      <c r="M398" t="inlineStr">
        <is>
          <t>07315753-2</t>
        </is>
      </c>
      <c r="N398" t="inlineStr">
        <is>
          <t>2800-1990</t>
        </is>
      </c>
      <c r="O398" t="inlineStr">
        <is>
          <t>Consumidor final</t>
        </is>
      </c>
      <c r="P398" t="inlineStr">
        <is>
          <t>BEB-001</t>
        </is>
      </c>
      <c r="Q398" t="inlineStr">
        <is>
          <t>Gaseosa 2.5L</t>
        </is>
      </c>
      <c r="R398" t="inlineStr">
        <is>
          <t>bebidas</t>
        </is>
      </c>
      <c r="S398" t="inlineStr">
        <is>
          <t>Bebidas Izalco</t>
        </is>
      </c>
      <c r="T398" t="inlineStr">
        <is>
          <t>2450-7700</t>
        </is>
      </c>
      <c r="U398" t="n">
        <v>1.95</v>
      </c>
      <c r="V398" t="n">
        <v>6</v>
      </c>
      <c r="W398" t="n">
        <v>0</v>
      </c>
      <c r="X398">
        <f>IFERROR(U398*V398*(1-W398/100),"")</f>
        <v/>
      </c>
      <c r="Y398">
        <f>IFERROR(ROUND(X398*0.13,2),"")</f>
        <v/>
      </c>
      <c r="Z398">
        <f>IFERROR(X398+Y398,"")</f>
        <v/>
      </c>
      <c r="AA398" t="inlineStr">
        <is>
          <t>Bitcoin</t>
        </is>
      </c>
      <c r="AB398" t="inlineStr">
        <is>
          <t>Cliente frecuente</t>
        </is>
      </c>
    </row>
    <row r="399">
      <c r="A399" t="inlineStr">
        <is>
          <t>F-10777</t>
        </is>
      </c>
      <c r="B399" s="3" t="n">
        <v>46251</v>
      </c>
      <c r="C399" t="inlineStr">
        <is>
          <t>factura</t>
        </is>
      </c>
      <c r="D399" t="inlineStr">
        <is>
          <t>SA01</t>
        </is>
      </c>
      <c r="E399" t="inlineStr">
        <is>
          <t>STA ANA</t>
        </is>
      </c>
      <c r="F399" t="inlineStr">
        <is>
          <t>Av. Independencia Sur #12</t>
        </is>
      </c>
      <c r="G399" t="inlineStr">
        <is>
          <t>Santa Ana</t>
        </is>
      </c>
      <c r="H399" t="inlineStr">
        <is>
          <t>Santa Ana</t>
        </is>
      </c>
      <c r="I399" t="inlineStr">
        <is>
          <t>Mauricio Linares</t>
        </is>
      </c>
      <c r="J399" t="inlineStr">
        <is>
          <t>2440-9921</t>
        </is>
      </c>
      <c r="K399" t="inlineStr">
        <is>
          <t>Diego Zelaya</t>
        </is>
      </c>
      <c r="L399" t="inlineStr">
        <is>
          <t>Carlos Mejía García</t>
        </is>
      </c>
      <c r="M399" t="inlineStr">
        <is>
          <t>07315753-2</t>
        </is>
      </c>
      <c r="N399" t="inlineStr">
        <is>
          <t>2800-1990</t>
        </is>
      </c>
      <c r="O399" t="inlineStr">
        <is>
          <t>Consumidor final</t>
        </is>
      </c>
      <c r="P399" t="inlineStr">
        <is>
          <t>BEB-002</t>
        </is>
      </c>
      <c r="Q399" t="inlineStr">
        <is>
          <t>Agua purificada 1 galón</t>
        </is>
      </c>
      <c r="R399" t="inlineStr">
        <is>
          <t>Bebidas</t>
        </is>
      </c>
      <c r="S399" t="inlineStr">
        <is>
          <t>Bebidas Izalco</t>
        </is>
      </c>
      <c r="T399" t="inlineStr">
        <is>
          <t>2450-7700</t>
        </is>
      </c>
      <c r="U399" t="n">
        <v>1.1</v>
      </c>
      <c r="V399" t="n">
        <v>6</v>
      </c>
      <c r="W399" t="n">
        <v>0</v>
      </c>
      <c r="X399">
        <f>IFERROR(U399*V399*(1-W399/100),"")</f>
        <v/>
      </c>
      <c r="Y399">
        <f>IFERROR(ROUND(X399*0.13,2),"")</f>
        <v/>
      </c>
      <c r="Z399">
        <f>IFERROR(X399+Y399,"")</f>
        <v/>
      </c>
      <c r="AA399" t="inlineStr">
        <is>
          <t>Bitcoin</t>
        </is>
      </c>
      <c r="AB399" t="inlineStr">
        <is>
          <t>entregar en bodega</t>
        </is>
      </c>
    </row>
    <row r="400">
      <c r="A400" t="inlineStr">
        <is>
          <t>F-10777</t>
        </is>
      </c>
      <c r="B400" s="3" t="n">
        <v>46251</v>
      </c>
      <c r="C400" t="inlineStr">
        <is>
          <t>factura</t>
        </is>
      </c>
      <c r="D400" t="inlineStr">
        <is>
          <t>SA01</t>
        </is>
      </c>
      <c r="E400" t="inlineStr">
        <is>
          <t>Santa Ana</t>
        </is>
      </c>
      <c r="F400" t="inlineStr">
        <is>
          <t>Av. Independencia Sur #12</t>
        </is>
      </c>
      <c r="G400" t="inlineStr">
        <is>
          <t>Santa Ana</t>
        </is>
      </c>
      <c r="H400" t="inlineStr">
        <is>
          <t>Santa Ana</t>
        </is>
      </c>
      <c r="I400" t="inlineStr">
        <is>
          <t>Mauricio Linares</t>
        </is>
      </c>
      <c r="J400" t="inlineStr">
        <is>
          <t>2440-9921</t>
        </is>
      </c>
      <c r="K400" t="inlineStr">
        <is>
          <t>Diego Zelaya</t>
        </is>
      </c>
      <c r="L400" t="inlineStr">
        <is>
          <t>Carlos Mejía García</t>
        </is>
      </c>
      <c r="M400" t="inlineStr">
        <is>
          <t>07315753-2</t>
        </is>
      </c>
      <c r="N400" t="inlineStr">
        <is>
          <t>2800-1990</t>
        </is>
      </c>
      <c r="O400" t="inlineStr">
        <is>
          <t>Consumidor final</t>
        </is>
      </c>
      <c r="P400" t="inlineStr">
        <is>
          <t>PAN-003</t>
        </is>
      </c>
      <c r="Q400" t="inlineStr">
        <is>
          <t>Quesadilla salvadoreña</t>
        </is>
      </c>
      <c r="R400" t="inlineStr">
        <is>
          <t>PANADERIA</t>
        </is>
      </c>
      <c r="S400" t="inlineStr">
        <is>
          <t>Panificadora Ilopango</t>
        </is>
      </c>
      <c r="T400" t="inlineStr">
        <is>
          <t>2295-0081</t>
        </is>
      </c>
      <c r="U400" t="n">
        <v>2.5</v>
      </c>
      <c r="V400" t="n">
        <v>12</v>
      </c>
      <c r="W400" t="n">
        <v>0</v>
      </c>
      <c r="X400">
        <f>IFERROR(U400*V400*(1-W400/100),"")</f>
        <v/>
      </c>
      <c r="Y400">
        <f>IFERROR(ROUND(X400*0.13,2),"")</f>
        <v/>
      </c>
      <c r="Z400">
        <f>IFERROR(X400+Y400,"")</f>
        <v/>
      </c>
      <c r="AA400" t="inlineStr">
        <is>
          <t>Bitcoin</t>
        </is>
      </c>
      <c r="AB400" t="inlineStr"/>
    </row>
    <row r="401">
      <c r="A401" t="inlineStr">
        <is>
          <t>F-10778</t>
        </is>
      </c>
      <c r="B401" s="3" t="n">
        <v>46207</v>
      </c>
      <c r="C401" t="inlineStr">
        <is>
          <t>FCF</t>
        </is>
      </c>
      <c r="D401" t="inlineStr">
        <is>
          <t>LL01</t>
        </is>
      </c>
      <c r="E401" t="inlineStr">
        <is>
          <t>Sta. Tecla</t>
        </is>
      </c>
      <c r="F401" t="inlineStr">
        <is>
          <t>Calle Daniel Hernández #18</t>
        </is>
      </c>
      <c r="G401" t="inlineStr">
        <is>
          <t>Santa Tecla</t>
        </is>
      </c>
      <c r="H401" t="inlineStr">
        <is>
          <t>La Libertad</t>
        </is>
      </c>
      <c r="I401" t="inlineStr">
        <is>
          <t>Óscar Rivas</t>
        </is>
      </c>
      <c r="J401" t="inlineStr">
        <is>
          <t>2228-7731</t>
        </is>
      </c>
      <c r="K401" t="inlineStr">
        <is>
          <t>Luis Escobar</t>
        </is>
      </c>
      <c r="L401" t="inlineStr">
        <is>
          <t>René Cornejo Cornejo</t>
        </is>
      </c>
      <c r="M401" t="inlineStr">
        <is>
          <t>03632979-1</t>
        </is>
      </c>
      <c r="N401" t="inlineStr">
        <is>
          <t>7833-5595</t>
        </is>
      </c>
      <c r="O401" t="inlineStr">
        <is>
          <t>Consumidor final</t>
        </is>
      </c>
      <c r="P401" t="inlineStr">
        <is>
          <t>PAN-003</t>
        </is>
      </c>
      <c r="Q401" t="inlineStr">
        <is>
          <t>Quesadilla salvadoreña</t>
        </is>
      </c>
      <c r="R401" t="inlineStr">
        <is>
          <t>Panadería</t>
        </is>
      </c>
      <c r="S401" t="inlineStr">
        <is>
          <t>Panificadora Ilopango</t>
        </is>
      </c>
      <c r="T401" t="inlineStr">
        <is>
          <t>2295-0081</t>
        </is>
      </c>
      <c r="U401" t="n">
        <v>2.5</v>
      </c>
      <c r="V401" t="n">
        <v>2</v>
      </c>
      <c r="W401" t="n">
        <v>0</v>
      </c>
      <c r="X401">
        <f>IFERROR(U401*V401*(1-W401/100),"")</f>
        <v/>
      </c>
      <c r="Y401">
        <f>IFERROR(ROUND(X401*0.13,2),"")</f>
        <v/>
      </c>
      <c r="Z401">
        <f>IFERROR(X401+Y401,"")</f>
        <v/>
      </c>
      <c r="AA401" t="inlineStr">
        <is>
          <t>Efectivo</t>
        </is>
      </c>
      <c r="AB401" t="inlineStr"/>
    </row>
    <row r="402">
      <c r="A402" t="inlineStr">
        <is>
          <t>F-10778</t>
        </is>
      </c>
      <c r="B402" s="3" t="n">
        <v>46207</v>
      </c>
      <c r="C402" t="inlineStr">
        <is>
          <t>FCF</t>
        </is>
      </c>
      <c r="D402" t="inlineStr">
        <is>
          <t>LL01</t>
        </is>
      </c>
      <c r="E402" t="inlineStr">
        <is>
          <t>Sta. Tecla</t>
        </is>
      </c>
      <c r="F402" t="inlineStr">
        <is>
          <t>Calle Daniel Hernández #18</t>
        </is>
      </c>
      <c r="G402" t="inlineStr">
        <is>
          <t>Santa Tecla</t>
        </is>
      </c>
      <c r="H402" t="inlineStr">
        <is>
          <t>La Libertad</t>
        </is>
      </c>
      <c r="I402" t="inlineStr">
        <is>
          <t>Óscar Rivas</t>
        </is>
      </c>
      <c r="J402" t="inlineStr">
        <is>
          <t>2228-7731</t>
        </is>
      </c>
      <c r="K402" t="inlineStr">
        <is>
          <t>Luis Escobar</t>
        </is>
      </c>
      <c r="L402" t="inlineStr">
        <is>
          <t>René Cornejo Cornejo</t>
        </is>
      </c>
      <c r="M402" t="inlineStr">
        <is>
          <t>03632979-1</t>
        </is>
      </c>
      <c r="N402" t="inlineStr">
        <is>
          <t>7833-5595</t>
        </is>
      </c>
      <c r="O402" t="inlineStr">
        <is>
          <t>Consumidor final</t>
        </is>
      </c>
      <c r="P402" t="inlineStr">
        <is>
          <t>ARR-001</t>
        </is>
      </c>
      <c r="Q402" t="inlineStr">
        <is>
          <t>Arroz blanco 5lb</t>
        </is>
      </c>
      <c r="R402" t="inlineStr">
        <is>
          <t>Granos básicos</t>
        </is>
      </c>
      <c r="S402" t="inlineStr">
        <is>
          <t>Granos del Pacífico</t>
        </is>
      </c>
      <c r="T402" t="inlineStr">
        <is>
          <t>2234-8890</t>
        </is>
      </c>
      <c r="U402" t="n">
        <v>3.95</v>
      </c>
      <c r="V402" t="n">
        <v>24</v>
      </c>
      <c r="W402" t="n">
        <v>0</v>
      </c>
      <c r="X402">
        <f>IFERROR(U402*V402*(1-W402/100),"")</f>
        <v/>
      </c>
      <c r="Y402">
        <f>IFERROR(ROUND(X402*0.13,2),"")</f>
        <v/>
      </c>
      <c r="Z402">
        <f>IFERROR(X402+Y402,"")</f>
        <v/>
      </c>
      <c r="AA402" t="inlineStr">
        <is>
          <t>Efectivo</t>
        </is>
      </c>
      <c r="AB402" t="inlineStr"/>
    </row>
    <row r="403">
      <c r="A403" t="inlineStr">
        <is>
          <t>F-10778</t>
        </is>
      </c>
      <c r="B403" s="3" t="n">
        <v>46207</v>
      </c>
      <c r="C403" t="inlineStr">
        <is>
          <t>FCF</t>
        </is>
      </c>
      <c r="D403" t="inlineStr">
        <is>
          <t>LL01</t>
        </is>
      </c>
      <c r="E403" t="inlineStr">
        <is>
          <t>Sta. Tecla</t>
        </is>
      </c>
      <c r="F403" t="inlineStr">
        <is>
          <t>Calle Daniel Hernández #18</t>
        </is>
      </c>
      <c r="G403" t="inlineStr">
        <is>
          <t>Santa Tecla</t>
        </is>
      </c>
      <c r="H403" t="inlineStr">
        <is>
          <t>La Libertad</t>
        </is>
      </c>
      <c r="I403" t="inlineStr">
        <is>
          <t>Óscar Rivas</t>
        </is>
      </c>
      <c r="J403" t="inlineStr">
        <is>
          <t>2228-7731</t>
        </is>
      </c>
      <c r="K403" t="inlineStr">
        <is>
          <t>Luis Escobar</t>
        </is>
      </c>
      <c r="L403" t="inlineStr">
        <is>
          <t>René Cornejo Cornejo</t>
        </is>
      </c>
      <c r="M403" t="inlineStr">
        <is>
          <t>03632979-1</t>
        </is>
      </c>
      <c r="N403" t="inlineStr">
        <is>
          <t>7833-5595</t>
        </is>
      </c>
      <c r="O403" t="inlineStr">
        <is>
          <t>Consumidor final</t>
        </is>
      </c>
      <c r="P403" t="inlineStr">
        <is>
          <t>CAF-001</t>
        </is>
      </c>
      <c r="Q403" t="inlineStr">
        <is>
          <t>Café molido 400g</t>
        </is>
      </c>
      <c r="R403" t="inlineStr">
        <is>
          <t>ABARROTES</t>
        </is>
      </c>
      <c r="S403" t="inlineStr">
        <is>
          <t>Café Volcán S.A.</t>
        </is>
      </c>
      <c r="T403" t="inlineStr">
        <is>
          <t>2510-3344</t>
        </is>
      </c>
      <c r="U403" t="n">
        <v>4.25</v>
      </c>
      <c r="V403" t="n">
        <v>4</v>
      </c>
      <c r="W403" t="n">
        <v>0</v>
      </c>
      <c r="X403">
        <f>IFERROR(U403*V403*(1-W403/100),"")</f>
        <v/>
      </c>
      <c r="Y403">
        <f>IFERROR(ROUND(X403*0.13,2),"")</f>
        <v/>
      </c>
      <c r="Z403">
        <f>IFERROR(X403+Y403,"")</f>
        <v/>
      </c>
      <c r="AA403" t="inlineStr">
        <is>
          <t>Efectivo</t>
        </is>
      </c>
      <c r="AB403" t="inlineStr"/>
    </row>
    <row r="404">
      <c r="A404" t="inlineStr">
        <is>
          <t>F-10779</t>
        </is>
      </c>
      <c r="B404" s="3" t="n">
        <v>46230</v>
      </c>
      <c r="C404" t="inlineStr">
        <is>
          <t>Factura</t>
        </is>
      </c>
      <c r="D404" t="inlineStr">
        <is>
          <t>SM01</t>
        </is>
      </c>
      <c r="E404" t="inlineStr">
        <is>
          <t>S. Miguel</t>
        </is>
      </c>
      <c r="F404" t="inlineStr">
        <is>
          <t>Av. Roosevelt Sur #7</t>
        </is>
      </c>
      <c r="G404" t="inlineStr">
        <is>
          <t>San Miguel</t>
        </is>
      </c>
      <c r="H404" t="inlineStr">
        <is>
          <t>San Miguel</t>
        </is>
      </c>
      <c r="I404" t="inlineStr">
        <is>
          <t>Iris Portillo</t>
        </is>
      </c>
      <c r="J404" t="inlineStr">
        <is>
          <t>2661-5076</t>
        </is>
      </c>
      <c r="K404" t="inlineStr">
        <is>
          <t>Paola Cruz</t>
        </is>
      </c>
      <c r="L404" t="inlineStr">
        <is>
          <t>Ana Pérez Rivera</t>
        </is>
      </c>
      <c r="M404" t="inlineStr"/>
      <c r="N404" t="inlineStr">
        <is>
          <t>7205-8035</t>
        </is>
      </c>
      <c r="O404" t="inlineStr">
        <is>
          <t>Consumidor final</t>
        </is>
      </c>
      <c r="P404" t="inlineStr">
        <is>
          <t>PAN-003</t>
        </is>
      </c>
      <c r="Q404" t="inlineStr">
        <is>
          <t>Quesadilla salvadoreña</t>
        </is>
      </c>
      <c r="R404" t="inlineStr">
        <is>
          <t>PANADERIA</t>
        </is>
      </c>
      <c r="S404" t="inlineStr">
        <is>
          <t>Panificadora Ilopango</t>
        </is>
      </c>
      <c r="T404" t="inlineStr">
        <is>
          <t>2295-0081</t>
        </is>
      </c>
      <c r="U404" t="n">
        <v>2.5</v>
      </c>
      <c r="V404" t="n">
        <v>2</v>
      </c>
      <c r="W404" t="n">
        <v>0</v>
      </c>
      <c r="X404">
        <f>IFERROR(U404*V404*(1-W404/100),"")</f>
        <v/>
      </c>
      <c r="Y404">
        <f>IFERROR(ROUND(X404*0.13,2),"")</f>
        <v/>
      </c>
      <c r="Z404">
        <f>IFERROR(X404+Y404,"")</f>
        <v/>
      </c>
      <c r="AA404" t="inlineStr">
        <is>
          <t>Efectivo</t>
        </is>
      </c>
      <c r="AB404" t="inlineStr"/>
    </row>
    <row r="405">
      <c r="A405" t="inlineStr">
        <is>
          <t>F-10782</t>
        </is>
      </c>
      <c r="B405" s="3" t="n">
        <v>46229</v>
      </c>
      <c r="C405" t="inlineStr">
        <is>
          <t>CCF</t>
        </is>
      </c>
      <c r="D405" t="inlineStr">
        <is>
          <t>SO01</t>
        </is>
      </c>
      <c r="E405" t="inlineStr">
        <is>
          <t>SONSONATE</t>
        </is>
      </c>
      <c r="F405" t="inlineStr">
        <is>
          <t>Calle Obispo Marroquín #3</t>
        </is>
      </c>
      <c r="G405" t="inlineStr">
        <is>
          <t>Sonsonate</t>
        </is>
      </c>
      <c r="H405" t="inlineStr">
        <is>
          <t>Sonsonate</t>
        </is>
      </c>
      <c r="I405" t="inlineStr">
        <is>
          <t>Ernesto Chávez</t>
        </is>
      </c>
      <c r="J405" t="inlineStr">
        <is>
          <t>2451-2288</t>
        </is>
      </c>
      <c r="K405" t="inlineStr">
        <is>
          <t>Ricardo Funes</t>
        </is>
      </c>
      <c r="L405" t="inlineStr">
        <is>
          <t>Hotel Brisas del Mar</t>
        </is>
      </c>
      <c r="M405" t="inlineStr">
        <is>
          <t>280004-0</t>
        </is>
      </c>
      <c r="N405" t="inlineStr">
        <is>
          <t>2129-2911</t>
        </is>
      </c>
      <c r="O405" t="inlineStr">
        <is>
          <t>Contribuyente</t>
        </is>
      </c>
      <c r="P405" t="inlineStr">
        <is>
          <t>FRI-001</t>
        </is>
      </c>
      <c r="Q405" t="inlineStr">
        <is>
          <t>Frijol rojo de seda 2lb</t>
        </is>
      </c>
      <c r="R405" t="inlineStr">
        <is>
          <t>Granos básicos</t>
        </is>
      </c>
      <c r="S405" t="inlineStr">
        <is>
          <t>Granos del Pacífico</t>
        </is>
      </c>
      <c r="T405" t="inlineStr">
        <is>
          <t>2234-8890</t>
        </is>
      </c>
      <c r="U405" t="n">
        <v>2.4</v>
      </c>
      <c r="V405" t="n">
        <v>24</v>
      </c>
      <c r="W405" t="n">
        <v>0</v>
      </c>
      <c r="X405">
        <f>IFERROR(U405*V405*(1-W405/100),"")</f>
        <v/>
      </c>
      <c r="Y405">
        <f>IFERROR(ROUND(X405*0.13,2),"")</f>
        <v/>
      </c>
      <c r="Z405">
        <f>IFERROR(X405+Y405,"")</f>
        <v/>
      </c>
      <c r="AA405" t="inlineStr">
        <is>
          <t>Tarjeta</t>
        </is>
      </c>
      <c r="AB405" t="inlineStr"/>
    </row>
    <row r="406">
      <c r="A406" t="inlineStr">
        <is>
          <t>F-10782</t>
        </is>
      </c>
      <c r="B406" s="3" t="n">
        <v>46229</v>
      </c>
      <c r="C406" t="inlineStr">
        <is>
          <t>CCF</t>
        </is>
      </c>
      <c r="D406" t="inlineStr">
        <is>
          <t>SO01</t>
        </is>
      </c>
      <c r="E406" t="inlineStr">
        <is>
          <t>Sonsonate</t>
        </is>
      </c>
      <c r="F406" t="inlineStr">
        <is>
          <t>Calle Obispo Marroquín #3</t>
        </is>
      </c>
      <c r="G406" t="inlineStr">
        <is>
          <t>Sonsonate</t>
        </is>
      </c>
      <c r="H406" t="inlineStr">
        <is>
          <t>Sonsonate</t>
        </is>
      </c>
      <c r="I406" t="inlineStr">
        <is>
          <t>Ernesto Chávez</t>
        </is>
      </c>
      <c r="J406" t="inlineStr">
        <is>
          <t>2451-2288</t>
        </is>
      </c>
      <c r="K406" t="inlineStr">
        <is>
          <t>Ricardo Funes</t>
        </is>
      </c>
      <c r="L406" t="inlineStr">
        <is>
          <t>Hotel Brisas del Mar</t>
        </is>
      </c>
      <c r="M406" t="inlineStr">
        <is>
          <t>280004-0</t>
        </is>
      </c>
      <c r="N406" t="inlineStr">
        <is>
          <t>2129-2911</t>
        </is>
      </c>
      <c r="O406" t="inlineStr">
        <is>
          <t>Contribuyente</t>
        </is>
      </c>
      <c r="P406" t="inlineStr">
        <is>
          <t>CAF-001</t>
        </is>
      </c>
      <c r="Q406" t="inlineStr">
        <is>
          <t>Café molido 400g</t>
        </is>
      </c>
      <c r="R406" t="inlineStr">
        <is>
          <t>abarrotes</t>
        </is>
      </c>
      <c r="S406" t="inlineStr">
        <is>
          <t>Café Volcán S.A.</t>
        </is>
      </c>
      <c r="T406" t="inlineStr">
        <is>
          <t>2510-3344</t>
        </is>
      </c>
      <c r="U406" t="n">
        <v>4.25</v>
      </c>
      <c r="V406" t="n">
        <v>6</v>
      </c>
      <c r="W406" t="n">
        <v>0</v>
      </c>
      <c r="X406">
        <f>IFERROR(U406*V406*(1-W406/100),"")</f>
        <v/>
      </c>
      <c r="Y406">
        <f>IFERROR(ROUND(X406*0.13,2),"")</f>
        <v/>
      </c>
      <c r="Z406">
        <f>IFERROR(X406+Y406,"")</f>
        <v/>
      </c>
      <c r="AA406" t="inlineStr">
        <is>
          <t>Tarjeta</t>
        </is>
      </c>
      <c r="AB406" t="inlineStr"/>
    </row>
    <row r="407">
      <c r="A407" t="inlineStr">
        <is>
          <t>F-10782</t>
        </is>
      </c>
      <c r="B407" t="inlineStr">
        <is>
          <t>26/07/2026</t>
        </is>
      </c>
      <c r="C407" t="inlineStr">
        <is>
          <t>CCF</t>
        </is>
      </c>
      <c r="D407" t="inlineStr">
        <is>
          <t>SO01</t>
        </is>
      </c>
      <c r="E407" t="inlineStr">
        <is>
          <t>SONSONATE</t>
        </is>
      </c>
      <c r="F407" t="inlineStr">
        <is>
          <t>Calle Obispo Marroquín #3</t>
        </is>
      </c>
      <c r="G407" t="inlineStr">
        <is>
          <t>Sonsonate</t>
        </is>
      </c>
      <c r="H407" t="inlineStr">
        <is>
          <t>Sonsonate</t>
        </is>
      </c>
      <c r="I407" t="inlineStr">
        <is>
          <t>Ernesto Chávez</t>
        </is>
      </c>
      <c r="J407" t="inlineStr">
        <is>
          <t>2451-2288</t>
        </is>
      </c>
      <c r="K407" t="inlineStr">
        <is>
          <t>Ricardo Funes</t>
        </is>
      </c>
      <c r="L407" t="inlineStr">
        <is>
          <t>Hotel Brisas del Mar</t>
        </is>
      </c>
      <c r="M407" t="inlineStr">
        <is>
          <t>280004-0</t>
        </is>
      </c>
      <c r="N407" t="inlineStr">
        <is>
          <t>2129-2911</t>
        </is>
      </c>
      <c r="O407" t="inlineStr">
        <is>
          <t>Contribuyente</t>
        </is>
      </c>
      <c r="P407" t="inlineStr">
        <is>
          <t>PAN-003</t>
        </is>
      </c>
      <c r="Q407" t="inlineStr">
        <is>
          <t>Quesadilla salvadoreña</t>
        </is>
      </c>
      <c r="R407" t="inlineStr">
        <is>
          <t>Panadería</t>
        </is>
      </c>
      <c r="S407" t="inlineStr">
        <is>
          <t>Panificadora Ilopango</t>
        </is>
      </c>
      <c r="T407" t="inlineStr">
        <is>
          <t>2295-0081</t>
        </is>
      </c>
      <c r="U407" t="n">
        <v>2.5</v>
      </c>
      <c r="V407" t="n">
        <v>4</v>
      </c>
      <c r="W407" t="n">
        <v>10</v>
      </c>
      <c r="X407">
        <f>IFERROR(U407*V407*(1-W407/100),"")</f>
        <v/>
      </c>
      <c r="Y407">
        <f>IFERROR(ROUND(X407*0.13,2),"")</f>
        <v/>
      </c>
      <c r="Z407">
        <f>IFERROR(X407+Y407,"")</f>
        <v/>
      </c>
      <c r="AA407" t="inlineStr">
        <is>
          <t>Tarjeta</t>
        </is>
      </c>
      <c r="AB407" t="inlineStr"/>
    </row>
    <row r="408">
      <c r="A408" t="inlineStr">
        <is>
          <t>F-10782</t>
        </is>
      </c>
      <c r="B408" s="3" t="n">
        <v>46229</v>
      </c>
      <c r="C408" t="inlineStr">
        <is>
          <t>CCF</t>
        </is>
      </c>
      <c r="D408" t="inlineStr">
        <is>
          <t>SO01</t>
        </is>
      </c>
      <c r="E408" t="inlineStr">
        <is>
          <t>SONSONATE</t>
        </is>
      </c>
      <c r="F408" t="inlineStr">
        <is>
          <t>Calle Obispo Marroquín #3</t>
        </is>
      </c>
      <c r="G408" t="inlineStr">
        <is>
          <t>Sonsonate</t>
        </is>
      </c>
      <c r="H408" t="inlineStr">
        <is>
          <t>Sonsonate</t>
        </is>
      </c>
      <c r="I408" t="inlineStr">
        <is>
          <t>Ernesto Chávez</t>
        </is>
      </c>
      <c r="J408" t="inlineStr">
        <is>
          <t>2451-2288</t>
        </is>
      </c>
      <c r="K408" t="inlineStr">
        <is>
          <t>Ricardo Funes</t>
        </is>
      </c>
      <c r="L408" t="inlineStr">
        <is>
          <t>Hotel Brisas del Mar</t>
        </is>
      </c>
      <c r="M408" t="inlineStr">
        <is>
          <t>280004-0</t>
        </is>
      </c>
      <c r="N408" t="inlineStr">
        <is>
          <t>2129-2911</t>
        </is>
      </c>
      <c r="O408" t="inlineStr">
        <is>
          <t>Contribuyente</t>
        </is>
      </c>
      <c r="P408" t="inlineStr">
        <is>
          <t>PAN-002</t>
        </is>
      </c>
      <c r="Q408" t="inlineStr">
        <is>
          <t>Semita alta</t>
        </is>
      </c>
      <c r="R408" t="inlineStr">
        <is>
          <t>Panadería</t>
        </is>
      </c>
      <c r="S408" t="inlineStr">
        <is>
          <t>Panificadora Ilopango</t>
        </is>
      </c>
      <c r="T408" t="inlineStr">
        <is>
          <t>2295-0081</t>
        </is>
      </c>
      <c r="U408" t="inlineStr">
        <is>
          <t>$1.75</t>
        </is>
      </c>
      <c r="V408" t="n">
        <v>3</v>
      </c>
      <c r="W408" t="n">
        <v>0</v>
      </c>
      <c r="X408">
        <f>IFERROR(U408*V408*(1-W408/100),"")</f>
        <v/>
      </c>
      <c r="Y408">
        <f>IFERROR(ROUND(X408*0.13,2),"")</f>
        <v/>
      </c>
      <c r="Z408">
        <f>IFERROR(X408+Y408,"")</f>
        <v/>
      </c>
      <c r="AA408" t="inlineStr">
        <is>
          <t>Tarjeta</t>
        </is>
      </c>
      <c r="AB408" t="inlineStr">
        <is>
          <t>Cliente frecuente</t>
        </is>
      </c>
    </row>
    <row r="409">
      <c r="A409" t="inlineStr">
        <is>
          <t>F-10783</t>
        </is>
      </c>
      <c r="B409" t="inlineStr">
        <is>
          <t>12/09/2026</t>
        </is>
      </c>
      <c r="C409" t="inlineStr">
        <is>
          <t>Factura</t>
        </is>
      </c>
      <c r="D409" t="inlineStr">
        <is>
          <t>SA01</t>
        </is>
      </c>
      <c r="E409" t="inlineStr">
        <is>
          <t>STA ANA</t>
        </is>
      </c>
      <c r="F409" t="inlineStr">
        <is>
          <t>Av. Independencia Sur #12</t>
        </is>
      </c>
      <c r="G409" t="inlineStr">
        <is>
          <t>Santa Ana</t>
        </is>
      </c>
      <c r="H409" t="inlineStr">
        <is>
          <t>Santa Ana</t>
        </is>
      </c>
      <c r="I409" t="inlineStr">
        <is>
          <t>Verónica Sandoval</t>
        </is>
      </c>
      <c r="J409" t="inlineStr">
        <is>
          <t>2440-9921</t>
        </is>
      </c>
      <c r="K409" t="inlineStr">
        <is>
          <t>Sofía Cáceres</t>
        </is>
      </c>
      <c r="L409" t="inlineStr">
        <is>
          <t>José Sorto López</t>
        </is>
      </c>
      <c r="M409" t="inlineStr">
        <is>
          <t>04721627-5</t>
        </is>
      </c>
      <c r="N409" t="inlineStr">
        <is>
          <t>6844-3004</t>
        </is>
      </c>
      <c r="O409" t="inlineStr">
        <is>
          <t>Consumidor final</t>
        </is>
      </c>
      <c r="P409" t="inlineStr">
        <is>
          <t>BEB-003</t>
        </is>
      </c>
      <c r="Q409" t="inlineStr">
        <is>
          <t>Horchata en polvo 400g</t>
        </is>
      </c>
      <c r="R409" t="inlineStr">
        <is>
          <t>Bebidas</t>
        </is>
      </c>
      <c r="S409" t="inlineStr">
        <is>
          <t>Bebidas Izalco</t>
        </is>
      </c>
      <c r="T409" t="inlineStr">
        <is>
          <t>2450-7700</t>
        </is>
      </c>
      <c r="U409" t="n">
        <v>2.6</v>
      </c>
      <c r="V409" t="n">
        <v>12</v>
      </c>
      <c r="W409" t="n">
        <v>0</v>
      </c>
      <c r="X409">
        <f>IFERROR(U409*V409*(1-W409/100),"")</f>
        <v/>
      </c>
      <c r="Y409">
        <f>IFERROR(ROUND(X409*0.13,2),"")</f>
        <v/>
      </c>
      <c r="Z409">
        <f>IFERROR(X409+Y409,"")</f>
        <v/>
      </c>
      <c r="AA409" t="inlineStr">
        <is>
          <t>Efectivo</t>
        </is>
      </c>
      <c r="AB409" t="inlineStr">
        <is>
          <t>Llamar al 7788-1234 antes de entregar</t>
        </is>
      </c>
    </row>
    <row r="410">
      <c r="A410" t="inlineStr">
        <is>
          <t>F-10784</t>
        </is>
      </c>
      <c r="B410" t="inlineStr">
        <is>
          <t>2026-08-15</t>
        </is>
      </c>
      <c r="C410" t="inlineStr">
        <is>
          <t>Factura</t>
        </is>
      </c>
      <c r="D410" t="inlineStr">
        <is>
          <t>LL02</t>
        </is>
      </c>
      <c r="E410" t="inlineStr">
        <is>
          <t>La Libertad Puerto</t>
        </is>
      </c>
      <c r="F410" t="inlineStr">
        <is>
          <t>Calle El Malecón, Local 4</t>
        </is>
      </c>
      <c r="G410" t="inlineStr">
        <is>
          <t>La Libertad</t>
        </is>
      </c>
      <c r="H410" t="inlineStr">
        <is>
          <t>La Libertad</t>
        </is>
      </c>
      <c r="I410" t="inlineStr">
        <is>
          <t>Wendy Aguilar</t>
        </is>
      </c>
      <c r="J410" t="inlineStr">
        <is>
          <t>2335-6140</t>
        </is>
      </c>
      <c r="K410" t="inlineStr">
        <is>
          <t>Gabriela Saravia</t>
        </is>
      </c>
      <c r="L410" t="inlineStr">
        <is>
          <t>Mario Sorto Castillo</t>
        </is>
      </c>
      <c r="M410" t="inlineStr">
        <is>
          <t>09824839-0</t>
        </is>
      </c>
      <c r="N410" t="inlineStr">
        <is>
          <t>7450-4234</t>
        </is>
      </c>
      <c r="O410" t="inlineStr">
        <is>
          <t>Consumidor final</t>
        </is>
      </c>
      <c r="P410" t="inlineStr">
        <is>
          <t>HAR-001</t>
        </is>
      </c>
      <c r="Q410" t="inlineStr">
        <is>
          <t>Harina de maíz 2lb</t>
        </is>
      </c>
      <c r="R410" t="inlineStr">
        <is>
          <t>Abarrotes</t>
        </is>
      </c>
      <c r="S410" t="inlineStr">
        <is>
          <t>Granos del Pacífico</t>
        </is>
      </c>
      <c r="T410" t="inlineStr">
        <is>
          <t>2234-8890</t>
        </is>
      </c>
      <c r="U410" t="n">
        <v>1.35</v>
      </c>
      <c r="V410" t="n">
        <v>2</v>
      </c>
      <c r="W410" t="n">
        <v>0</v>
      </c>
      <c r="X410">
        <f>IFERROR(U410*V410*(1-W410/100),"")</f>
        <v/>
      </c>
      <c r="Y410">
        <f>IFERROR(ROUND(X410*0.13,2),"")</f>
        <v/>
      </c>
      <c r="Z410">
        <f>IFERROR(X410+Y410,"")</f>
        <v/>
      </c>
      <c r="AA410" t="inlineStr">
        <is>
          <t>Transferencia</t>
        </is>
      </c>
      <c r="AB410" t="inlineStr">
        <is>
          <t>entregar en bodega</t>
        </is>
      </c>
    </row>
    <row r="411">
      <c r="A411" t="inlineStr">
        <is>
          <t>F-10786</t>
        </is>
      </c>
      <c r="B411" s="3" t="n">
        <v>46241</v>
      </c>
      <c r="C411" t="inlineStr">
        <is>
          <t>FCF</t>
        </is>
      </c>
      <c r="D411" t="inlineStr">
        <is>
          <t>SS03</t>
        </is>
      </c>
      <c r="E411" t="inlineStr">
        <is>
          <t xml:space="preserve">SOYAPANGO </t>
        </is>
      </c>
      <c r="F411" t="inlineStr">
        <is>
          <t>Blvd. del Ejército km 4</t>
        </is>
      </c>
      <c r="G411" t="inlineStr">
        <is>
          <t>Soyapango</t>
        </is>
      </c>
      <c r="H411" t="inlineStr">
        <is>
          <t>San Salvador</t>
        </is>
      </c>
      <c r="I411" t="inlineStr">
        <is>
          <t>Karla Henríquez</t>
        </is>
      </c>
      <c r="J411" t="inlineStr">
        <is>
          <t>2277-3402</t>
        </is>
      </c>
      <c r="K411" t="inlineStr">
        <is>
          <t>Carlos Molina</t>
        </is>
      </c>
      <c r="L411" t="inlineStr">
        <is>
          <t>María Castillo Martínez</t>
        </is>
      </c>
      <c r="M411" t="inlineStr">
        <is>
          <t>09352468-8</t>
        </is>
      </c>
      <c r="N411" t="inlineStr">
        <is>
          <t>6394-8494</t>
        </is>
      </c>
      <c r="O411" t="inlineStr">
        <is>
          <t>Consumidor final</t>
        </is>
      </c>
      <c r="P411" t="inlineStr">
        <is>
          <t>PAN-003</t>
        </is>
      </c>
      <c r="Q411" t="inlineStr">
        <is>
          <t>Quesadilla salvadoreña</t>
        </is>
      </c>
      <c r="R411" t="inlineStr">
        <is>
          <t>PANADERIA</t>
        </is>
      </c>
      <c r="S411" t="inlineStr">
        <is>
          <t>Panificadora Ilopango</t>
        </is>
      </c>
      <c r="T411" t="inlineStr">
        <is>
          <t>2295-0081</t>
        </is>
      </c>
      <c r="U411" t="inlineStr">
        <is>
          <t>$2.50</t>
        </is>
      </c>
      <c r="V411" t="n">
        <v>2</v>
      </c>
      <c r="W411" t="n">
        <v>0</v>
      </c>
      <c r="X411">
        <f>IFERROR(U411*V411*(1-W411/100),"")</f>
        <v/>
      </c>
      <c r="Y411">
        <f>IFERROR(ROUND(X411*0.13,2),"")</f>
        <v/>
      </c>
      <c r="Z411">
        <f>IFERROR(X411+Y411,"")</f>
        <v/>
      </c>
      <c r="AA411" t="inlineStr">
        <is>
          <t>TARJETA</t>
        </is>
      </c>
      <c r="AB411" t="inlineStr">
        <is>
          <t>entregar en bodega</t>
        </is>
      </c>
    </row>
    <row r="412">
      <c r="A412" t="inlineStr">
        <is>
          <t>F-10789</t>
        </is>
      </c>
      <c r="B412" s="3" t="n">
        <v>46268</v>
      </c>
      <c r="C412" t="inlineStr">
        <is>
          <t>Factura</t>
        </is>
      </c>
      <c r="D412" t="inlineStr">
        <is>
          <t>SA01</t>
        </is>
      </c>
      <c r="E412" t="inlineStr">
        <is>
          <t>Santa  Ana</t>
        </is>
      </c>
      <c r="F412" t="inlineStr">
        <is>
          <t>Av. Independencia Sur #12</t>
        </is>
      </c>
      <c r="G412" t="inlineStr">
        <is>
          <t>Santa Ana</t>
        </is>
      </c>
      <c r="H412" t="inlineStr">
        <is>
          <t>Santa Ana</t>
        </is>
      </c>
      <c r="I412" t="inlineStr">
        <is>
          <t>Verónica Sandoval</t>
        </is>
      </c>
      <c r="J412" t="inlineStr">
        <is>
          <t>2440-9921</t>
        </is>
      </c>
      <c r="K412" t="inlineStr">
        <is>
          <t>Sofía Cáceres</t>
        </is>
      </c>
      <c r="L412" t="inlineStr">
        <is>
          <t>Silvia Argueta Mejía</t>
        </is>
      </c>
      <c r="M412" t="inlineStr">
        <is>
          <t>07045862-9</t>
        </is>
      </c>
      <c r="N412" t="inlineStr">
        <is>
          <t>6625-9486</t>
        </is>
      </c>
      <c r="O412" t="inlineStr">
        <is>
          <t>Consumidor final</t>
        </is>
      </c>
      <c r="P412" t="inlineStr">
        <is>
          <t>BEB-001</t>
        </is>
      </c>
      <c r="Q412" t="inlineStr">
        <is>
          <t>Gaseosa 2.5L</t>
        </is>
      </c>
      <c r="R412" t="inlineStr">
        <is>
          <t>Bebidas</t>
        </is>
      </c>
      <c r="S412" t="inlineStr">
        <is>
          <t>Bebidas Izalco</t>
        </is>
      </c>
      <c r="T412" t="inlineStr">
        <is>
          <t>2450-7700</t>
        </is>
      </c>
      <c r="U412" t="n">
        <v>1.95</v>
      </c>
      <c r="V412" t="n">
        <v>12</v>
      </c>
      <c r="W412" t="n">
        <v>0</v>
      </c>
      <c r="X412">
        <f>IFERROR(U412*V412*(1-W412/100),"")</f>
        <v/>
      </c>
      <c r="Y412">
        <f>IFERROR(ROUND(X412*0.13,2),"")</f>
        <v/>
      </c>
      <c r="Z412">
        <f>IFERROR(X412+Y412,"")</f>
        <v/>
      </c>
      <c r="AA412" t="inlineStr">
        <is>
          <t>Efectivo</t>
        </is>
      </c>
      <c r="AB412" t="inlineStr"/>
    </row>
    <row r="413">
      <c r="A413" t="inlineStr">
        <is>
          <t>F-10790</t>
        </is>
      </c>
      <c r="B413" s="3" t="n">
        <v>46232</v>
      </c>
      <c r="C413" t="inlineStr">
        <is>
          <t>Factura</t>
        </is>
      </c>
      <c r="D413" t="inlineStr">
        <is>
          <t>SS03</t>
        </is>
      </c>
      <c r="E413" t="inlineStr">
        <is>
          <t xml:space="preserve">SOYAPANGO </t>
        </is>
      </c>
      <c r="F413" t="inlineStr">
        <is>
          <t>Blvd. del Ejército km 4</t>
        </is>
      </c>
      <c r="G413" t="inlineStr">
        <is>
          <t>Soyapango</t>
        </is>
      </c>
      <c r="H413" t="inlineStr">
        <is>
          <t>San Salvador</t>
        </is>
      </c>
      <c r="I413" t="inlineStr">
        <is>
          <t>Karla Henríquez</t>
        </is>
      </c>
      <c r="J413" t="inlineStr">
        <is>
          <t>2277-3402</t>
        </is>
      </c>
      <c r="K413" t="inlineStr">
        <is>
          <t>Marta Gómez</t>
        </is>
      </c>
      <c r="L413" t="inlineStr">
        <is>
          <t>Silvia Mejía Sorto</t>
        </is>
      </c>
      <c r="M413" t="inlineStr">
        <is>
          <t>08942439-6</t>
        </is>
      </c>
      <c r="N413" t="inlineStr">
        <is>
          <t>2492-5995</t>
        </is>
      </c>
      <c r="O413" t="inlineStr">
        <is>
          <t>Consumidor final</t>
        </is>
      </c>
      <c r="P413" t="inlineStr">
        <is>
          <t>BEB-002</t>
        </is>
      </c>
      <c r="Q413" t="inlineStr">
        <is>
          <t>Agua purificada 1 galón</t>
        </is>
      </c>
      <c r="R413" t="inlineStr">
        <is>
          <t>Bebidas</t>
        </is>
      </c>
      <c r="S413" t="inlineStr">
        <is>
          <t>Bebidas Izalco</t>
        </is>
      </c>
      <c r="T413" t="inlineStr">
        <is>
          <t>2450-7700</t>
        </is>
      </c>
      <c r="U413" t="n">
        <v>1.1</v>
      </c>
      <c r="V413" t="n">
        <v>4</v>
      </c>
      <c r="W413" t="n">
        <v>0</v>
      </c>
      <c r="X413">
        <f>IFERROR(U413*V413*(1-W413/100),"")</f>
        <v/>
      </c>
      <c r="Y413">
        <f>IFERROR(ROUND(X413*0.13,2),"")</f>
        <v/>
      </c>
      <c r="Z413">
        <f>IFERROR(X413+Y413,"")</f>
        <v/>
      </c>
      <c r="AA413" t="inlineStr">
        <is>
          <t>Tarjeta</t>
        </is>
      </c>
      <c r="AB413" t="inlineStr"/>
    </row>
    <row r="414">
      <c r="A414" t="inlineStr">
        <is>
          <t>F-10790</t>
        </is>
      </c>
      <c r="B414" s="3" t="n">
        <v>46232</v>
      </c>
      <c r="C414" t="inlineStr">
        <is>
          <t>Factura</t>
        </is>
      </c>
      <c r="D414" t="inlineStr">
        <is>
          <t>SS03</t>
        </is>
      </c>
      <c r="E414" t="inlineStr">
        <is>
          <t xml:space="preserve">SOYAPANGO </t>
        </is>
      </c>
      <c r="F414" t="inlineStr">
        <is>
          <t>Blvd. del Ejército km 4</t>
        </is>
      </c>
      <c r="G414" t="inlineStr">
        <is>
          <t>Soyapango</t>
        </is>
      </c>
      <c r="H414" t="inlineStr">
        <is>
          <t>San Salvador</t>
        </is>
      </c>
      <c r="I414" t="inlineStr">
        <is>
          <t>Karla Henríquez</t>
        </is>
      </c>
      <c r="J414" t="inlineStr">
        <is>
          <t>2277-3402</t>
        </is>
      </c>
      <c r="K414" t="inlineStr">
        <is>
          <t>Marta Gómez</t>
        </is>
      </c>
      <c r="L414" t="inlineStr">
        <is>
          <t>Silvia Mejía Sorto</t>
        </is>
      </c>
      <c r="M414" t="inlineStr"/>
      <c r="N414" t="inlineStr">
        <is>
          <t>2492-5995</t>
        </is>
      </c>
      <c r="O414" t="inlineStr">
        <is>
          <t>Consumidor final</t>
        </is>
      </c>
      <c r="P414" t="inlineStr">
        <is>
          <t>ARR-001</t>
        </is>
      </c>
      <c r="Q414" t="inlineStr">
        <is>
          <t>Arroz blanco 5lb</t>
        </is>
      </c>
      <c r="R414" t="inlineStr">
        <is>
          <t>Abarrotes</t>
        </is>
      </c>
      <c r="S414" t="inlineStr">
        <is>
          <t>Granos del Pacífico</t>
        </is>
      </c>
      <c r="T414" t="inlineStr">
        <is>
          <t>2234-8890</t>
        </is>
      </c>
      <c r="U414" t="inlineStr">
        <is>
          <t>$3.95</t>
        </is>
      </c>
      <c r="V414" t="n">
        <v>1</v>
      </c>
      <c r="W414" t="n">
        <v>0</v>
      </c>
      <c r="X414">
        <f>IFERROR(U414*V414*(1-W414/100),"")</f>
        <v/>
      </c>
      <c r="Y414">
        <f>IFERROR(ROUND(X414*0.13,2),"")</f>
        <v/>
      </c>
      <c r="Z414">
        <f>IFERROR(X414+Y414,"")</f>
        <v/>
      </c>
      <c r="AA414" t="inlineStr">
        <is>
          <t>Tarjeta</t>
        </is>
      </c>
      <c r="AB414" t="inlineStr"/>
    </row>
    <row r="415">
      <c r="A415" t="inlineStr">
        <is>
          <t>F-10790</t>
        </is>
      </c>
      <c r="B415" s="3" t="n">
        <v>46232</v>
      </c>
      <c r="C415" t="inlineStr">
        <is>
          <t>Factura</t>
        </is>
      </c>
      <c r="D415" t="inlineStr">
        <is>
          <t>SS03</t>
        </is>
      </c>
      <c r="E415" t="inlineStr">
        <is>
          <t>Soyapango</t>
        </is>
      </c>
      <c r="F415" t="inlineStr">
        <is>
          <t>Blvd. del Ejército km 4</t>
        </is>
      </c>
      <c r="G415" t="inlineStr">
        <is>
          <t>Soyapango</t>
        </is>
      </c>
      <c r="H415" t="inlineStr">
        <is>
          <t>San Salvador</t>
        </is>
      </c>
      <c r="I415" t="inlineStr">
        <is>
          <t>Karla Henríquez</t>
        </is>
      </c>
      <c r="J415" t="inlineStr">
        <is>
          <t>2277-3402</t>
        </is>
      </c>
      <c r="K415" t="inlineStr">
        <is>
          <t>Marta Gómez</t>
        </is>
      </c>
      <c r="L415" t="inlineStr">
        <is>
          <t>Silvia Mejía Sorto</t>
        </is>
      </c>
      <c r="M415" t="inlineStr">
        <is>
          <t>08942439-6</t>
        </is>
      </c>
      <c r="N415" t="inlineStr">
        <is>
          <t>2492-5995</t>
        </is>
      </c>
      <c r="O415" t="inlineStr">
        <is>
          <t>Consumidor final</t>
        </is>
      </c>
      <c r="P415" t="inlineStr">
        <is>
          <t>HIG-002</t>
        </is>
      </c>
      <c r="Q415" t="inlineStr">
        <is>
          <t>Papel higiénico 4 rollos</t>
        </is>
      </c>
      <c r="R415" t="inlineStr">
        <is>
          <t>Higiene</t>
        </is>
      </c>
      <c r="S415" t="inlineStr">
        <is>
          <t>Higiene Total C.A.</t>
        </is>
      </c>
      <c r="T415" t="inlineStr">
        <is>
          <t>2207-5566</t>
        </is>
      </c>
      <c r="U415" t="n">
        <v>2.15</v>
      </c>
      <c r="V415" t="n">
        <v>12</v>
      </c>
      <c r="W415" t="n">
        <v>0</v>
      </c>
      <c r="X415">
        <f>IFERROR(U415*V415*(1-W415/100),"")</f>
        <v/>
      </c>
      <c r="Y415">
        <f>IFERROR(ROUND(X415*0.13,2),"")</f>
        <v/>
      </c>
      <c r="Z415">
        <f>IFERROR(X415+Y415,"")</f>
        <v/>
      </c>
      <c r="AA415" t="inlineStr">
        <is>
          <t>Tarjeta</t>
        </is>
      </c>
      <c r="AB415" t="inlineStr"/>
    </row>
    <row r="416">
      <c r="A416" t="inlineStr">
        <is>
          <t>F-10790</t>
        </is>
      </c>
      <c r="B416" t="inlineStr">
        <is>
          <t>2026-07-29</t>
        </is>
      </c>
      <c r="C416" t="inlineStr">
        <is>
          <t>Factura</t>
        </is>
      </c>
      <c r="D416" t="inlineStr">
        <is>
          <t>SS03</t>
        </is>
      </c>
      <c r="E416" t="inlineStr">
        <is>
          <t>Soyapango</t>
        </is>
      </c>
      <c r="F416" t="inlineStr">
        <is>
          <t>Blvd. del Ejército km 4</t>
        </is>
      </c>
      <c r="G416" t="inlineStr">
        <is>
          <t>Soyapango</t>
        </is>
      </c>
      <c r="H416" t="inlineStr">
        <is>
          <t>San Salvador</t>
        </is>
      </c>
      <c r="I416" t="inlineStr">
        <is>
          <t>Karla Henríquez</t>
        </is>
      </c>
      <c r="J416" t="inlineStr">
        <is>
          <t>2277-3402</t>
        </is>
      </c>
      <c r="K416" t="inlineStr">
        <is>
          <t>Marta Gómez</t>
        </is>
      </c>
      <c r="L416" t="inlineStr">
        <is>
          <t>Silvia Mejía Sorto</t>
        </is>
      </c>
      <c r="M416" t="inlineStr"/>
      <c r="N416" t="inlineStr">
        <is>
          <t>2492-5995</t>
        </is>
      </c>
      <c r="O416" t="inlineStr">
        <is>
          <t>Consumidor final</t>
        </is>
      </c>
      <c r="P416" t="inlineStr">
        <is>
          <t>LAC-003</t>
        </is>
      </c>
      <c r="Q416" t="inlineStr">
        <is>
          <t>Leche entera 1L</t>
        </is>
      </c>
      <c r="R416" t="inlineStr">
        <is>
          <t>Lácteos</t>
        </is>
      </c>
      <c r="S416" t="inlineStr">
        <is>
          <t>Lácteos Chalate</t>
        </is>
      </c>
      <c r="T416" t="inlineStr">
        <is>
          <t>7120-4455</t>
        </is>
      </c>
      <c r="U416" t="n">
        <v>1.2</v>
      </c>
      <c r="V416" t="n">
        <v>1</v>
      </c>
      <c r="W416" t="n">
        <v>0</v>
      </c>
      <c r="X416">
        <f>IFERROR(U416*V416*(1-W416/100),"")</f>
        <v/>
      </c>
      <c r="Y416">
        <f>IFERROR(ROUND(X416*0.13,2),"")</f>
        <v/>
      </c>
      <c r="Z416">
        <f>IFERROR(X416+Y416,"")</f>
        <v/>
      </c>
      <c r="AA416" t="inlineStr">
        <is>
          <t>Tarjeta</t>
        </is>
      </c>
      <c r="AB416" t="inlineStr">
        <is>
          <t>entregar en bodega</t>
        </is>
      </c>
    </row>
    <row r="417">
      <c r="A417" t="inlineStr">
        <is>
          <t>F-10792</t>
        </is>
      </c>
      <c r="B417" s="3" t="n">
        <v>46240</v>
      </c>
      <c r="C417" t="inlineStr">
        <is>
          <t>Factura</t>
        </is>
      </c>
      <c r="D417" t="inlineStr">
        <is>
          <t>SS01</t>
        </is>
      </c>
      <c r="E417" t="inlineStr">
        <is>
          <t>SAN SALVADOR CENTRO</t>
        </is>
      </c>
      <c r="F417" t="inlineStr">
        <is>
          <t>4a Calle Poniente #215</t>
        </is>
      </c>
      <c r="G417" t="inlineStr">
        <is>
          <t>San Salvador</t>
        </is>
      </c>
      <c r="H417" t="inlineStr">
        <is>
          <t>San Salvador</t>
        </is>
      </c>
      <c r="I417" t="inlineStr">
        <is>
          <t>Roberto Alfaro</t>
        </is>
      </c>
      <c r="J417" t="inlineStr">
        <is>
          <t>2221-4580</t>
        </is>
      </c>
      <c r="K417" t="inlineStr">
        <is>
          <t>Daniela Orellana</t>
        </is>
      </c>
      <c r="L417" t="inlineStr">
        <is>
          <t>Patricia García Martínez</t>
        </is>
      </c>
      <c r="M417" t="inlineStr">
        <is>
          <t>02380558-6</t>
        </is>
      </c>
      <c r="N417" t="inlineStr">
        <is>
          <t>6660-5283</t>
        </is>
      </c>
      <c r="O417" t="inlineStr">
        <is>
          <t>Consumidor final</t>
        </is>
      </c>
      <c r="P417" t="inlineStr">
        <is>
          <t>BEB-002</t>
        </is>
      </c>
      <c r="Q417" t="inlineStr">
        <is>
          <t>Agua purificada 1 galón</t>
        </is>
      </c>
      <c r="R417" t="inlineStr">
        <is>
          <t>Bebidas</t>
        </is>
      </c>
      <c r="S417" t="inlineStr">
        <is>
          <t>Bebidas Izalco</t>
        </is>
      </c>
      <c r="T417" t="inlineStr">
        <is>
          <t>2450-7700</t>
        </is>
      </c>
      <c r="U417" t="inlineStr">
        <is>
          <t>$1.10</t>
        </is>
      </c>
      <c r="V417" t="n">
        <v>2</v>
      </c>
      <c r="W417" t="n">
        <v>0</v>
      </c>
      <c r="X417">
        <f>IFERROR(U417*V417*(1-W417/100),"")</f>
        <v/>
      </c>
      <c r="Y417">
        <f>IFERROR(ROUND(X417*0.13,2),"")</f>
        <v/>
      </c>
      <c r="Z417">
        <f>IFERROR(X417+Y417,"")</f>
        <v/>
      </c>
      <c r="AA417" t="inlineStr">
        <is>
          <t>efectivo</t>
        </is>
      </c>
      <c r="AB417" t="inlineStr">
        <is>
          <t>Cliente frecuente</t>
        </is>
      </c>
    </row>
    <row r="418">
      <c r="A418" t="inlineStr">
        <is>
          <t>F-10795</t>
        </is>
      </c>
      <c r="B418" s="3" t="n">
        <v>46238</v>
      </c>
      <c r="C418" t="inlineStr">
        <is>
          <t>CCF</t>
        </is>
      </c>
      <c r="D418" t="inlineStr">
        <is>
          <t>US01</t>
        </is>
      </c>
      <c r="E418" t="inlineStr">
        <is>
          <t>Usulután</t>
        </is>
      </c>
      <c r="F418" t="inlineStr">
        <is>
          <t>2a Av. Norte #9</t>
        </is>
      </c>
      <c r="G418" t="inlineStr">
        <is>
          <t>Usulután</t>
        </is>
      </c>
      <c r="H418" t="inlineStr">
        <is>
          <t>Usulután</t>
        </is>
      </c>
      <c r="I418" t="inlineStr">
        <is>
          <t>Nelson Fuentes</t>
        </is>
      </c>
      <c r="J418" t="inlineStr">
        <is>
          <t>2662-8810</t>
        </is>
      </c>
      <c r="K418" t="inlineStr">
        <is>
          <t>Miguel Bonilla</t>
        </is>
      </c>
      <c r="L418" t="inlineStr">
        <is>
          <t>Cafetería Los Almendros</t>
        </is>
      </c>
      <c r="M418" t="inlineStr">
        <is>
          <t>292641-2</t>
        </is>
      </c>
      <c r="N418" t="inlineStr">
        <is>
          <t>2283-6155</t>
        </is>
      </c>
      <c r="O418" t="inlineStr">
        <is>
          <t>Contribuyente</t>
        </is>
      </c>
      <c r="P418" t="inlineStr">
        <is>
          <t>BEB-003</t>
        </is>
      </c>
      <c r="Q418" t="inlineStr">
        <is>
          <t>Horchata en polvo 400g</t>
        </is>
      </c>
      <c r="R418" t="inlineStr">
        <is>
          <t>Bebidas</t>
        </is>
      </c>
      <c r="S418" t="inlineStr">
        <is>
          <t>Bebidas Izalco</t>
        </is>
      </c>
      <c r="T418" t="inlineStr">
        <is>
          <t>2450-7700</t>
        </is>
      </c>
      <c r="U418" t="n">
        <v>2.6</v>
      </c>
      <c r="V418" t="n">
        <v>1</v>
      </c>
      <c r="W418" t="n">
        <v>0</v>
      </c>
      <c r="X418">
        <f>IFERROR(U418*V418*(1-W418/100),"")</f>
        <v/>
      </c>
      <c r="Y418">
        <f>IFERROR(ROUND(X418*0.13,2),"")</f>
        <v/>
      </c>
      <c r="Z418">
        <f>IFERROR(X418+Y418,"")</f>
        <v/>
      </c>
      <c r="AA418" t="inlineStr">
        <is>
          <t>Transferencia</t>
        </is>
      </c>
      <c r="AB418" t="inlineStr"/>
    </row>
    <row r="419">
      <c r="A419" t="inlineStr">
        <is>
          <t>F-10795</t>
        </is>
      </c>
      <c r="B419" s="3" t="n">
        <v>46238</v>
      </c>
      <c r="C419" t="inlineStr">
        <is>
          <t>CCF</t>
        </is>
      </c>
      <c r="D419" t="inlineStr">
        <is>
          <t>US01</t>
        </is>
      </c>
      <c r="E419" t="inlineStr">
        <is>
          <t>Usulutan</t>
        </is>
      </c>
      <c r="F419" t="inlineStr">
        <is>
          <t>2a Av. Norte #9</t>
        </is>
      </c>
      <c r="G419" t="inlineStr">
        <is>
          <t>Usulután</t>
        </is>
      </c>
      <c r="H419" t="inlineStr">
        <is>
          <t>Usulután</t>
        </is>
      </c>
      <c r="I419" t="inlineStr">
        <is>
          <t>Nelson Fuentes</t>
        </is>
      </c>
      <c r="J419" t="inlineStr">
        <is>
          <t>2662-8810</t>
        </is>
      </c>
      <c r="K419" t="inlineStr">
        <is>
          <t>Miguel Bonilla</t>
        </is>
      </c>
      <c r="L419" t="inlineStr">
        <is>
          <t>Cafetería Los Almendros</t>
        </is>
      </c>
      <c r="M419" t="inlineStr">
        <is>
          <t>292641-2</t>
        </is>
      </c>
      <c r="N419" t="inlineStr">
        <is>
          <t>2283-6155</t>
        </is>
      </c>
      <c r="O419" t="inlineStr">
        <is>
          <t>Contribuyente</t>
        </is>
      </c>
      <c r="P419" t="inlineStr">
        <is>
          <t>PAN-002</t>
        </is>
      </c>
      <c r="Q419" t="inlineStr">
        <is>
          <t>Semita alta</t>
        </is>
      </c>
      <c r="R419" t="inlineStr">
        <is>
          <t>Panadería</t>
        </is>
      </c>
      <c r="S419" t="inlineStr">
        <is>
          <t>Panificadora Ilopango</t>
        </is>
      </c>
      <c r="T419" t="inlineStr">
        <is>
          <t>2295-0081</t>
        </is>
      </c>
      <c r="U419" t="n">
        <v>1.75</v>
      </c>
      <c r="V419" t="n">
        <v>24</v>
      </c>
      <c r="W419" t="n">
        <v>10</v>
      </c>
      <c r="X419">
        <f>IFERROR(U419*V419*(1-W419/100),"")</f>
        <v/>
      </c>
      <c r="Y419">
        <f>IFERROR(ROUND(X419*0.13,2),"")</f>
        <v/>
      </c>
      <c r="Z419">
        <f>IFERROR(X419+Y419,"")</f>
        <v/>
      </c>
      <c r="AA419" t="inlineStr">
        <is>
          <t>Transferencia</t>
        </is>
      </c>
      <c r="AB419" t="inlineStr"/>
    </row>
    <row r="420">
      <c r="A420" t="inlineStr">
        <is>
          <t>F-10795</t>
        </is>
      </c>
      <c r="B420" s="3" t="n">
        <v>46238</v>
      </c>
      <c r="C420" t="inlineStr">
        <is>
          <t>CCF</t>
        </is>
      </c>
      <c r="D420" t="inlineStr">
        <is>
          <t>US01</t>
        </is>
      </c>
      <c r="E420" t="inlineStr">
        <is>
          <t>Usulutan</t>
        </is>
      </c>
      <c r="F420" t="inlineStr">
        <is>
          <t>2a Av. Norte #9</t>
        </is>
      </c>
      <c r="G420" t="inlineStr">
        <is>
          <t>Usulután</t>
        </is>
      </c>
      <c r="H420" t="inlineStr">
        <is>
          <t>Usulután</t>
        </is>
      </c>
      <c r="I420" t="inlineStr">
        <is>
          <t>Nelson Fuentes</t>
        </is>
      </c>
      <c r="J420" t="inlineStr">
        <is>
          <t>2662-8810</t>
        </is>
      </c>
      <c r="K420" t="inlineStr">
        <is>
          <t>Miguel Bonilla</t>
        </is>
      </c>
      <c r="L420" t="inlineStr">
        <is>
          <t>Cafetería Los Almendros</t>
        </is>
      </c>
      <c r="M420" t="inlineStr">
        <is>
          <t>292641-2</t>
        </is>
      </c>
      <c r="N420" t="inlineStr">
        <is>
          <t>2283-6155</t>
        </is>
      </c>
      <c r="O420" t="inlineStr">
        <is>
          <t>Contribuyente</t>
        </is>
      </c>
      <c r="P420" t="inlineStr">
        <is>
          <t>PAN-003</t>
        </is>
      </c>
      <c r="Q420" t="inlineStr">
        <is>
          <t>Quesadilla salvadoreña</t>
        </is>
      </c>
      <c r="R420" t="inlineStr">
        <is>
          <t>PANADERIA</t>
        </is>
      </c>
      <c r="S420" t="inlineStr">
        <is>
          <t>Panificadora Ilopango</t>
        </is>
      </c>
      <c r="T420" t="inlineStr">
        <is>
          <t>2295-0081</t>
        </is>
      </c>
      <c r="U420" t="n">
        <v>2.5</v>
      </c>
      <c r="V420" t="n">
        <v>2</v>
      </c>
      <c r="W420" t="n">
        <v>0</v>
      </c>
      <c r="X420">
        <f>IFERROR(U420*V420*(1-W420/100),"")</f>
        <v/>
      </c>
      <c r="Y420">
        <f>IFERROR(ROUND(X420*0.13,2),"")</f>
        <v/>
      </c>
      <c r="Z420">
        <f>IFERROR(X420+Y420,"")</f>
        <v/>
      </c>
      <c r="AA420" t="inlineStr">
        <is>
          <t>Transferencia</t>
        </is>
      </c>
      <c r="AB420" t="inlineStr"/>
    </row>
    <row r="421">
      <c r="A421" t="inlineStr">
        <is>
          <t>F-10797</t>
        </is>
      </c>
      <c r="B421" s="3" t="n">
        <v>46221</v>
      </c>
      <c r="C421" t="inlineStr">
        <is>
          <t>FCF</t>
        </is>
      </c>
      <c r="D421" t="inlineStr">
        <is>
          <t>SM01</t>
        </is>
      </c>
      <c r="E421" t="inlineStr">
        <is>
          <t>SAN MIGUEL</t>
        </is>
      </c>
      <c r="F421" t="inlineStr">
        <is>
          <t>Av. Roosevelt Sur #7</t>
        </is>
      </c>
      <c r="G421" t="inlineStr">
        <is>
          <t>San Miguel</t>
        </is>
      </c>
      <c r="H421" t="inlineStr">
        <is>
          <t>San Miguel</t>
        </is>
      </c>
      <c r="I421" t="inlineStr">
        <is>
          <t>Iris Portillo</t>
        </is>
      </c>
      <c r="J421" t="inlineStr">
        <is>
          <t>2661-5076</t>
        </is>
      </c>
      <c r="K421" t="inlineStr">
        <is>
          <t>Paola Cruz</t>
        </is>
      </c>
      <c r="L421" t="inlineStr">
        <is>
          <t>Silvia Martínez Hernández</t>
        </is>
      </c>
      <c r="M421" t="inlineStr">
        <is>
          <t>05821993-5</t>
        </is>
      </c>
      <c r="N421" t="inlineStr">
        <is>
          <t>2126-9362</t>
        </is>
      </c>
      <c r="O421" t="inlineStr">
        <is>
          <t>Consumidor final</t>
        </is>
      </c>
      <c r="P421" t="inlineStr">
        <is>
          <t>FRI-001</t>
        </is>
      </c>
      <c r="Q421" t="inlineStr">
        <is>
          <t>Frijol rojo de seda 2lb</t>
        </is>
      </c>
      <c r="R421" t="inlineStr">
        <is>
          <t>Granos básicos</t>
        </is>
      </c>
      <c r="S421" t="inlineStr">
        <is>
          <t>Granos del Pacífico</t>
        </is>
      </c>
      <c r="T421" t="inlineStr">
        <is>
          <t>2234-8890</t>
        </is>
      </c>
      <c r="U421" t="n">
        <v>2.4</v>
      </c>
      <c r="V421" t="n">
        <v>4</v>
      </c>
      <c r="W421" t="n">
        <v>0</v>
      </c>
      <c r="X421">
        <f>IFERROR(U421*V421*(1-W421/100),"")</f>
        <v/>
      </c>
      <c r="Y421">
        <f>IFERROR(ROUND(X421*0.13,2),"")</f>
        <v/>
      </c>
      <c r="Z421">
        <f>IFERROR(X421+Y421,"")</f>
        <v/>
      </c>
      <c r="AA421" t="inlineStr">
        <is>
          <t>Efectivo</t>
        </is>
      </c>
      <c r="AB421" t="inlineStr">
        <is>
          <t>pagó con billete de $100</t>
        </is>
      </c>
    </row>
    <row r="422">
      <c r="A422" t="inlineStr">
        <is>
          <t>F-10797</t>
        </is>
      </c>
      <c r="B422" s="3" t="n">
        <v>46221</v>
      </c>
      <c r="C422" t="inlineStr">
        <is>
          <t>FCF</t>
        </is>
      </c>
      <c r="D422" t="inlineStr">
        <is>
          <t>SM01</t>
        </is>
      </c>
      <c r="E422" t="inlineStr">
        <is>
          <t>San Miguel</t>
        </is>
      </c>
      <c r="F422" t="inlineStr">
        <is>
          <t>Av. Roosevelt Sur #7</t>
        </is>
      </c>
      <c r="G422" t="inlineStr">
        <is>
          <t>San Miguel</t>
        </is>
      </c>
      <c r="H422" t="inlineStr">
        <is>
          <t>San Miguel</t>
        </is>
      </c>
      <c r="I422" t="inlineStr">
        <is>
          <t>Iris Portillo</t>
        </is>
      </c>
      <c r="J422" t="inlineStr">
        <is>
          <t>2661-5076</t>
        </is>
      </c>
      <c r="K422" t="inlineStr">
        <is>
          <t>Paola Cruz</t>
        </is>
      </c>
      <c r="L422" t="inlineStr">
        <is>
          <t>Silvia Martínez Hernández</t>
        </is>
      </c>
      <c r="M422" t="inlineStr"/>
      <c r="N422" t="inlineStr">
        <is>
          <t>2126-9362</t>
        </is>
      </c>
      <c r="O422" t="inlineStr">
        <is>
          <t>Consumidor final</t>
        </is>
      </c>
      <c r="P422" t="inlineStr">
        <is>
          <t>PAN-002</t>
        </is>
      </c>
      <c r="Q422" t="inlineStr">
        <is>
          <t>Semita alta</t>
        </is>
      </c>
      <c r="R422" t="inlineStr">
        <is>
          <t>Panadería</t>
        </is>
      </c>
      <c r="S422" t="inlineStr">
        <is>
          <t>Panificadora Ilopango</t>
        </is>
      </c>
      <c r="T422" t="inlineStr">
        <is>
          <t>2295-0081</t>
        </is>
      </c>
      <c r="U422" t="n">
        <v>1.75</v>
      </c>
      <c r="V422" t="n">
        <v>1</v>
      </c>
      <c r="W422" t="n">
        <v>0</v>
      </c>
      <c r="X422">
        <f>IFERROR(U422*V422*(1-W422/100),"")</f>
        <v/>
      </c>
      <c r="Y422">
        <f>IFERROR(ROUND(X422*0.13,2),"")</f>
        <v/>
      </c>
      <c r="Z422">
        <f>IFERROR(X422+Y422,"")</f>
        <v/>
      </c>
      <c r="AA422" t="inlineStr">
        <is>
          <t>Efectivo</t>
        </is>
      </c>
      <c r="AB422" t="inlineStr"/>
    </row>
    <row r="423">
      <c r="A423" t="inlineStr">
        <is>
          <t>F-10797</t>
        </is>
      </c>
      <c r="B423" s="3" t="n">
        <v>46221</v>
      </c>
      <c r="C423" t="inlineStr">
        <is>
          <t>FCF</t>
        </is>
      </c>
      <c r="D423" t="inlineStr">
        <is>
          <t>SM01</t>
        </is>
      </c>
      <c r="E423" t="inlineStr">
        <is>
          <t>San Miguel</t>
        </is>
      </c>
      <c r="F423" t="inlineStr">
        <is>
          <t>Av. Roosevelt Sur #7</t>
        </is>
      </c>
      <c r="G423" t="inlineStr">
        <is>
          <t>San Miguel</t>
        </is>
      </c>
      <c r="H423" t="inlineStr">
        <is>
          <t>San Miguel</t>
        </is>
      </c>
      <c r="I423" t="inlineStr">
        <is>
          <t>Iris Portillo</t>
        </is>
      </c>
      <c r="J423" t="inlineStr">
        <is>
          <t>2661-5076</t>
        </is>
      </c>
      <c r="K423" t="inlineStr">
        <is>
          <t>Paola Cruz</t>
        </is>
      </c>
      <c r="L423" t="inlineStr">
        <is>
          <t>Silvia Martínez Hernández</t>
        </is>
      </c>
      <c r="M423" t="inlineStr">
        <is>
          <t>05821993-5</t>
        </is>
      </c>
      <c r="N423" t="inlineStr">
        <is>
          <t>2126-9362</t>
        </is>
      </c>
      <c r="O423" t="inlineStr">
        <is>
          <t>Consumidor final</t>
        </is>
      </c>
      <c r="P423" t="inlineStr">
        <is>
          <t>HIG-002</t>
        </is>
      </c>
      <c r="Q423" t="inlineStr">
        <is>
          <t>Papel higiénico 4 rollos</t>
        </is>
      </c>
      <c r="R423" t="inlineStr">
        <is>
          <t>Higiene</t>
        </is>
      </c>
      <c r="S423" t="inlineStr">
        <is>
          <t>Higiene Total C.A.</t>
        </is>
      </c>
      <c r="T423" t="inlineStr">
        <is>
          <t>2207-5566</t>
        </is>
      </c>
      <c r="U423" t="n">
        <v>2.15</v>
      </c>
      <c r="V423" t="n">
        <v>4</v>
      </c>
      <c r="W423" t="n">
        <v>0</v>
      </c>
      <c r="X423">
        <f>IFERROR(U423*V423*(1-W423/100),"")</f>
        <v/>
      </c>
      <c r="Y423">
        <f>IFERROR(ROUND(X423*0.13,2),"")</f>
        <v/>
      </c>
      <c r="Z423">
        <f>IFERROR(X423+Y423,"")</f>
        <v/>
      </c>
      <c r="AA423" t="inlineStr">
        <is>
          <t>Efectivo</t>
        </is>
      </c>
      <c r="AB423" t="inlineStr">
        <is>
          <t>entregar en bodega</t>
        </is>
      </c>
    </row>
    <row r="424">
      <c r="A424" t="inlineStr">
        <is>
          <t>F-10797</t>
        </is>
      </c>
      <c r="B424" t="inlineStr">
        <is>
          <t>2026-07-18</t>
        </is>
      </c>
      <c r="C424" t="inlineStr">
        <is>
          <t>FCF</t>
        </is>
      </c>
      <c r="D424" t="inlineStr">
        <is>
          <t>SM01</t>
        </is>
      </c>
      <c r="E424" t="inlineStr">
        <is>
          <t>San Miguel</t>
        </is>
      </c>
      <c r="F424" t="inlineStr">
        <is>
          <t>Av. Roosevelt Sur #7</t>
        </is>
      </c>
      <c r="G424" t="inlineStr">
        <is>
          <t>San Miguel</t>
        </is>
      </c>
      <c r="H424" t="inlineStr">
        <is>
          <t>San Miguel</t>
        </is>
      </c>
      <c r="I424" t="inlineStr">
        <is>
          <t>Iris Portillo</t>
        </is>
      </c>
      <c r="J424" t="inlineStr">
        <is>
          <t>2661-5076</t>
        </is>
      </c>
      <c r="K424" t="inlineStr">
        <is>
          <t>Paola Cruz</t>
        </is>
      </c>
      <c r="L424" t="inlineStr">
        <is>
          <t>Silvia Martínez Hernández</t>
        </is>
      </c>
      <c r="M424" t="inlineStr">
        <is>
          <t>05821993-5</t>
        </is>
      </c>
      <c r="N424" t="inlineStr">
        <is>
          <t>2126-9362</t>
        </is>
      </c>
      <c r="O424" t="inlineStr">
        <is>
          <t>Consumidor final</t>
        </is>
      </c>
      <c r="P424" t="inlineStr">
        <is>
          <t>BEB-003</t>
        </is>
      </c>
      <c r="Q424" t="inlineStr">
        <is>
          <t>Horchata en polvo 400g</t>
        </is>
      </c>
      <c r="R424" t="inlineStr">
        <is>
          <t>Abarrotes</t>
        </is>
      </c>
      <c r="S424" t="inlineStr">
        <is>
          <t>Bebidas Izalco</t>
        </is>
      </c>
      <c r="T424" t="inlineStr">
        <is>
          <t>2450-7700</t>
        </is>
      </c>
      <c r="U424" t="n">
        <v>2.6</v>
      </c>
      <c r="V424" t="n">
        <v>3</v>
      </c>
      <c r="W424" t="n">
        <v>0</v>
      </c>
      <c r="X424">
        <f>IFERROR(U424*V424*(1-W424/100),"")</f>
        <v/>
      </c>
      <c r="Y424">
        <f>IFERROR(ROUND(X424*0.13,2),"")</f>
        <v/>
      </c>
      <c r="Z424">
        <f>IFERROR(X424+Y424,"")</f>
        <v/>
      </c>
      <c r="AA424" t="inlineStr">
        <is>
          <t>Efectivo</t>
        </is>
      </c>
      <c r="AB424" t="inlineStr"/>
    </row>
    <row r="425">
      <c r="A425" t="inlineStr">
        <is>
          <t>F-10798</t>
        </is>
      </c>
      <c r="B425" s="3" t="n">
        <v>46237</v>
      </c>
      <c r="C425" t="inlineStr">
        <is>
          <t>factura</t>
        </is>
      </c>
      <c r="D425" t="inlineStr">
        <is>
          <t>SS01</t>
        </is>
      </c>
      <c r="E425" t="inlineStr">
        <is>
          <t>SAN SALVADOR CENTRO</t>
        </is>
      </c>
      <c r="F425" t="inlineStr">
        <is>
          <t>4a Calle Poniente #215</t>
        </is>
      </c>
      <c r="G425" t="inlineStr">
        <is>
          <t>San Salvador</t>
        </is>
      </c>
      <c r="H425" t="inlineStr">
        <is>
          <t>San Salvador</t>
        </is>
      </c>
      <c r="I425" t="inlineStr">
        <is>
          <t>Roberto Alfaro</t>
        </is>
      </c>
      <c r="J425" t="inlineStr">
        <is>
          <t>2221-4580</t>
        </is>
      </c>
      <c r="K425" t="inlineStr">
        <is>
          <t>José Martínez</t>
        </is>
      </c>
      <c r="L425" t="inlineStr">
        <is>
          <t>Mario Sorto Castillo</t>
        </is>
      </c>
      <c r="M425" t="inlineStr">
        <is>
          <t>09824839-0</t>
        </is>
      </c>
      <c r="N425" t="inlineStr">
        <is>
          <t>7450-4234</t>
        </is>
      </c>
      <c r="O425" t="inlineStr">
        <is>
          <t>Consumidor final</t>
        </is>
      </c>
      <c r="P425" t="inlineStr">
        <is>
          <t>BEB-003</t>
        </is>
      </c>
      <c r="Q425" t="inlineStr">
        <is>
          <t>Horchata en polvo 400g</t>
        </is>
      </c>
      <c r="R425" t="inlineStr">
        <is>
          <t>Bebidas</t>
        </is>
      </c>
      <c r="S425" t="inlineStr">
        <is>
          <t>Bebidas Izalco</t>
        </is>
      </c>
      <c r="T425" t="inlineStr">
        <is>
          <t>2450-7700</t>
        </is>
      </c>
      <c r="U425" t="n">
        <v>2.6</v>
      </c>
      <c r="V425" t="n">
        <v>1</v>
      </c>
      <c r="W425" t="n">
        <v>0</v>
      </c>
      <c r="X425">
        <f>IFERROR(U425*V425*(1-W425/100),"")</f>
        <v/>
      </c>
      <c r="Y425">
        <f>IFERROR(ROUND(X425*0.13,2),"")</f>
        <v/>
      </c>
      <c r="Z425">
        <f>IFERROR(X425+Y425,"")</f>
        <v/>
      </c>
      <c r="AA425" t="inlineStr">
        <is>
          <t>Efectivo</t>
        </is>
      </c>
      <c r="AB425" t="inlineStr">
        <is>
          <t>Llamar al 7788-1234 antes de entregar</t>
        </is>
      </c>
    </row>
    <row r="426">
      <c r="A426" t="inlineStr">
        <is>
          <t>F-10798</t>
        </is>
      </c>
      <c r="B426" s="3" t="n">
        <v>46237</v>
      </c>
      <c r="C426" t="inlineStr">
        <is>
          <t>factura</t>
        </is>
      </c>
      <c r="D426" t="inlineStr">
        <is>
          <t>SS01</t>
        </is>
      </c>
      <c r="E426" t="inlineStr">
        <is>
          <t>S.S. Centro</t>
        </is>
      </c>
      <c r="F426" t="inlineStr">
        <is>
          <t>4a Calle Poniente #215</t>
        </is>
      </c>
      <c r="G426" t="inlineStr">
        <is>
          <t>San Salvador</t>
        </is>
      </c>
      <c r="H426" t="inlineStr">
        <is>
          <t>San Salvador</t>
        </is>
      </c>
      <c r="I426" t="inlineStr">
        <is>
          <t>Roberto Alfaro</t>
        </is>
      </c>
      <c r="J426" t="inlineStr">
        <is>
          <t>2221-4580</t>
        </is>
      </c>
      <c r="K426" t="inlineStr">
        <is>
          <t>José Martínez</t>
        </is>
      </c>
      <c r="L426" t="inlineStr">
        <is>
          <t>Mario Sorto Castillo</t>
        </is>
      </c>
      <c r="M426" t="inlineStr">
        <is>
          <t>09824839-0</t>
        </is>
      </c>
      <c r="N426" t="inlineStr">
        <is>
          <t>7450-4234</t>
        </is>
      </c>
      <c r="O426" t="inlineStr">
        <is>
          <t>Consumidor final</t>
        </is>
      </c>
      <c r="P426" t="inlineStr">
        <is>
          <t>CAF-001</t>
        </is>
      </c>
      <c r="Q426" t="inlineStr">
        <is>
          <t>Café molido 400g</t>
        </is>
      </c>
      <c r="R426" t="inlineStr">
        <is>
          <t>ABARROTES</t>
        </is>
      </c>
      <c r="S426" t="inlineStr">
        <is>
          <t>Café Volcán S.A.</t>
        </is>
      </c>
      <c r="T426" t="inlineStr">
        <is>
          <t>2510-3344</t>
        </is>
      </c>
      <c r="U426" t="inlineStr">
        <is>
          <t>$4.25</t>
        </is>
      </c>
      <c r="V426" t="n">
        <v>1</v>
      </c>
      <c r="W426" t="n">
        <v>0</v>
      </c>
      <c r="X426">
        <f>IFERROR(U426*V426*(1-W426/100),"")</f>
        <v/>
      </c>
      <c r="Y426">
        <f>IFERROR(ROUND(X426*0.13,2),"")</f>
        <v/>
      </c>
      <c r="Z426">
        <f>IFERROR(X426+Y426,"")</f>
        <v/>
      </c>
      <c r="AA426" t="inlineStr">
        <is>
          <t>Efectivo</t>
        </is>
      </c>
      <c r="AB426" t="inlineStr"/>
    </row>
    <row r="427">
      <c r="A427" t="inlineStr">
        <is>
          <t>F-10798</t>
        </is>
      </c>
      <c r="B427" t="inlineStr">
        <is>
          <t>03/08/2026</t>
        </is>
      </c>
      <c r="C427" t="inlineStr">
        <is>
          <t>factura</t>
        </is>
      </c>
      <c r="D427" t="inlineStr">
        <is>
          <t>SS01</t>
        </is>
      </c>
      <c r="E427" t="inlineStr">
        <is>
          <t xml:space="preserve">san salvador centro </t>
        </is>
      </c>
      <c r="F427" t="inlineStr">
        <is>
          <t>4a Calle Poniente #215</t>
        </is>
      </c>
      <c r="G427" t="inlineStr">
        <is>
          <t>San Salvador</t>
        </is>
      </c>
      <c r="H427" t="inlineStr">
        <is>
          <t>San Salvador</t>
        </is>
      </c>
      <c r="I427" t="inlineStr">
        <is>
          <t>Roberto Alfaro</t>
        </is>
      </c>
      <c r="J427" t="inlineStr">
        <is>
          <t>2221-4580</t>
        </is>
      </c>
      <c r="K427" t="inlineStr">
        <is>
          <t>José Martínez</t>
        </is>
      </c>
      <c r="L427" t="inlineStr">
        <is>
          <t>Mario Sorto Castillo</t>
        </is>
      </c>
      <c r="M427" t="inlineStr">
        <is>
          <t>09824839-0</t>
        </is>
      </c>
      <c r="N427" t="inlineStr">
        <is>
          <t>7450-4234</t>
        </is>
      </c>
      <c r="O427" t="inlineStr">
        <is>
          <t>Consumidor final</t>
        </is>
      </c>
      <c r="P427" t="inlineStr">
        <is>
          <t>HIG-002</t>
        </is>
      </c>
      <c r="Q427" t="inlineStr">
        <is>
          <t>Papel higiénico 4 rollos</t>
        </is>
      </c>
      <c r="R427" t="inlineStr">
        <is>
          <t>Limpieza</t>
        </is>
      </c>
      <c r="S427" t="inlineStr">
        <is>
          <t>Higiene Total C.A.</t>
        </is>
      </c>
      <c r="T427" t="inlineStr">
        <is>
          <t>2207-5566</t>
        </is>
      </c>
      <c r="U427" t="n">
        <v>2.15</v>
      </c>
      <c r="V427" t="n">
        <v>24</v>
      </c>
      <c r="W427" t="n">
        <v>0</v>
      </c>
      <c r="X427">
        <f>IFERROR(U427*V427*(1-W427/100),"")</f>
        <v/>
      </c>
      <c r="Y427">
        <f>IFERROR(ROUND(X427*0.13,2),"")</f>
        <v/>
      </c>
      <c r="Z427">
        <f>IFERROR(X427+Y427,"")</f>
        <v/>
      </c>
      <c r="AA427" t="inlineStr">
        <is>
          <t>Efectivo</t>
        </is>
      </c>
      <c r="AB427" t="inlineStr">
        <is>
          <t>Llamar al 7788-1234 antes de entregar</t>
        </is>
      </c>
    </row>
    <row r="428">
      <c r="A428" t="inlineStr">
        <is>
          <t>F-10798</t>
        </is>
      </c>
      <c r="B428" s="3" t="n">
        <v>46237</v>
      </c>
      <c r="C428" t="inlineStr">
        <is>
          <t>factura</t>
        </is>
      </c>
      <c r="D428" t="inlineStr">
        <is>
          <t>SS01</t>
        </is>
      </c>
      <c r="E428" t="inlineStr">
        <is>
          <t>SAN SALVADOR CENTRO</t>
        </is>
      </c>
      <c r="F428" t="inlineStr">
        <is>
          <t>4a Calle Poniente #215</t>
        </is>
      </c>
      <c r="G428" t="inlineStr">
        <is>
          <t>San Salvador</t>
        </is>
      </c>
      <c r="H428" t="inlineStr">
        <is>
          <t>San Salvador</t>
        </is>
      </c>
      <c r="I428" t="inlineStr">
        <is>
          <t>Roberto Alfaro</t>
        </is>
      </c>
      <c r="J428" t="inlineStr">
        <is>
          <t>2221-4580</t>
        </is>
      </c>
      <c r="K428" t="inlineStr">
        <is>
          <t>José Martínez</t>
        </is>
      </c>
      <c r="L428" t="inlineStr">
        <is>
          <t>Mario Sorto Castillo</t>
        </is>
      </c>
      <c r="M428" t="inlineStr">
        <is>
          <t>09824839-0</t>
        </is>
      </c>
      <c r="N428" t="inlineStr">
        <is>
          <t>7450-4234</t>
        </is>
      </c>
      <c r="O428" t="inlineStr">
        <is>
          <t>Consumidor final</t>
        </is>
      </c>
      <c r="P428" t="inlineStr">
        <is>
          <t>BEB-001</t>
        </is>
      </c>
      <c r="Q428" t="inlineStr">
        <is>
          <t>Gaseosa 2.5L</t>
        </is>
      </c>
      <c r="R428" t="inlineStr">
        <is>
          <t>Bebidas</t>
        </is>
      </c>
      <c r="S428" t="inlineStr">
        <is>
          <t>Bebidas Izalco</t>
        </is>
      </c>
      <c r="T428" t="inlineStr">
        <is>
          <t>2450-7700</t>
        </is>
      </c>
      <c r="U428" t="n">
        <v>1.95</v>
      </c>
      <c r="V428" t="n">
        <v>1</v>
      </c>
      <c r="W428" t="n">
        <v>0</v>
      </c>
      <c r="X428">
        <f>IFERROR(U428*V428*(1-W428/100),"")</f>
        <v/>
      </c>
      <c r="Y428">
        <f>IFERROR(ROUND(X428*0.13,2),"")</f>
        <v/>
      </c>
      <c r="Z428">
        <f>IFERROR(X428+Y428,"")</f>
        <v/>
      </c>
      <c r="AA428" t="inlineStr">
        <is>
          <t>Efectivo</t>
        </is>
      </c>
      <c r="AB428" t="inlineStr">
        <is>
          <t>Llamar al 7788-1234 antes de entregar</t>
        </is>
      </c>
    </row>
    <row r="429">
      <c r="A429" t="inlineStr">
        <is>
          <t>F-10801</t>
        </is>
      </c>
      <c r="B429" t="inlineStr">
        <is>
          <t>2026-08-06</t>
        </is>
      </c>
      <c r="C429" t="inlineStr">
        <is>
          <t>FCF</t>
        </is>
      </c>
      <c r="D429" t="inlineStr">
        <is>
          <t>SS01</t>
        </is>
      </c>
      <c r="E429" t="inlineStr">
        <is>
          <t>S.S. Centro</t>
        </is>
      </c>
      <c r="F429" t="inlineStr">
        <is>
          <t>4a Calle Poniente #215</t>
        </is>
      </c>
      <c r="G429" t="inlineStr">
        <is>
          <t>San Salvador</t>
        </is>
      </c>
      <c r="H429" t="inlineStr">
        <is>
          <t>San Salvador</t>
        </is>
      </c>
      <c r="I429" t="inlineStr">
        <is>
          <t>Roberto Alfaro</t>
        </is>
      </c>
      <c r="J429" t="inlineStr">
        <is>
          <t>2221-4580</t>
        </is>
      </c>
      <c r="K429" t="inlineStr">
        <is>
          <t>José Martínez</t>
        </is>
      </c>
      <c r="L429" t="inlineStr">
        <is>
          <t>Sandra Rivera Pérez</t>
        </is>
      </c>
      <c r="M429" t="inlineStr">
        <is>
          <t>00391949-0</t>
        </is>
      </c>
      <c r="N429" t="inlineStr">
        <is>
          <t>6654-8845</t>
        </is>
      </c>
      <c r="O429" t="inlineStr">
        <is>
          <t>Consumidor final</t>
        </is>
      </c>
      <c r="P429" t="inlineStr">
        <is>
          <t>LAC-002</t>
        </is>
      </c>
      <c r="Q429" t="inlineStr">
        <is>
          <t>Crema 500ml</t>
        </is>
      </c>
      <c r="R429" t="inlineStr">
        <is>
          <t>Lácteos</t>
        </is>
      </c>
      <c r="S429" t="inlineStr">
        <is>
          <t>Lácteos Chalate</t>
        </is>
      </c>
      <c r="T429" t="inlineStr">
        <is>
          <t>2335-1020</t>
        </is>
      </c>
      <c r="U429" t="n">
        <v>2.25</v>
      </c>
      <c r="V429" t="n">
        <v>2</v>
      </c>
      <c r="W429" t="n">
        <v>0</v>
      </c>
      <c r="X429">
        <f>IFERROR(U429*V429*(1-W429/100),"")</f>
        <v/>
      </c>
      <c r="Y429">
        <f>IFERROR(ROUND(X429*0.13,2),"")</f>
        <v/>
      </c>
      <c r="Z429">
        <f>IFERROR(X429+Y429,"")</f>
        <v/>
      </c>
      <c r="AA429" t="inlineStr">
        <is>
          <t>Tarjeta</t>
        </is>
      </c>
      <c r="AB429" t="inlineStr"/>
    </row>
    <row r="430">
      <c r="A430" t="inlineStr">
        <is>
          <t>F-10801</t>
        </is>
      </c>
      <c r="B430" s="3" t="n">
        <v>46240</v>
      </c>
      <c r="C430" t="inlineStr">
        <is>
          <t>FCF</t>
        </is>
      </c>
      <c r="D430" t="inlineStr">
        <is>
          <t>SS01</t>
        </is>
      </c>
      <c r="E430" t="inlineStr">
        <is>
          <t>San Salvador Centro</t>
        </is>
      </c>
      <c r="F430" t="inlineStr">
        <is>
          <t>4a Calle Poniente #215</t>
        </is>
      </c>
      <c r="G430" t="inlineStr">
        <is>
          <t>San Salvador</t>
        </is>
      </c>
      <c r="H430" t="inlineStr">
        <is>
          <t>San Salvador</t>
        </is>
      </c>
      <c r="I430" t="inlineStr">
        <is>
          <t>Roberto Alfaro</t>
        </is>
      </c>
      <c r="J430" t="inlineStr">
        <is>
          <t>2221-4580</t>
        </is>
      </c>
      <c r="K430" t="inlineStr">
        <is>
          <t>José Martínez</t>
        </is>
      </c>
      <c r="L430" t="inlineStr">
        <is>
          <t>Sandra Rivera Pérez</t>
        </is>
      </c>
      <c r="M430" t="inlineStr">
        <is>
          <t>00391949-0</t>
        </is>
      </c>
      <c r="N430" t="inlineStr">
        <is>
          <t>6654-8845</t>
        </is>
      </c>
      <c r="O430" t="inlineStr">
        <is>
          <t>Consumidor final</t>
        </is>
      </c>
      <c r="P430" t="inlineStr">
        <is>
          <t>FRI-001</t>
        </is>
      </c>
      <c r="Q430" t="inlineStr">
        <is>
          <t>Frijol rojo de seda 2lb</t>
        </is>
      </c>
      <c r="R430" t="inlineStr">
        <is>
          <t>Granos básicos</t>
        </is>
      </c>
      <c r="S430" t="inlineStr">
        <is>
          <t>Granos del Pacífico</t>
        </is>
      </c>
      <c r="T430" t="inlineStr">
        <is>
          <t>2234-8890</t>
        </is>
      </c>
      <c r="U430" t="n">
        <v>2.4</v>
      </c>
      <c r="V430" t="n">
        <v>2</v>
      </c>
      <c r="W430" t="n">
        <v>0</v>
      </c>
      <c r="X430">
        <f>IFERROR(U430*V430*(1-W430/100),"")</f>
        <v/>
      </c>
      <c r="Y430">
        <f>IFERROR(ROUND(X430*0.13,2),"")</f>
        <v/>
      </c>
      <c r="Z430">
        <f>IFERROR(X430+Y430,"")</f>
        <v/>
      </c>
      <c r="AA430" t="inlineStr">
        <is>
          <t>Tarjeta</t>
        </is>
      </c>
      <c r="AB430" t="inlineStr">
        <is>
          <t>pagó con billete de $100</t>
        </is>
      </c>
    </row>
    <row r="431">
      <c r="A431" t="inlineStr">
        <is>
          <t>F-10803</t>
        </is>
      </c>
      <c r="B431" s="3" t="n">
        <v>46282</v>
      </c>
      <c r="C431" t="inlineStr">
        <is>
          <t>Factura</t>
        </is>
      </c>
      <c r="D431" t="inlineStr">
        <is>
          <t>US01</t>
        </is>
      </c>
      <c r="E431" t="inlineStr">
        <is>
          <t>Usulutan</t>
        </is>
      </c>
      <c r="F431" t="inlineStr">
        <is>
          <t>2a Av. Norte #9</t>
        </is>
      </c>
      <c r="G431" t="inlineStr">
        <is>
          <t>Usulután</t>
        </is>
      </c>
      <c r="H431" t="inlineStr">
        <is>
          <t>Usulután</t>
        </is>
      </c>
      <c r="I431" t="inlineStr">
        <is>
          <t>Nelson Fuentes</t>
        </is>
      </c>
      <c r="J431" t="inlineStr">
        <is>
          <t>2662-8810</t>
        </is>
      </c>
      <c r="K431" t="inlineStr">
        <is>
          <t>Miguel Bonilla</t>
        </is>
      </c>
      <c r="L431" t="inlineStr">
        <is>
          <t>Edwin Cornejo Mejía</t>
        </is>
      </c>
      <c r="M431" t="inlineStr"/>
      <c r="N431" t="inlineStr">
        <is>
          <t>7415-9980</t>
        </is>
      </c>
      <c r="O431" t="inlineStr">
        <is>
          <t>Consumidor final</t>
        </is>
      </c>
      <c r="P431" t="inlineStr">
        <is>
          <t>LAC-003</t>
        </is>
      </c>
      <c r="Q431" t="inlineStr">
        <is>
          <t>Leche entera 1L</t>
        </is>
      </c>
      <c r="R431" t="inlineStr">
        <is>
          <t>Lácteos</t>
        </is>
      </c>
      <c r="S431" t="inlineStr">
        <is>
          <t>Lácteos Chalate</t>
        </is>
      </c>
      <c r="T431" t="inlineStr">
        <is>
          <t>2335-1020</t>
        </is>
      </c>
      <c r="U431" t="n">
        <v>1.2</v>
      </c>
      <c r="V431" t="n">
        <v>4</v>
      </c>
      <c r="W431" t="n">
        <v>0</v>
      </c>
      <c r="X431">
        <f>IFERROR(U431*V431*(1-W431/100),"")</f>
        <v/>
      </c>
      <c r="Y431">
        <f>IFERROR(ROUND(X431*0.13,2),"")</f>
        <v/>
      </c>
      <c r="Z431">
        <f>IFERROR(X431+Y431,"")</f>
        <v/>
      </c>
      <c r="AA431" t="inlineStr">
        <is>
          <t>Transferencia</t>
        </is>
      </c>
      <c r="AB431" t="inlineStr">
        <is>
          <t>pagó con billete de $100</t>
        </is>
      </c>
    </row>
    <row r="432">
      <c r="A432" t="inlineStr">
        <is>
          <t>F-10803</t>
        </is>
      </c>
      <c r="B432" s="3" t="n">
        <v>46282</v>
      </c>
      <c r="C432" t="inlineStr">
        <is>
          <t>Factura</t>
        </is>
      </c>
      <c r="D432" t="inlineStr">
        <is>
          <t>US01</t>
        </is>
      </c>
      <c r="E432" t="inlineStr">
        <is>
          <t>Usulután</t>
        </is>
      </c>
      <c r="F432" t="inlineStr">
        <is>
          <t>2a Av. Norte #9</t>
        </is>
      </c>
      <c r="G432" t="inlineStr">
        <is>
          <t>Usulután</t>
        </is>
      </c>
      <c r="H432" t="inlineStr">
        <is>
          <t>Usulután</t>
        </is>
      </c>
      <c r="I432" t="inlineStr">
        <is>
          <t>Nelson Fuentes</t>
        </is>
      </c>
      <c r="J432" t="inlineStr">
        <is>
          <t>2662-8810</t>
        </is>
      </c>
      <c r="K432" t="inlineStr">
        <is>
          <t>Miguel Bonilla</t>
        </is>
      </c>
      <c r="L432" t="inlineStr">
        <is>
          <t>Edwin Cornejo Mejía</t>
        </is>
      </c>
      <c r="M432" t="inlineStr">
        <is>
          <t>09391819-6</t>
        </is>
      </c>
      <c r="N432" t="inlineStr">
        <is>
          <t>7415-9980</t>
        </is>
      </c>
      <c r="O432" t="inlineStr">
        <is>
          <t>Consumidor final</t>
        </is>
      </c>
      <c r="P432" t="inlineStr">
        <is>
          <t>HIG-003</t>
        </is>
      </c>
      <c r="Q432" t="inlineStr">
        <is>
          <t>Jabón de lavar barra</t>
        </is>
      </c>
      <c r="R432" t="inlineStr">
        <is>
          <t>Limpieza</t>
        </is>
      </c>
      <c r="S432" t="inlineStr">
        <is>
          <t>Higiene Total C.A.</t>
        </is>
      </c>
      <c r="T432" t="inlineStr">
        <is>
          <t>2207-5566</t>
        </is>
      </c>
      <c r="U432" t="n">
        <v>0.75</v>
      </c>
      <c r="V432" t="n">
        <v>2</v>
      </c>
      <c r="W432" t="n">
        <v>0</v>
      </c>
      <c r="X432">
        <f>IFERROR(U432*V432*(1-W432/100),"")</f>
        <v/>
      </c>
      <c r="Y432">
        <f>IFERROR(ROUND(X432*0.13,2),"")</f>
        <v/>
      </c>
      <c r="Z432">
        <f>IFERROR(X432+Y432,"")</f>
        <v/>
      </c>
      <c r="AA432" t="inlineStr">
        <is>
          <t>Transferencia</t>
        </is>
      </c>
      <c r="AB432" t="inlineStr"/>
    </row>
    <row r="433">
      <c r="A433" t="inlineStr">
        <is>
          <t>F-10803</t>
        </is>
      </c>
      <c r="B433" s="3" t="n">
        <v>46282</v>
      </c>
      <c r="C433" t="inlineStr">
        <is>
          <t>Factura</t>
        </is>
      </c>
      <c r="D433" t="inlineStr">
        <is>
          <t>US01</t>
        </is>
      </c>
      <c r="E433" t="inlineStr">
        <is>
          <t>Usulután</t>
        </is>
      </c>
      <c r="F433" t="inlineStr">
        <is>
          <t>2a Av. Norte #9</t>
        </is>
      </c>
      <c r="G433" t="inlineStr">
        <is>
          <t>Usulután</t>
        </is>
      </c>
      <c r="H433" t="inlineStr">
        <is>
          <t>Usulután</t>
        </is>
      </c>
      <c r="I433" t="inlineStr">
        <is>
          <t>Nelson Fuentes</t>
        </is>
      </c>
      <c r="J433" t="inlineStr">
        <is>
          <t>2662-8810</t>
        </is>
      </c>
      <c r="K433" t="inlineStr">
        <is>
          <t>Miguel Bonilla</t>
        </is>
      </c>
      <c r="L433" t="inlineStr">
        <is>
          <t>Edwin Cornejo Mejía</t>
        </is>
      </c>
      <c r="M433" t="inlineStr">
        <is>
          <t>09391819-6</t>
        </is>
      </c>
      <c r="N433" t="inlineStr">
        <is>
          <t>7415-9980</t>
        </is>
      </c>
      <c r="O433" t="inlineStr">
        <is>
          <t>Consumidor final</t>
        </is>
      </c>
      <c r="P433" t="inlineStr">
        <is>
          <t>PAN-002</t>
        </is>
      </c>
      <c r="Q433" t="inlineStr">
        <is>
          <t>Semita alta</t>
        </is>
      </c>
      <c r="R433" t="inlineStr">
        <is>
          <t>Panadería</t>
        </is>
      </c>
      <c r="S433" t="inlineStr">
        <is>
          <t>Panificadora Ilopango</t>
        </is>
      </c>
      <c r="T433" t="inlineStr">
        <is>
          <t>2295-0081</t>
        </is>
      </c>
      <c r="U433" t="n">
        <v>1.75</v>
      </c>
      <c r="V433" t="n">
        <v>6</v>
      </c>
      <c r="W433" t="n">
        <v>0</v>
      </c>
      <c r="X433">
        <f>IFERROR(U433*V433*(1-W433/100),"")</f>
        <v/>
      </c>
      <c r="Y433">
        <f>IFERROR(ROUND(X433*0.13,2),"")</f>
        <v/>
      </c>
      <c r="Z433">
        <f>IFERROR(X433+Y433,"")</f>
        <v/>
      </c>
      <c r="AA433" t="inlineStr">
        <is>
          <t>Transferencia</t>
        </is>
      </c>
      <c r="AB433" t="inlineStr"/>
    </row>
    <row r="434">
      <c r="A434" t="inlineStr">
        <is>
          <t>F-10803</t>
        </is>
      </c>
      <c r="B434" t="inlineStr">
        <is>
          <t>2026-09-17</t>
        </is>
      </c>
      <c r="C434" t="inlineStr">
        <is>
          <t>Factura</t>
        </is>
      </c>
      <c r="D434" t="inlineStr">
        <is>
          <t>US01</t>
        </is>
      </c>
      <c r="E434" t="inlineStr">
        <is>
          <t>Usulutan</t>
        </is>
      </c>
      <c r="F434" t="inlineStr">
        <is>
          <t>2a Av. Norte #9</t>
        </is>
      </c>
      <c r="G434" t="inlineStr">
        <is>
          <t>Usulután</t>
        </is>
      </c>
      <c r="H434" t="inlineStr">
        <is>
          <t>Usulután</t>
        </is>
      </c>
      <c r="I434" t="inlineStr">
        <is>
          <t>Nelson Fuentes</t>
        </is>
      </c>
      <c r="J434" t="inlineStr">
        <is>
          <t>2662-8810</t>
        </is>
      </c>
      <c r="K434" t="inlineStr">
        <is>
          <t>Miguel Bonilla</t>
        </is>
      </c>
      <c r="L434" t="inlineStr">
        <is>
          <t>Edwin Cornejo Mejía</t>
        </is>
      </c>
      <c r="M434" t="inlineStr">
        <is>
          <t>09391819-6</t>
        </is>
      </c>
      <c r="N434" t="inlineStr">
        <is>
          <t>7415-9980</t>
        </is>
      </c>
      <c r="O434" t="inlineStr">
        <is>
          <t>Consumidor final</t>
        </is>
      </c>
      <c r="P434" t="inlineStr">
        <is>
          <t>LAC-002</t>
        </is>
      </c>
      <c r="Q434" t="inlineStr">
        <is>
          <t>Crema 500ml</t>
        </is>
      </c>
      <c r="R434" t="inlineStr">
        <is>
          <t>Lacteos</t>
        </is>
      </c>
      <c r="S434" t="inlineStr">
        <is>
          <t>Lácteos Chalate</t>
        </is>
      </c>
      <c r="T434" t="inlineStr">
        <is>
          <t>2335-1020</t>
        </is>
      </c>
      <c r="U434" t="n">
        <v>2.25</v>
      </c>
      <c r="V434" t="n">
        <v>1</v>
      </c>
      <c r="W434" t="n">
        <v>0</v>
      </c>
      <c r="X434">
        <f>IFERROR(U434*V434*(1-W434/100),"")</f>
        <v/>
      </c>
      <c r="Y434">
        <f>IFERROR(ROUND(X434*0.13,2),"")</f>
        <v/>
      </c>
      <c r="Z434">
        <f>IFERROR(X434+Y434,"")</f>
        <v/>
      </c>
      <c r="AA434" t="inlineStr">
        <is>
          <t>Transferencia</t>
        </is>
      </c>
      <c r="AB434" t="inlineStr"/>
    </row>
    <row r="435">
      <c r="A435" t="inlineStr">
        <is>
          <t>F-10805</t>
        </is>
      </c>
      <c r="B435" s="3" t="n">
        <v>46228</v>
      </c>
      <c r="C435" t="inlineStr">
        <is>
          <t>CCF</t>
        </is>
      </c>
      <c r="D435" t="inlineStr">
        <is>
          <t>SA01</t>
        </is>
      </c>
      <c r="E435" t="inlineStr">
        <is>
          <t>STA ANA</t>
        </is>
      </c>
      <c r="F435" t="inlineStr">
        <is>
          <t>Av. Independencia Sur #12</t>
        </is>
      </c>
      <c r="G435" t="inlineStr">
        <is>
          <t>Santa Ana</t>
        </is>
      </c>
      <c r="H435" t="inlineStr">
        <is>
          <t>Santa Ana</t>
        </is>
      </c>
      <c r="I435" t="inlineStr">
        <is>
          <t>Mauricio Linares</t>
        </is>
      </c>
      <c r="J435" t="inlineStr">
        <is>
          <t>2440-9921</t>
        </is>
      </c>
      <c r="K435" t="inlineStr">
        <is>
          <t>Sofía Cáceres</t>
        </is>
      </c>
      <c r="L435" t="inlineStr">
        <is>
          <t>Restaurante El Guanaco</t>
        </is>
      </c>
      <c r="M435" t="inlineStr">
        <is>
          <t>168675-3</t>
        </is>
      </c>
      <c r="N435" t="inlineStr">
        <is>
          <t>6165-7029</t>
        </is>
      </c>
      <c r="O435" t="inlineStr">
        <is>
          <t>Contribuyente</t>
        </is>
      </c>
      <c r="P435" t="inlineStr">
        <is>
          <t>PAN-003</t>
        </is>
      </c>
      <c r="Q435" t="inlineStr">
        <is>
          <t>Quesadilla salvadoreña</t>
        </is>
      </c>
      <c r="R435" t="inlineStr">
        <is>
          <t>Panadería</t>
        </is>
      </c>
      <c r="S435" t="inlineStr">
        <is>
          <t>Panificadora Ilopango</t>
        </is>
      </c>
      <c r="T435" t="inlineStr">
        <is>
          <t>2295-0081</t>
        </is>
      </c>
      <c r="U435" t="n">
        <v>2.5</v>
      </c>
      <c r="V435" t="n">
        <v>3</v>
      </c>
      <c r="W435" t="n">
        <v>0</v>
      </c>
      <c r="X435">
        <f>IFERROR(U435*V435*(1-W435/100),"")</f>
        <v/>
      </c>
      <c r="Y435">
        <f>IFERROR(ROUND(X435*0.13,2),"")</f>
        <v/>
      </c>
      <c r="Z435">
        <f>IFERROR(X435+Y435,"")</f>
        <v/>
      </c>
      <c r="AA435" t="inlineStr">
        <is>
          <t>Tarjeta</t>
        </is>
      </c>
      <c r="AB435" t="inlineStr"/>
    </row>
    <row r="436">
      <c r="A436" t="inlineStr">
        <is>
          <t>F-10806</t>
        </is>
      </c>
      <c r="B436" t="inlineStr">
        <is>
          <t>09-Aug-26</t>
        </is>
      </c>
      <c r="C436" t="inlineStr">
        <is>
          <t>Factura</t>
        </is>
      </c>
      <c r="D436" t="inlineStr">
        <is>
          <t>SM01</t>
        </is>
      </c>
      <c r="E436" t="inlineStr">
        <is>
          <t>San Miguel</t>
        </is>
      </c>
      <c r="F436" t="inlineStr">
        <is>
          <t>Av. Roosevelt Sur #7</t>
        </is>
      </c>
      <c r="G436" t="inlineStr">
        <is>
          <t>San Miguel</t>
        </is>
      </c>
      <c r="H436" t="inlineStr">
        <is>
          <t>San Miguel</t>
        </is>
      </c>
      <c r="I436" t="inlineStr">
        <is>
          <t>Iris Portillo</t>
        </is>
      </c>
      <c r="J436" t="inlineStr">
        <is>
          <t>2661-5076</t>
        </is>
      </c>
      <c r="K436" t="inlineStr">
        <is>
          <t>Paola Cruz</t>
        </is>
      </c>
      <c r="L436" t="inlineStr">
        <is>
          <t>René Cornejo Cornejo</t>
        </is>
      </c>
      <c r="M436" t="inlineStr">
        <is>
          <t>03632979-1</t>
        </is>
      </c>
      <c r="N436" t="inlineStr">
        <is>
          <t>7833-5595</t>
        </is>
      </c>
      <c r="O436" t="inlineStr">
        <is>
          <t>Consumidor final</t>
        </is>
      </c>
      <c r="P436" t="inlineStr">
        <is>
          <t>LAC-003</t>
        </is>
      </c>
      <c r="Q436" t="inlineStr">
        <is>
          <t>Leche entera 1L</t>
        </is>
      </c>
      <c r="R436" t="inlineStr">
        <is>
          <t>Lácteos</t>
        </is>
      </c>
      <c r="S436" t="inlineStr">
        <is>
          <t>Lácteos Chalate</t>
        </is>
      </c>
      <c r="T436" t="inlineStr">
        <is>
          <t>2335-1020</t>
        </is>
      </c>
      <c r="U436" t="n">
        <v>1.2</v>
      </c>
      <c r="V436" t="n">
        <v>6</v>
      </c>
      <c r="W436" t="n">
        <v>0</v>
      </c>
      <c r="X436">
        <f>IFERROR(U436*V436*(1-W436/100),"")</f>
        <v/>
      </c>
      <c r="Y436">
        <f>IFERROR(ROUND(X436*0.13,2),"")</f>
        <v/>
      </c>
      <c r="Z436">
        <f>IFERROR(X436+Y436,"")</f>
        <v/>
      </c>
      <c r="AA436" t="inlineStr">
        <is>
          <t>Bitcoin</t>
        </is>
      </c>
      <c r="AB436" t="inlineStr">
        <is>
          <t>pagó con billete de $100</t>
        </is>
      </c>
    </row>
    <row r="437">
      <c r="A437" t="inlineStr">
        <is>
          <t>F-10806</t>
        </is>
      </c>
      <c r="B437" s="3" t="n">
        <v>46243</v>
      </c>
      <c r="C437" t="inlineStr">
        <is>
          <t>Factura</t>
        </is>
      </c>
      <c r="D437" t="inlineStr">
        <is>
          <t>SM01</t>
        </is>
      </c>
      <c r="E437" t="inlineStr">
        <is>
          <t>San Miguel</t>
        </is>
      </c>
      <c r="F437" t="inlineStr">
        <is>
          <t>Av. Roosevelt Sur #7</t>
        </is>
      </c>
      <c r="G437" t="inlineStr">
        <is>
          <t>San Miguel</t>
        </is>
      </c>
      <c r="H437" t="inlineStr">
        <is>
          <t>San Miguel</t>
        </is>
      </c>
      <c r="I437" t="inlineStr">
        <is>
          <t>Iris Portillo</t>
        </is>
      </c>
      <c r="J437" t="inlineStr">
        <is>
          <t>2661-5076</t>
        </is>
      </c>
      <c r="K437" t="inlineStr">
        <is>
          <t>Paola Cruz</t>
        </is>
      </c>
      <c r="L437" t="inlineStr">
        <is>
          <t>René Cornejo Cornejo</t>
        </is>
      </c>
      <c r="M437" t="inlineStr">
        <is>
          <t>03632979-1</t>
        </is>
      </c>
      <c r="N437" t="inlineStr">
        <is>
          <t>7833-5595</t>
        </is>
      </c>
      <c r="O437" t="inlineStr">
        <is>
          <t>Consumidor final</t>
        </is>
      </c>
      <c r="P437" t="inlineStr">
        <is>
          <t>CAF-002</t>
        </is>
      </c>
      <c r="Q437" t="inlineStr">
        <is>
          <t>Café en grano 1lb</t>
        </is>
      </c>
      <c r="R437" t="inlineStr">
        <is>
          <t>Abarrotes</t>
        </is>
      </c>
      <c r="S437" t="inlineStr">
        <is>
          <t>Café Volcán S.A.</t>
        </is>
      </c>
      <c r="T437" t="inlineStr">
        <is>
          <t>2510-3344</t>
        </is>
      </c>
      <c r="U437" t="n">
        <v>6.75</v>
      </c>
      <c r="V437" t="n">
        <v>1</v>
      </c>
      <c r="W437" t="n">
        <v>0</v>
      </c>
      <c r="X437">
        <f>IFERROR(U437*V437*(1-W437/100),"")</f>
        <v/>
      </c>
      <c r="Y437">
        <f>IFERROR(ROUND(X437*0.13,2),"")</f>
        <v/>
      </c>
      <c r="Z437">
        <f>IFERROR(X437+Y437,"")</f>
        <v/>
      </c>
      <c r="AA437" t="inlineStr">
        <is>
          <t>Bitcoin</t>
        </is>
      </c>
      <c r="AB437" t="inlineStr">
        <is>
          <t>precio especial autorizado por gerente</t>
        </is>
      </c>
    </row>
    <row r="438">
      <c r="A438" t="inlineStr">
        <is>
          <t>F-10808</t>
        </is>
      </c>
      <c r="B438" s="3" t="n">
        <v>46282</v>
      </c>
      <c r="C438" t="inlineStr">
        <is>
          <t>Factura</t>
        </is>
      </c>
      <c r="D438" t="inlineStr">
        <is>
          <t>SA01</t>
        </is>
      </c>
      <c r="E438" t="inlineStr">
        <is>
          <t>STA ANA</t>
        </is>
      </c>
      <c r="F438" t="inlineStr">
        <is>
          <t>Av. Independencia Sur #12</t>
        </is>
      </c>
      <c r="G438" t="inlineStr">
        <is>
          <t>Santa Ana</t>
        </is>
      </c>
      <c r="H438" t="inlineStr">
        <is>
          <t>Santa Ana</t>
        </is>
      </c>
      <c r="I438" t="inlineStr">
        <is>
          <t>Verónica Sandoval</t>
        </is>
      </c>
      <c r="J438" t="inlineStr">
        <is>
          <t>2440-9921</t>
        </is>
      </c>
      <c r="K438" t="inlineStr">
        <is>
          <t>Diego Zelaya</t>
        </is>
      </c>
      <c r="L438" t="inlineStr">
        <is>
          <t>René Alvarado Lemus</t>
        </is>
      </c>
      <c r="M438" t="inlineStr">
        <is>
          <t>07676586-8</t>
        </is>
      </c>
      <c r="N438" t="inlineStr">
        <is>
          <t>6907-6114</t>
        </is>
      </c>
      <c r="O438" t="inlineStr">
        <is>
          <t>Consumidor final</t>
        </is>
      </c>
      <c r="P438" t="inlineStr">
        <is>
          <t>BEB-003</t>
        </is>
      </c>
      <c r="Q438" t="inlineStr">
        <is>
          <t>Horchata en polvo 400g</t>
        </is>
      </c>
      <c r="R438" t="inlineStr">
        <is>
          <t>Abarrotes</t>
        </is>
      </c>
      <c r="S438" t="inlineStr">
        <is>
          <t>Bebidas Izalco</t>
        </is>
      </c>
      <c r="T438" t="inlineStr">
        <is>
          <t>2450-7700</t>
        </is>
      </c>
      <c r="U438" t="n">
        <v>2.6</v>
      </c>
      <c r="V438" t="n">
        <v>3</v>
      </c>
      <c r="W438" t="n">
        <v>0</v>
      </c>
      <c r="X438">
        <f>IFERROR(U438*V438*(1-W438/100),"")</f>
        <v/>
      </c>
      <c r="Y438">
        <f>IFERROR(ROUND(X438*0.13,2),"")</f>
        <v/>
      </c>
      <c r="Z438">
        <f>IFERROR(X438+Y438,"")</f>
        <v/>
      </c>
      <c r="AA438" t="inlineStr">
        <is>
          <t>Chivo</t>
        </is>
      </c>
      <c r="AB438" t="inlineStr"/>
    </row>
    <row r="439">
      <c r="A439" t="inlineStr">
        <is>
          <t>F-10808</t>
        </is>
      </c>
      <c r="B439" s="3" t="n">
        <v>46282</v>
      </c>
      <c r="C439" t="inlineStr">
        <is>
          <t>Factura</t>
        </is>
      </c>
      <c r="D439" t="inlineStr">
        <is>
          <t>SA01</t>
        </is>
      </c>
      <c r="E439" t="inlineStr">
        <is>
          <t>STA ANA</t>
        </is>
      </c>
      <c r="F439" t="inlineStr">
        <is>
          <t>Av. Independencia Sur #12</t>
        </is>
      </c>
      <c r="G439" t="inlineStr">
        <is>
          <t>Santa Ana</t>
        </is>
      </c>
      <c r="H439" t="inlineStr">
        <is>
          <t>Santa Ana</t>
        </is>
      </c>
      <c r="I439" t="inlineStr">
        <is>
          <t>Verónica Sandoval</t>
        </is>
      </c>
      <c r="J439" t="inlineStr">
        <is>
          <t>2440-9921</t>
        </is>
      </c>
      <c r="K439" t="inlineStr">
        <is>
          <t>Diego Zelaya</t>
        </is>
      </c>
      <c r="L439" t="inlineStr">
        <is>
          <t>René Alvarado Lemus</t>
        </is>
      </c>
      <c r="M439" t="inlineStr">
        <is>
          <t>07676586-8</t>
        </is>
      </c>
      <c r="N439" t="inlineStr">
        <is>
          <t>6907-6114</t>
        </is>
      </c>
      <c r="O439" t="inlineStr">
        <is>
          <t>Consumidor final</t>
        </is>
      </c>
      <c r="P439" t="inlineStr">
        <is>
          <t>LAC-003</t>
        </is>
      </c>
      <c r="Q439" t="inlineStr">
        <is>
          <t>Leche entera 1L</t>
        </is>
      </c>
      <c r="R439" t="inlineStr">
        <is>
          <t>Lácteos</t>
        </is>
      </c>
      <c r="S439" t="inlineStr">
        <is>
          <t>Lácteos Chalate</t>
        </is>
      </c>
      <c r="T439" t="inlineStr">
        <is>
          <t>2335-1020</t>
        </is>
      </c>
      <c r="U439" t="n">
        <v>1.2</v>
      </c>
      <c r="V439" t="n">
        <v>1</v>
      </c>
      <c r="W439" t="n">
        <v>0</v>
      </c>
      <c r="X439">
        <f>IFERROR(U439*V439*(1-W439/100),"")</f>
        <v/>
      </c>
      <c r="Y439">
        <f>IFERROR(ROUND(X439*0.13,2),"")</f>
        <v/>
      </c>
      <c r="Z439">
        <f>IFERROR(X439+Y439,"")</f>
        <v/>
      </c>
      <c r="AA439" t="inlineStr">
        <is>
          <t>Chivo</t>
        </is>
      </c>
      <c r="AB439" t="inlineStr"/>
    </row>
    <row r="440">
      <c r="A440" t="inlineStr">
        <is>
          <t>F-10811</t>
        </is>
      </c>
      <c r="B440" t="inlineStr">
        <is>
          <t>21/08/2026</t>
        </is>
      </c>
      <c r="C440" t="inlineStr">
        <is>
          <t>FCF</t>
        </is>
      </c>
      <c r="D440" t="inlineStr">
        <is>
          <t>US01</t>
        </is>
      </c>
      <c r="E440" t="inlineStr">
        <is>
          <t>Usulután</t>
        </is>
      </c>
      <c r="F440" t="inlineStr">
        <is>
          <t>2a Av. Norte #9</t>
        </is>
      </c>
      <c r="G440" t="inlineStr">
        <is>
          <t>Usulután</t>
        </is>
      </c>
      <c r="H440" t="inlineStr">
        <is>
          <t>Usulután</t>
        </is>
      </c>
      <c r="I440" t="inlineStr">
        <is>
          <t>Nelson Fuentes</t>
        </is>
      </c>
      <c r="J440" t="inlineStr">
        <is>
          <t>2662-8810</t>
        </is>
      </c>
      <c r="K440" t="inlineStr">
        <is>
          <t>Miguel Bonilla</t>
        </is>
      </c>
      <c r="L440" t="inlineStr">
        <is>
          <t>Mario Castillo Lemus</t>
        </is>
      </c>
      <c r="M440" t="inlineStr">
        <is>
          <t>01650441-7</t>
        </is>
      </c>
      <c r="N440" t="inlineStr">
        <is>
          <t>7833-9440</t>
        </is>
      </c>
      <c r="O440" t="inlineStr">
        <is>
          <t>Consumidor final</t>
        </is>
      </c>
      <c r="P440" t="inlineStr">
        <is>
          <t>HIG-001</t>
        </is>
      </c>
      <c r="Q440" t="inlineStr">
        <is>
          <t>Detergente 1kg</t>
        </is>
      </c>
      <c r="R440" t="inlineStr">
        <is>
          <t>limpieza</t>
        </is>
      </c>
      <c r="S440" t="inlineStr">
        <is>
          <t>Higiene Total C.A.</t>
        </is>
      </c>
      <c r="T440" t="inlineStr">
        <is>
          <t>2207-5566</t>
        </is>
      </c>
      <c r="U440" t="n">
        <v>3.45</v>
      </c>
      <c r="V440" t="n">
        <v>1</v>
      </c>
      <c r="W440" t="n">
        <v>0</v>
      </c>
      <c r="X440">
        <f>IFERROR(U440*V440*(1-W440/100),"")</f>
        <v/>
      </c>
      <c r="Y440">
        <f>IFERROR(ROUND(X440*0.13,2),"")</f>
        <v/>
      </c>
      <c r="Z440">
        <f>IFERROR(X440+Y440,"")</f>
        <v/>
      </c>
      <c r="AA440" t="inlineStr">
        <is>
          <t>Transferencia</t>
        </is>
      </c>
      <c r="AB440" t="inlineStr">
        <is>
          <t>Cliente frecuente</t>
        </is>
      </c>
    </row>
    <row r="441">
      <c r="A441" t="inlineStr">
        <is>
          <t>F-10811</t>
        </is>
      </c>
      <c r="B441" s="3" t="n">
        <v>46255</v>
      </c>
      <c r="C441" t="inlineStr">
        <is>
          <t>FCF</t>
        </is>
      </c>
      <c r="D441" t="inlineStr">
        <is>
          <t>US01</t>
        </is>
      </c>
      <c r="E441" t="inlineStr">
        <is>
          <t>Usulután</t>
        </is>
      </c>
      <c r="F441" t="inlineStr">
        <is>
          <t>2a Av. Norte #9</t>
        </is>
      </c>
      <c r="G441" t="inlineStr">
        <is>
          <t>Usulután</t>
        </is>
      </c>
      <c r="H441" t="inlineStr">
        <is>
          <t>Usulután</t>
        </is>
      </c>
      <c r="I441" t="inlineStr">
        <is>
          <t>Nelson Fuentes</t>
        </is>
      </c>
      <c r="J441" t="inlineStr">
        <is>
          <t>2662-8810</t>
        </is>
      </c>
      <c r="K441" t="inlineStr">
        <is>
          <t>Miguel Bonilla</t>
        </is>
      </c>
      <c r="L441" t="inlineStr">
        <is>
          <t>Mario Castillo Lemus</t>
        </is>
      </c>
      <c r="M441" t="inlineStr">
        <is>
          <t>01650441-7</t>
        </is>
      </c>
      <c r="N441" t="inlineStr">
        <is>
          <t>7833-9440</t>
        </is>
      </c>
      <c r="O441" t="inlineStr">
        <is>
          <t>Consumidor final</t>
        </is>
      </c>
      <c r="P441" t="inlineStr">
        <is>
          <t>HIG-003</t>
        </is>
      </c>
      <c r="Q441" t="inlineStr">
        <is>
          <t>Jabón de lavar barra</t>
        </is>
      </c>
      <c r="R441" t="inlineStr">
        <is>
          <t>Limpieza</t>
        </is>
      </c>
      <c r="S441" t="inlineStr">
        <is>
          <t>Higiene Total C.A.</t>
        </is>
      </c>
      <c r="T441" t="inlineStr">
        <is>
          <t>2207-5566</t>
        </is>
      </c>
      <c r="U441" t="n">
        <v>0.75</v>
      </c>
      <c r="V441" t="n">
        <v>1</v>
      </c>
      <c r="W441" t="n">
        <v>0</v>
      </c>
      <c r="X441">
        <f>IFERROR(U441*V441*(1-W441/100),"")</f>
        <v/>
      </c>
      <c r="Y441">
        <f>IFERROR(ROUND(X441*0.13,2),"")</f>
        <v/>
      </c>
      <c r="Z441">
        <f>IFERROR(X441+Y441,"")</f>
        <v/>
      </c>
      <c r="AA441" t="inlineStr">
        <is>
          <t>Transferencia</t>
        </is>
      </c>
      <c r="AB441" t="inlineStr"/>
    </row>
    <row r="442">
      <c r="A442" t="inlineStr">
        <is>
          <t>F-10811</t>
        </is>
      </c>
      <c r="B442" s="3" t="n">
        <v>46255</v>
      </c>
      <c r="C442" t="inlineStr">
        <is>
          <t>FCF</t>
        </is>
      </c>
      <c r="D442" t="inlineStr">
        <is>
          <t>US01</t>
        </is>
      </c>
      <c r="E442" t="inlineStr">
        <is>
          <t>Usulutan</t>
        </is>
      </c>
      <c r="F442" t="inlineStr">
        <is>
          <t>2a Av. Norte #9</t>
        </is>
      </c>
      <c r="G442" t="inlineStr">
        <is>
          <t>Usulután</t>
        </is>
      </c>
      <c r="H442" t="inlineStr">
        <is>
          <t>Usulután</t>
        </is>
      </c>
      <c r="I442" t="inlineStr">
        <is>
          <t>Nelson Fuentes</t>
        </is>
      </c>
      <c r="J442" t="inlineStr">
        <is>
          <t>2662-8810</t>
        </is>
      </c>
      <c r="K442" t="inlineStr">
        <is>
          <t>Miguel Bonilla</t>
        </is>
      </c>
      <c r="L442" t="inlineStr">
        <is>
          <t>Mario Castillo Lemus</t>
        </is>
      </c>
      <c r="M442" t="inlineStr">
        <is>
          <t>01650441-7</t>
        </is>
      </c>
      <c r="N442" t="inlineStr">
        <is>
          <t>7833-9440</t>
        </is>
      </c>
      <c r="O442" t="inlineStr">
        <is>
          <t>Consumidor final</t>
        </is>
      </c>
      <c r="P442" t="inlineStr">
        <is>
          <t>ARR-001</t>
        </is>
      </c>
      <c r="Q442" t="inlineStr">
        <is>
          <t>Arroz blanco 5lb</t>
        </is>
      </c>
      <c r="R442" t="inlineStr">
        <is>
          <t>Granos básicos</t>
        </is>
      </c>
      <c r="S442" t="inlineStr">
        <is>
          <t>Granos del Pacífico</t>
        </is>
      </c>
      <c r="T442" t="inlineStr">
        <is>
          <t>2234-8890</t>
        </is>
      </c>
      <c r="U442" t="n">
        <v>3.95</v>
      </c>
      <c r="V442" t="n">
        <v>1</v>
      </c>
      <c r="W442" t="n">
        <v>0</v>
      </c>
      <c r="X442">
        <f>IFERROR(U442*V442*(1-W442/100),"")</f>
        <v/>
      </c>
      <c r="Y442">
        <f>IFERROR(ROUND(X442*0.13,2),"")</f>
        <v/>
      </c>
      <c r="Z442">
        <f>IFERROR(X442+Y442,"")</f>
        <v/>
      </c>
      <c r="AA442" t="inlineStr">
        <is>
          <t>Transferencia</t>
        </is>
      </c>
      <c r="AB442" t="inlineStr"/>
    </row>
    <row r="443">
      <c r="A443" t="inlineStr">
        <is>
          <t>F-10813</t>
        </is>
      </c>
      <c r="B443" s="3" t="n">
        <v>46222</v>
      </c>
      <c r="C443" t="inlineStr">
        <is>
          <t>factura</t>
        </is>
      </c>
      <c r="D443" t="inlineStr">
        <is>
          <t>US01</t>
        </is>
      </c>
      <c r="E443" t="inlineStr">
        <is>
          <t>Usulutan</t>
        </is>
      </c>
      <c r="F443" t="inlineStr">
        <is>
          <t>2a Av. Norte #9</t>
        </is>
      </c>
      <c r="G443" t="inlineStr">
        <is>
          <t>Usulután</t>
        </is>
      </c>
      <c r="H443" t="inlineStr">
        <is>
          <t>Usulután</t>
        </is>
      </c>
      <c r="I443" t="inlineStr">
        <is>
          <t>Nelson Fuentes</t>
        </is>
      </c>
      <c r="J443" t="inlineStr">
        <is>
          <t>2662-8810</t>
        </is>
      </c>
      <c r="K443" t="inlineStr">
        <is>
          <t>Miguel Bonilla</t>
        </is>
      </c>
      <c r="L443" t="inlineStr">
        <is>
          <t>Douglas Ramírez Romero</t>
        </is>
      </c>
      <c r="M443" t="inlineStr">
        <is>
          <t>09442743-4</t>
        </is>
      </c>
      <c r="N443" t="inlineStr">
        <is>
          <t>7669-3172</t>
        </is>
      </c>
      <c r="O443" t="inlineStr">
        <is>
          <t>Consumidor final</t>
        </is>
      </c>
      <c r="P443" t="inlineStr">
        <is>
          <t>AZU-001</t>
        </is>
      </c>
      <c r="Q443" t="inlineStr">
        <is>
          <t>Azúcar blanca 2.5kg</t>
        </is>
      </c>
      <c r="R443" t="inlineStr">
        <is>
          <t>Abarrotes</t>
        </is>
      </c>
      <c r="S443" t="inlineStr">
        <is>
          <t>Granos del Pacífico</t>
        </is>
      </c>
      <c r="T443" t="inlineStr">
        <is>
          <t>2234-8890</t>
        </is>
      </c>
      <c r="U443" t="inlineStr">
        <is>
          <t>3,10</t>
        </is>
      </c>
      <c r="V443" t="n">
        <v>-4</v>
      </c>
      <c r="W443" t="n">
        <v>0</v>
      </c>
      <c r="X443">
        <f>IFERROR(U443*V443*(1-W443/100),"")</f>
        <v/>
      </c>
      <c r="Y443">
        <f>IFERROR(ROUND(X443*0.13,2),"")</f>
        <v/>
      </c>
      <c r="Z443">
        <f>IFERROR(X443+Y443,"")</f>
        <v/>
      </c>
      <c r="AA443" t="inlineStr">
        <is>
          <t>Efectivo</t>
        </is>
      </c>
      <c r="AB443" t="inlineStr"/>
    </row>
    <row r="444">
      <c r="A444" t="inlineStr">
        <is>
          <t>F-10813</t>
        </is>
      </c>
      <c r="B444" s="3" t="n">
        <v>46222</v>
      </c>
      <c r="C444" t="inlineStr">
        <is>
          <t>factura</t>
        </is>
      </c>
      <c r="D444" t="inlineStr">
        <is>
          <t>US01</t>
        </is>
      </c>
      <c r="E444" t="inlineStr">
        <is>
          <t>Usulutan</t>
        </is>
      </c>
      <c r="F444" t="inlineStr">
        <is>
          <t>2a Av. Norte #9</t>
        </is>
      </c>
      <c r="G444" t="inlineStr">
        <is>
          <t>Usulután</t>
        </is>
      </c>
      <c r="H444" t="inlineStr">
        <is>
          <t>Usulután</t>
        </is>
      </c>
      <c r="I444" t="inlineStr">
        <is>
          <t>Nelson Fuentes</t>
        </is>
      </c>
      <c r="J444" t="inlineStr">
        <is>
          <t>2662-8810</t>
        </is>
      </c>
      <c r="K444" t="inlineStr">
        <is>
          <t>Miguel Bonilla</t>
        </is>
      </c>
      <c r="L444" t="inlineStr">
        <is>
          <t>Douglas Ramírez Romero</t>
        </is>
      </c>
      <c r="M444" t="inlineStr">
        <is>
          <t>09442743-4</t>
        </is>
      </c>
      <c r="N444" t="inlineStr">
        <is>
          <t>7669-3172</t>
        </is>
      </c>
      <c r="O444" t="inlineStr">
        <is>
          <t>Consumidor final</t>
        </is>
      </c>
      <c r="P444" t="inlineStr">
        <is>
          <t>CAF-001</t>
        </is>
      </c>
      <c r="Q444" t="inlineStr">
        <is>
          <t>Café molido 400g</t>
        </is>
      </c>
      <c r="R444" t="inlineStr">
        <is>
          <t>abarrotes</t>
        </is>
      </c>
      <c r="S444" t="inlineStr">
        <is>
          <t>Café Volcán S.A.</t>
        </is>
      </c>
      <c r="T444" t="inlineStr">
        <is>
          <t>2510-3344</t>
        </is>
      </c>
      <c r="U444" t="inlineStr">
        <is>
          <t>$4.25</t>
        </is>
      </c>
      <c r="V444" t="n">
        <v>12</v>
      </c>
      <c r="W444" t="n">
        <v>0</v>
      </c>
      <c r="X444">
        <f>IFERROR(U444*V444*(1-W444/100),"")</f>
        <v/>
      </c>
      <c r="Y444">
        <f>IFERROR(ROUND(X444*0.13,2),"")</f>
        <v/>
      </c>
      <c r="Z444">
        <f>IFERROR(X444+Y444,"")</f>
        <v/>
      </c>
      <c r="AA444" t="inlineStr">
        <is>
          <t>Efectivo</t>
        </is>
      </c>
      <c r="AB444" t="inlineStr">
        <is>
          <t>Cliente frecuente</t>
        </is>
      </c>
    </row>
    <row r="445">
      <c r="A445" t="inlineStr">
        <is>
          <t>F-10814</t>
        </is>
      </c>
      <c r="B445" s="3" t="n">
        <v>46268</v>
      </c>
      <c r="C445" t="inlineStr">
        <is>
          <t>Factura</t>
        </is>
      </c>
      <c r="D445" t="inlineStr">
        <is>
          <t>SO01</t>
        </is>
      </c>
      <c r="E445" t="inlineStr">
        <is>
          <t>SONSONATE</t>
        </is>
      </c>
      <c r="F445" t="inlineStr">
        <is>
          <t>Calle Obispo Marroquín #3</t>
        </is>
      </c>
      <c r="G445" t="inlineStr">
        <is>
          <t>Sonsonate</t>
        </is>
      </c>
      <c r="H445" t="inlineStr">
        <is>
          <t>Sonsonate</t>
        </is>
      </c>
      <c r="I445" t="inlineStr">
        <is>
          <t>Ernesto Chávez</t>
        </is>
      </c>
      <c r="J445" t="inlineStr">
        <is>
          <t>2451-2288</t>
        </is>
      </c>
      <c r="K445" t="inlineStr">
        <is>
          <t>Ricardo Funes</t>
        </is>
      </c>
      <c r="L445" t="inlineStr">
        <is>
          <t>José Sorto López</t>
        </is>
      </c>
      <c r="M445" t="inlineStr">
        <is>
          <t>04721627-5</t>
        </is>
      </c>
      <c r="N445" t="inlineStr">
        <is>
          <t>6844-3004</t>
        </is>
      </c>
      <c r="O445" t="inlineStr">
        <is>
          <t>Consumidor final</t>
        </is>
      </c>
      <c r="P445" t="inlineStr">
        <is>
          <t>HAR-001</t>
        </is>
      </c>
      <c r="Q445" t="inlineStr">
        <is>
          <t>Harina de maíz 2lb</t>
        </is>
      </c>
      <c r="R445" t="inlineStr">
        <is>
          <t>Abarrotes</t>
        </is>
      </c>
      <c r="S445" t="inlineStr">
        <is>
          <t>Granos del Pacífico</t>
        </is>
      </c>
      <c r="T445" t="inlineStr">
        <is>
          <t>2234-8890</t>
        </is>
      </c>
      <c r="U445" t="n">
        <v>1.35</v>
      </c>
      <c r="V445" t="n">
        <v>1</v>
      </c>
      <c r="W445" t="n">
        <v>0</v>
      </c>
      <c r="X445">
        <f>IFERROR(U445*V445*(1-W445/100),"")</f>
        <v/>
      </c>
      <c r="Y445">
        <f>IFERROR(ROUND(X445*0.13,2),"")</f>
        <v/>
      </c>
      <c r="Z445">
        <f>IFERROR(X445+Y445,"")</f>
        <v/>
      </c>
      <c r="AA445" t="inlineStr">
        <is>
          <t>Bitcoin</t>
        </is>
      </c>
      <c r="AB445" t="inlineStr">
        <is>
          <t>precio especial autorizado por gerente</t>
        </is>
      </c>
    </row>
    <row r="446">
      <c r="A446" t="inlineStr">
        <is>
          <t>F-10817</t>
        </is>
      </c>
      <c r="B446" t="inlineStr">
        <is>
          <t>17/08/2026</t>
        </is>
      </c>
      <c r="C446" t="inlineStr">
        <is>
          <t>FCF</t>
        </is>
      </c>
      <c r="D446" t="inlineStr">
        <is>
          <t>SO01</t>
        </is>
      </c>
      <c r="E446" t="inlineStr">
        <is>
          <t>SONSONATE</t>
        </is>
      </c>
      <c r="F446" t="inlineStr">
        <is>
          <t>Calle Obispo Marroquín #3</t>
        </is>
      </c>
      <c r="G446" t="inlineStr">
        <is>
          <t>Sonsonate</t>
        </is>
      </c>
      <c r="H446" t="inlineStr">
        <is>
          <t>Sonsonate</t>
        </is>
      </c>
      <c r="I446" t="inlineStr">
        <is>
          <t>Ernesto Chávez</t>
        </is>
      </c>
      <c r="J446" t="inlineStr">
        <is>
          <t>2451-2288</t>
        </is>
      </c>
      <c r="K446" t="inlineStr">
        <is>
          <t>Ricardo Funes</t>
        </is>
      </c>
      <c r="L446" t="inlineStr">
        <is>
          <t>Patricia García Martínez</t>
        </is>
      </c>
      <c r="M446" t="inlineStr">
        <is>
          <t>02380558-6</t>
        </is>
      </c>
      <c r="N446" t="inlineStr">
        <is>
          <t>6660-5283</t>
        </is>
      </c>
      <c r="O446" t="inlineStr">
        <is>
          <t>Consumidor final</t>
        </is>
      </c>
      <c r="P446" t="inlineStr">
        <is>
          <t>HIG-001</t>
        </is>
      </c>
      <c r="Q446" t="inlineStr">
        <is>
          <t>Detergente 1kg</t>
        </is>
      </c>
      <c r="R446" t="inlineStr">
        <is>
          <t>Higiene</t>
        </is>
      </c>
      <c r="S446" t="inlineStr">
        <is>
          <t>Higiene Total C.A.</t>
        </is>
      </c>
      <c r="T446" t="inlineStr">
        <is>
          <t>2207-5566</t>
        </is>
      </c>
      <c r="U446" t="n">
        <v>3.45</v>
      </c>
      <c r="V446" t="n">
        <v>2</v>
      </c>
      <c r="W446" t="n">
        <v>0</v>
      </c>
      <c r="X446">
        <f>IFERROR(U446*V446*(1-W446/100),"")</f>
        <v/>
      </c>
      <c r="Y446">
        <f>IFERROR(ROUND(X446*0.13,2),"")</f>
        <v/>
      </c>
      <c r="Z446">
        <f>IFERROR(X446+Y446,"")</f>
        <v/>
      </c>
      <c r="AA446" t="inlineStr">
        <is>
          <t>Tarjeta</t>
        </is>
      </c>
      <c r="AB446" t="inlineStr"/>
    </row>
    <row r="447">
      <c r="A447" t="inlineStr">
        <is>
          <t>F-10817</t>
        </is>
      </c>
      <c r="B447" t="inlineStr">
        <is>
          <t>17/08/2026</t>
        </is>
      </c>
      <c r="C447" t="inlineStr">
        <is>
          <t>FCF</t>
        </is>
      </c>
      <c r="D447" t="inlineStr">
        <is>
          <t>SO01</t>
        </is>
      </c>
      <c r="E447" t="inlineStr">
        <is>
          <t>Sonsonate</t>
        </is>
      </c>
      <c r="F447" t="inlineStr">
        <is>
          <t>Calle Obispo Marroquín #3</t>
        </is>
      </c>
      <c r="G447" t="inlineStr">
        <is>
          <t>Sonsonate</t>
        </is>
      </c>
      <c r="H447" t="inlineStr">
        <is>
          <t>Sonsonate</t>
        </is>
      </c>
      <c r="I447" t="inlineStr">
        <is>
          <t>Ernesto Chávez</t>
        </is>
      </c>
      <c r="J447" t="inlineStr">
        <is>
          <t>2451-2288</t>
        </is>
      </c>
      <c r="K447" t="inlineStr">
        <is>
          <t>Ricardo Funes</t>
        </is>
      </c>
      <c r="L447" t="inlineStr">
        <is>
          <t>Patricia García Martínez</t>
        </is>
      </c>
      <c r="M447" t="inlineStr">
        <is>
          <t>02380558-6</t>
        </is>
      </c>
      <c r="N447" t="inlineStr">
        <is>
          <t>6660-5283</t>
        </is>
      </c>
      <c r="O447" t="inlineStr">
        <is>
          <t>Consumidor final</t>
        </is>
      </c>
      <c r="P447" t="inlineStr">
        <is>
          <t>PAN-002</t>
        </is>
      </c>
      <c r="Q447" t="inlineStr">
        <is>
          <t>Semita alta</t>
        </is>
      </c>
      <c r="R447" t="inlineStr">
        <is>
          <t>Panadería</t>
        </is>
      </c>
      <c r="S447" t="inlineStr">
        <is>
          <t>Panificadora Ilopango</t>
        </is>
      </c>
      <c r="T447" t="inlineStr">
        <is>
          <t>2295-0081</t>
        </is>
      </c>
      <c r="U447" t="n">
        <v>1.75</v>
      </c>
      <c r="V447" t="n">
        <v>1</v>
      </c>
      <c r="W447" t="n">
        <v>0</v>
      </c>
      <c r="X447">
        <f>IFERROR(U447*V447*(1-W447/100),"")</f>
        <v/>
      </c>
      <c r="Y447">
        <f>IFERROR(ROUND(X447*0.13,2),"")</f>
        <v/>
      </c>
      <c r="Z447">
        <f>IFERROR(X447+Y447,"")</f>
        <v/>
      </c>
      <c r="AA447" t="inlineStr">
        <is>
          <t>Tarjeta</t>
        </is>
      </c>
      <c r="AB447" t="inlineStr">
        <is>
          <t>pagó con billete de $100</t>
        </is>
      </c>
    </row>
    <row r="448">
      <c r="A448" t="inlineStr">
        <is>
          <t>F-10817</t>
        </is>
      </c>
      <c r="B448" s="3" t="n">
        <v>46251</v>
      </c>
      <c r="C448" t="inlineStr">
        <is>
          <t>FCF</t>
        </is>
      </c>
      <c r="D448" t="inlineStr">
        <is>
          <t>SO01</t>
        </is>
      </c>
      <c r="E448" t="inlineStr">
        <is>
          <t>SONSONATE</t>
        </is>
      </c>
      <c r="F448" t="inlineStr">
        <is>
          <t>Calle Obispo Marroquín #3</t>
        </is>
      </c>
      <c r="G448" t="inlineStr">
        <is>
          <t>Sonsonate</t>
        </is>
      </c>
      <c r="H448" t="inlineStr">
        <is>
          <t>Sonsonate</t>
        </is>
      </c>
      <c r="I448" t="inlineStr">
        <is>
          <t>Ernesto Chávez</t>
        </is>
      </c>
      <c r="J448" t="inlineStr">
        <is>
          <t>2451-2288</t>
        </is>
      </c>
      <c r="K448" t="inlineStr">
        <is>
          <t>Ricardo Funes</t>
        </is>
      </c>
      <c r="L448" t="inlineStr">
        <is>
          <t>Patricia García Martínez</t>
        </is>
      </c>
      <c r="M448" t="inlineStr">
        <is>
          <t>02380558-6</t>
        </is>
      </c>
      <c r="N448" t="inlineStr">
        <is>
          <t>6660-5283</t>
        </is>
      </c>
      <c r="O448" t="inlineStr">
        <is>
          <t>Consumidor final</t>
        </is>
      </c>
      <c r="P448" t="inlineStr">
        <is>
          <t>PAN-001</t>
        </is>
      </c>
      <c r="Q448" t="inlineStr">
        <is>
          <t>Pan francés bolsa 10u</t>
        </is>
      </c>
      <c r="R448" t="inlineStr">
        <is>
          <t>Panadería</t>
        </is>
      </c>
      <c r="S448" t="inlineStr">
        <is>
          <t>Panificadora Ilopango</t>
        </is>
      </c>
      <c r="T448" t="inlineStr">
        <is>
          <t>2295-0081</t>
        </is>
      </c>
      <c r="U448" t="n">
        <v>1</v>
      </c>
      <c r="V448" t="n">
        <v>2</v>
      </c>
      <c r="W448" t="n">
        <v>0</v>
      </c>
      <c r="X448">
        <f>IFERROR(U448*V448*(1-W448/100),"")</f>
        <v/>
      </c>
      <c r="Y448">
        <f>IFERROR(ROUND(X448*0.13,2),"")</f>
        <v/>
      </c>
      <c r="Z448">
        <f>IFERROR(X448+Y448,"")</f>
        <v/>
      </c>
      <c r="AA448" t="inlineStr">
        <is>
          <t>Tarjeta</t>
        </is>
      </c>
      <c r="AB448" t="inlineStr"/>
    </row>
    <row r="449">
      <c r="A449" t="inlineStr">
        <is>
          <t>F-10817</t>
        </is>
      </c>
      <c r="B449" s="3" t="n">
        <v>46251</v>
      </c>
      <c r="C449" t="inlineStr">
        <is>
          <t>FCF</t>
        </is>
      </c>
      <c r="D449" t="inlineStr">
        <is>
          <t>SO01</t>
        </is>
      </c>
      <c r="E449" t="inlineStr">
        <is>
          <t>SONSONATE</t>
        </is>
      </c>
      <c r="F449" t="inlineStr">
        <is>
          <t>Calle Obispo Marroquín #3</t>
        </is>
      </c>
      <c r="G449" t="inlineStr">
        <is>
          <t>Sonsonate</t>
        </is>
      </c>
      <c r="H449" t="inlineStr">
        <is>
          <t>Sonsonate</t>
        </is>
      </c>
      <c r="I449" t="inlineStr">
        <is>
          <t>Ernesto Chávez</t>
        </is>
      </c>
      <c r="J449" t="inlineStr">
        <is>
          <t>2451-2288</t>
        </is>
      </c>
      <c r="K449" t="inlineStr">
        <is>
          <t>Ricardo Funes</t>
        </is>
      </c>
      <c r="L449" t="inlineStr">
        <is>
          <t>Patricia García Martínez</t>
        </is>
      </c>
      <c r="M449" t="inlineStr">
        <is>
          <t>02380558-6</t>
        </is>
      </c>
      <c r="N449" t="inlineStr">
        <is>
          <t>6660-5283</t>
        </is>
      </c>
      <c r="O449" t="inlineStr">
        <is>
          <t>Consumidor final</t>
        </is>
      </c>
      <c r="P449" t="inlineStr">
        <is>
          <t>LAC-003</t>
        </is>
      </c>
      <c r="Q449" t="inlineStr">
        <is>
          <t>Leche entera 1L</t>
        </is>
      </c>
      <c r="R449" t="inlineStr">
        <is>
          <t>Lácteos</t>
        </is>
      </c>
      <c r="S449" t="inlineStr">
        <is>
          <t>Lácteos Chalate</t>
        </is>
      </c>
      <c r="T449" t="inlineStr">
        <is>
          <t>2335-1020</t>
        </is>
      </c>
      <c r="U449" t="n">
        <v>1.2</v>
      </c>
      <c r="V449" t="n">
        <v>24</v>
      </c>
      <c r="W449" t="n">
        <v>0</v>
      </c>
      <c r="X449">
        <f>IFERROR(U449*V449*(1-W449/100),"")</f>
        <v/>
      </c>
      <c r="Y449">
        <f>IFERROR(ROUND(X449*0.13,2),"")</f>
        <v/>
      </c>
      <c r="Z449">
        <f>IFERROR(X449+Y449,"")</f>
        <v/>
      </c>
      <c r="AA449" t="inlineStr">
        <is>
          <t>Tarjeta</t>
        </is>
      </c>
      <c r="AB449" t="inlineStr"/>
    </row>
    <row r="450">
      <c r="A450" t="inlineStr">
        <is>
          <t>F-10819</t>
        </is>
      </c>
      <c r="B450" s="3" t="n">
        <v>46277</v>
      </c>
      <c r="C450" t="inlineStr">
        <is>
          <t>Factura</t>
        </is>
      </c>
      <c r="D450" t="inlineStr">
        <is>
          <t>SS03</t>
        </is>
      </c>
      <c r="E450" t="inlineStr">
        <is>
          <t>Soyapango</t>
        </is>
      </c>
      <c r="F450" t="inlineStr">
        <is>
          <t>Blvd. del Ejército km 4</t>
        </is>
      </c>
      <c r="G450" t="inlineStr">
        <is>
          <t>Soyapango</t>
        </is>
      </c>
      <c r="H450" t="inlineStr">
        <is>
          <t>San Salvador</t>
        </is>
      </c>
      <c r="I450" t="inlineStr">
        <is>
          <t>Karla Henríquez</t>
        </is>
      </c>
      <c r="J450" t="inlineStr">
        <is>
          <t>2277-3402</t>
        </is>
      </c>
      <c r="K450" t="inlineStr">
        <is>
          <t>Marta Gómez</t>
        </is>
      </c>
      <c r="L450" t="inlineStr">
        <is>
          <t>Douglas Hernández Argueta</t>
        </is>
      </c>
      <c r="M450" t="inlineStr">
        <is>
          <t>04449700-5</t>
        </is>
      </c>
      <c r="N450" t="inlineStr">
        <is>
          <t>7632-6201</t>
        </is>
      </c>
      <c r="O450" t="inlineStr">
        <is>
          <t>Consumidor final</t>
        </is>
      </c>
      <c r="P450" t="inlineStr">
        <is>
          <t>BEB-002</t>
        </is>
      </c>
      <c r="Q450" t="inlineStr">
        <is>
          <t>Agua purificada 1 galón</t>
        </is>
      </c>
      <c r="R450" t="inlineStr">
        <is>
          <t>Bebidas</t>
        </is>
      </c>
      <c r="S450" t="inlineStr">
        <is>
          <t>Bebidas Izalco</t>
        </is>
      </c>
      <c r="T450" t="inlineStr">
        <is>
          <t>2450-7700</t>
        </is>
      </c>
      <c r="U450" t="n">
        <v>1.1</v>
      </c>
      <c r="V450" t="n">
        <v>-6</v>
      </c>
      <c r="W450" t="n">
        <v>0</v>
      </c>
      <c r="X450">
        <f>IFERROR(U450*V450*(1-W450/100),"")</f>
        <v/>
      </c>
      <c r="Y450">
        <f>IFERROR(ROUND(X450*0.13,2),"")</f>
        <v/>
      </c>
      <c r="Z450">
        <f>IFERROR(X450+Y450,"")</f>
        <v/>
      </c>
      <c r="AA450" t="inlineStr">
        <is>
          <t>Tarjeta</t>
        </is>
      </c>
      <c r="AB450" t="inlineStr"/>
    </row>
    <row r="451">
      <c r="A451" t="inlineStr">
        <is>
          <t>F-10819</t>
        </is>
      </c>
      <c r="B451" t="inlineStr">
        <is>
          <t>12/09/2026</t>
        </is>
      </c>
      <c r="C451" t="inlineStr">
        <is>
          <t>Factura</t>
        </is>
      </c>
      <c r="D451" t="inlineStr">
        <is>
          <t>SS03</t>
        </is>
      </c>
      <c r="E451" t="inlineStr">
        <is>
          <t>soyapango</t>
        </is>
      </c>
      <c r="F451" t="inlineStr">
        <is>
          <t>Blvd. del Ejército km 4</t>
        </is>
      </c>
      <c r="G451" t="inlineStr">
        <is>
          <t>Soyapango</t>
        </is>
      </c>
      <c r="H451" t="inlineStr">
        <is>
          <t>San Salvador</t>
        </is>
      </c>
      <c r="I451" t="inlineStr">
        <is>
          <t>Karla Henríquez</t>
        </is>
      </c>
      <c r="J451" t="inlineStr">
        <is>
          <t>2277-3402</t>
        </is>
      </c>
      <c r="K451" t="inlineStr">
        <is>
          <t>Marta Gómez</t>
        </is>
      </c>
      <c r="L451" t="inlineStr">
        <is>
          <t>Douglas Hernández Argueta</t>
        </is>
      </c>
      <c r="M451" t="inlineStr">
        <is>
          <t>04449700-5</t>
        </is>
      </c>
      <c r="N451" t="inlineStr">
        <is>
          <t>7632-6201</t>
        </is>
      </c>
      <c r="O451" t="inlineStr">
        <is>
          <t>Consumidor final</t>
        </is>
      </c>
      <c r="P451" t="inlineStr">
        <is>
          <t>PAN-001</t>
        </is>
      </c>
      <c r="Q451" t="inlineStr">
        <is>
          <t>Pan francés bolsa 10u</t>
        </is>
      </c>
      <c r="R451" t="inlineStr">
        <is>
          <t>Panadería</t>
        </is>
      </c>
      <c r="S451" t="inlineStr">
        <is>
          <t>Panificadora Ilopango</t>
        </is>
      </c>
      <c r="T451" t="inlineStr">
        <is>
          <t>2295-0081</t>
        </is>
      </c>
      <c r="U451" t="inlineStr">
        <is>
          <t>$1.00</t>
        </is>
      </c>
      <c r="V451" t="n">
        <v>3</v>
      </c>
      <c r="W451" t="n">
        <v>0</v>
      </c>
      <c r="X451">
        <f>IFERROR(U451*V451*(1-W451/100),"")</f>
        <v/>
      </c>
      <c r="Y451">
        <f>IFERROR(ROUND(X451*0.13,2),"")</f>
        <v/>
      </c>
      <c r="Z451">
        <f>IFERROR(X451+Y451,"")</f>
        <v/>
      </c>
      <c r="AA451" t="inlineStr">
        <is>
          <t>Tarjeta</t>
        </is>
      </c>
      <c r="AB451" t="inlineStr"/>
    </row>
    <row r="452">
      <c r="A452" t="inlineStr">
        <is>
          <t>F-10819</t>
        </is>
      </c>
      <c r="B452" s="3" t="n">
        <v>46277</v>
      </c>
      <c r="C452" t="inlineStr">
        <is>
          <t>Factura</t>
        </is>
      </c>
      <c r="D452" t="inlineStr">
        <is>
          <t>SS03</t>
        </is>
      </c>
      <c r="E452" t="inlineStr">
        <is>
          <t>soyapango</t>
        </is>
      </c>
      <c r="F452" t="inlineStr">
        <is>
          <t>Blvd. del Ejército km 4</t>
        </is>
      </c>
      <c r="G452" t="inlineStr">
        <is>
          <t>Soyapango</t>
        </is>
      </c>
      <c r="H452" t="inlineStr">
        <is>
          <t>San Salvador</t>
        </is>
      </c>
      <c r="I452" t="inlineStr">
        <is>
          <t>Karla Henríquez</t>
        </is>
      </c>
      <c r="J452" t="inlineStr">
        <is>
          <t>2277-3402</t>
        </is>
      </c>
      <c r="K452" t="inlineStr">
        <is>
          <t>Marta Gómez</t>
        </is>
      </c>
      <c r="L452" t="inlineStr">
        <is>
          <t>DOUGLAS HERNÁNDEZ ARGUETA</t>
        </is>
      </c>
      <c r="M452" t="inlineStr">
        <is>
          <t>04449700-5</t>
        </is>
      </c>
      <c r="N452" t="inlineStr">
        <is>
          <t>7632-6201</t>
        </is>
      </c>
      <c r="O452" t="inlineStr">
        <is>
          <t>Consumidor final</t>
        </is>
      </c>
      <c r="P452" t="inlineStr">
        <is>
          <t>PAN-003</t>
        </is>
      </c>
      <c r="Q452" t="inlineStr">
        <is>
          <t>Quesadilla salvadoreña</t>
        </is>
      </c>
      <c r="R452" t="inlineStr">
        <is>
          <t>PANADERIA</t>
        </is>
      </c>
      <c r="S452" t="inlineStr">
        <is>
          <t>Panificadora Ilopango</t>
        </is>
      </c>
      <c r="T452" t="inlineStr">
        <is>
          <t>2295-0081</t>
        </is>
      </c>
      <c r="U452" t="inlineStr">
        <is>
          <t>2,50</t>
        </is>
      </c>
      <c r="V452" t="n">
        <v>4</v>
      </c>
      <c r="W452" t="n">
        <v>0</v>
      </c>
      <c r="X452">
        <f>IFERROR(U452*V452*(1-W452/100),"")</f>
        <v/>
      </c>
      <c r="Y452">
        <f>IFERROR(ROUND(X452*0.13,2),"")</f>
        <v/>
      </c>
      <c r="Z452">
        <f>IFERROR(X452+Y452,"")</f>
        <v/>
      </c>
      <c r="AA452" t="inlineStr">
        <is>
          <t>Tarjeta</t>
        </is>
      </c>
      <c r="AB452" t="inlineStr"/>
    </row>
    <row r="453">
      <c r="A453" t="inlineStr">
        <is>
          <t>F-10821</t>
        </is>
      </c>
      <c r="B453" s="3" t="n">
        <v>46258</v>
      </c>
      <c r="C453" t="inlineStr">
        <is>
          <t>Factura</t>
        </is>
      </c>
      <c r="D453" t="inlineStr">
        <is>
          <t>SS01</t>
        </is>
      </c>
      <c r="E453" t="inlineStr">
        <is>
          <t>San Salvador Centro</t>
        </is>
      </c>
      <c r="F453" t="inlineStr">
        <is>
          <t>4a Calle Poniente #215</t>
        </is>
      </c>
      <c r="G453" t="inlineStr">
        <is>
          <t>San Salvador</t>
        </is>
      </c>
      <c r="H453" t="inlineStr">
        <is>
          <t>San Salvador</t>
        </is>
      </c>
      <c r="I453" t="inlineStr">
        <is>
          <t>Roberto Alfaro</t>
        </is>
      </c>
      <c r="J453" t="inlineStr">
        <is>
          <t>2221-4580</t>
        </is>
      </c>
      <c r="K453" t="inlineStr">
        <is>
          <t>Daniela Orellana</t>
        </is>
      </c>
      <c r="L453" t="inlineStr">
        <is>
          <t>René Sorto Quintanilla</t>
        </is>
      </c>
      <c r="M453" t="inlineStr">
        <is>
          <t>06328066-3</t>
        </is>
      </c>
      <c r="N453" t="inlineStr">
        <is>
          <t>6778-4597</t>
        </is>
      </c>
      <c r="O453" t="inlineStr">
        <is>
          <t>Consumidor final</t>
        </is>
      </c>
      <c r="P453" t="inlineStr">
        <is>
          <t>HIG-002</t>
        </is>
      </c>
      <c r="Q453" t="inlineStr">
        <is>
          <t>Papel higiénico 4 rollos</t>
        </is>
      </c>
      <c r="R453" t="inlineStr">
        <is>
          <t>Limpieza</t>
        </is>
      </c>
      <c r="S453" t="inlineStr">
        <is>
          <t>Higiene Total C.A.</t>
        </is>
      </c>
      <c r="T453" t="inlineStr">
        <is>
          <t>2207-5566</t>
        </is>
      </c>
      <c r="U453" t="n">
        <v>2.15</v>
      </c>
      <c r="V453" t="n">
        <v>6</v>
      </c>
      <c r="W453" t="n">
        <v>0</v>
      </c>
      <c r="X453">
        <f>IFERROR(U453*V453*(1-W453/100),"")</f>
        <v/>
      </c>
      <c r="Y453">
        <f>IFERROR(ROUND(X453*0.13,2),"")</f>
        <v/>
      </c>
      <c r="Z453">
        <f>IFERROR(X453+Y453,"")</f>
        <v/>
      </c>
      <c r="AA453" t="inlineStr">
        <is>
          <t>Tarjeta</t>
        </is>
      </c>
      <c r="AB453" t="inlineStr"/>
    </row>
    <row r="454">
      <c r="A454" t="inlineStr">
        <is>
          <t>F-10821</t>
        </is>
      </c>
      <c r="B454" s="3" t="n">
        <v>46258</v>
      </c>
      <c r="C454" t="inlineStr">
        <is>
          <t>Factura</t>
        </is>
      </c>
      <c r="D454" t="inlineStr">
        <is>
          <t>SS01</t>
        </is>
      </c>
      <c r="E454" t="inlineStr">
        <is>
          <t>San Salvador Centro</t>
        </is>
      </c>
      <c r="F454" t="inlineStr">
        <is>
          <t>4a Calle Poniente #215</t>
        </is>
      </c>
      <c r="G454" t="inlineStr">
        <is>
          <t>San Salvador</t>
        </is>
      </c>
      <c r="H454" t="inlineStr">
        <is>
          <t>San Salvador</t>
        </is>
      </c>
      <c r="I454" t="inlineStr">
        <is>
          <t>Roberto Alfaro</t>
        </is>
      </c>
      <c r="J454" t="inlineStr">
        <is>
          <t>2221-4580</t>
        </is>
      </c>
      <c r="K454" t="inlineStr">
        <is>
          <t>Daniela Orellana</t>
        </is>
      </c>
      <c r="L454" t="inlineStr">
        <is>
          <t>René Sorto Quintanilla</t>
        </is>
      </c>
      <c r="M454" t="inlineStr">
        <is>
          <t>06328066-3</t>
        </is>
      </c>
      <c r="N454" t="inlineStr">
        <is>
          <t>6778-4597</t>
        </is>
      </c>
      <c r="O454" t="inlineStr">
        <is>
          <t>Consumidor final</t>
        </is>
      </c>
      <c r="P454" t="inlineStr">
        <is>
          <t>PAN-001</t>
        </is>
      </c>
      <c r="Q454" t="inlineStr">
        <is>
          <t>Pan francés bolsa 10u</t>
        </is>
      </c>
      <c r="R454" t="inlineStr">
        <is>
          <t>Panadería</t>
        </is>
      </c>
      <c r="S454" t="inlineStr">
        <is>
          <t>Panificadora Ilopango</t>
        </is>
      </c>
      <c r="T454" t="inlineStr">
        <is>
          <t>2295-0081</t>
        </is>
      </c>
      <c r="U454" t="inlineStr">
        <is>
          <t>$1.00</t>
        </is>
      </c>
      <c r="V454" t="n">
        <v>4</v>
      </c>
      <c r="W454" t="n">
        <v>0</v>
      </c>
      <c r="X454">
        <f>IFERROR(U454*V454*(1-W454/100),"")</f>
        <v/>
      </c>
      <c r="Y454">
        <f>IFERROR(ROUND(X454*0.13,2),"")</f>
        <v/>
      </c>
      <c r="Z454">
        <f>IFERROR(X454+Y454,"")</f>
        <v/>
      </c>
      <c r="AA454" t="inlineStr">
        <is>
          <t>Tarjeta</t>
        </is>
      </c>
      <c r="AB454" t="inlineStr">
        <is>
          <t>entregar en bodega</t>
        </is>
      </c>
    </row>
    <row r="455">
      <c r="A455" t="inlineStr">
        <is>
          <t>F-10822</t>
        </is>
      </c>
      <c r="B455" s="3" t="n">
        <v>46273</v>
      </c>
      <c r="C455" t="inlineStr">
        <is>
          <t>CCF</t>
        </is>
      </c>
      <c r="D455" t="inlineStr">
        <is>
          <t>SS03</t>
        </is>
      </c>
      <c r="E455" t="inlineStr">
        <is>
          <t xml:space="preserve">SOYAPANGO </t>
        </is>
      </c>
      <c r="F455" t="inlineStr">
        <is>
          <t>Blvd. del Ejército km 4</t>
        </is>
      </c>
      <c r="G455" t="inlineStr">
        <is>
          <t>Soyapango</t>
        </is>
      </c>
      <c r="H455" t="inlineStr">
        <is>
          <t>San Salvador</t>
        </is>
      </c>
      <c r="I455" t="inlineStr">
        <is>
          <t>Karla Henríquez</t>
        </is>
      </c>
      <c r="J455" t="inlineStr">
        <is>
          <t>2277-3402</t>
        </is>
      </c>
      <c r="K455" t="inlineStr">
        <is>
          <t>Marta Gómez</t>
        </is>
      </c>
      <c r="L455" t="inlineStr">
        <is>
          <t>Minisúper San José</t>
        </is>
      </c>
      <c r="M455" t="inlineStr">
        <is>
          <t>99593-8</t>
        </is>
      </c>
      <c r="N455" t="inlineStr">
        <is>
          <t>6931-9804</t>
        </is>
      </c>
      <c r="O455" t="inlineStr">
        <is>
          <t>Contribuyente</t>
        </is>
      </c>
      <c r="P455" t="inlineStr">
        <is>
          <t>HAR-001</t>
        </is>
      </c>
      <c r="Q455" t="inlineStr">
        <is>
          <t>Harina de maíz 2lb</t>
        </is>
      </c>
      <c r="R455" t="inlineStr">
        <is>
          <t>Abarrotes</t>
        </is>
      </c>
      <c r="S455" t="inlineStr">
        <is>
          <t>Granos del Pacífico</t>
        </is>
      </c>
      <c r="T455" t="inlineStr">
        <is>
          <t>2234-8890</t>
        </is>
      </c>
      <c r="U455" t="n">
        <v>1.35</v>
      </c>
      <c r="V455" t="n">
        <v>4</v>
      </c>
      <c r="W455" t="n">
        <v>0</v>
      </c>
      <c r="X455">
        <f>IFERROR(U455*V455*(1-W455/100),"")</f>
        <v/>
      </c>
      <c r="Y455">
        <f>IFERROR(ROUND(X455*0.13,2),"")</f>
        <v/>
      </c>
      <c r="Z455">
        <f>IFERROR(X455+Y455,"")</f>
        <v/>
      </c>
      <c r="AA455" t="inlineStr">
        <is>
          <t>Efectivo</t>
        </is>
      </c>
      <c r="AB455" t="inlineStr">
        <is>
          <t>entregar en bodega</t>
        </is>
      </c>
    </row>
    <row r="456">
      <c r="A456" t="inlineStr">
        <is>
          <t>F-10822</t>
        </is>
      </c>
      <c r="B456" s="3" t="n">
        <v>46273</v>
      </c>
      <c r="C456" t="inlineStr">
        <is>
          <t>CCF</t>
        </is>
      </c>
      <c r="D456" t="inlineStr">
        <is>
          <t>SS03</t>
        </is>
      </c>
      <c r="E456" t="inlineStr">
        <is>
          <t>Soyapango</t>
        </is>
      </c>
      <c r="F456" t="inlineStr">
        <is>
          <t>Blvd. del Ejército km 4</t>
        </is>
      </c>
      <c r="G456" t="inlineStr">
        <is>
          <t>Soyapango</t>
        </is>
      </c>
      <c r="H456" t="inlineStr">
        <is>
          <t>San Salvador</t>
        </is>
      </c>
      <c r="I456" t="inlineStr">
        <is>
          <t>Karla Henríquez</t>
        </is>
      </c>
      <c r="J456" t="inlineStr">
        <is>
          <t>2277-3402</t>
        </is>
      </c>
      <c r="K456" t="inlineStr">
        <is>
          <t>Marta Gómez</t>
        </is>
      </c>
      <c r="L456" t="inlineStr">
        <is>
          <t>Minisúper San José</t>
        </is>
      </c>
      <c r="M456" t="inlineStr">
        <is>
          <t>99593-8</t>
        </is>
      </c>
      <c r="N456" t="inlineStr">
        <is>
          <t>6931-9804</t>
        </is>
      </c>
      <c r="O456" t="inlineStr">
        <is>
          <t>Contribuyente</t>
        </is>
      </c>
      <c r="P456" t="inlineStr">
        <is>
          <t>LAC-003</t>
        </is>
      </c>
      <c r="Q456" t="inlineStr">
        <is>
          <t>Leche entera 1L</t>
        </is>
      </c>
      <c r="R456" t="inlineStr">
        <is>
          <t>Lácteos</t>
        </is>
      </c>
      <c r="S456" t="inlineStr">
        <is>
          <t>Lácteos Chalate</t>
        </is>
      </c>
      <c r="T456" t="inlineStr">
        <is>
          <t>7120-4455</t>
        </is>
      </c>
      <c r="U456" t="n">
        <v>1.2</v>
      </c>
      <c r="V456" t="n">
        <v>3</v>
      </c>
      <c r="W456" t="n">
        <v>0</v>
      </c>
      <c r="X456">
        <f>IFERROR(U456*V456*(1-W456/100),"")</f>
        <v/>
      </c>
      <c r="Y456">
        <f>IFERROR(ROUND(X456*0.13,2),"")</f>
        <v/>
      </c>
      <c r="Z456">
        <f>IFERROR(X456+Y456,"")</f>
        <v/>
      </c>
      <c r="AA456" t="inlineStr">
        <is>
          <t>Efectivo</t>
        </is>
      </c>
      <c r="AB456" t="inlineStr">
        <is>
          <t>Llamar al 7788-1234 antes de entregar</t>
        </is>
      </c>
    </row>
    <row r="457">
      <c r="A457" t="inlineStr">
        <is>
          <t>F-10822</t>
        </is>
      </c>
      <c r="B457" t="inlineStr">
        <is>
          <t>2026-09-08</t>
        </is>
      </c>
      <c r="C457" t="inlineStr">
        <is>
          <t>CCF</t>
        </is>
      </c>
      <c r="D457" t="inlineStr">
        <is>
          <t>SS03</t>
        </is>
      </c>
      <c r="E457" t="inlineStr">
        <is>
          <t>Soyapango</t>
        </is>
      </c>
      <c r="F457" t="inlineStr">
        <is>
          <t>Blvd. del Ejército km 4</t>
        </is>
      </c>
      <c r="G457" t="inlineStr">
        <is>
          <t>Soyapango</t>
        </is>
      </c>
      <c r="H457" t="inlineStr">
        <is>
          <t>San Salvador</t>
        </is>
      </c>
      <c r="I457" t="inlineStr">
        <is>
          <t>Karla Henríquez</t>
        </is>
      </c>
      <c r="J457" t="inlineStr">
        <is>
          <t>2277-3402</t>
        </is>
      </c>
      <c r="K457" t="inlineStr">
        <is>
          <t>Marta Gómez</t>
        </is>
      </c>
      <c r="L457" t="inlineStr">
        <is>
          <t>Minisúper San José</t>
        </is>
      </c>
      <c r="M457" t="inlineStr">
        <is>
          <t>99593-8</t>
        </is>
      </c>
      <c r="N457" t="inlineStr">
        <is>
          <t>6931-9804</t>
        </is>
      </c>
      <c r="O457" t="inlineStr">
        <is>
          <t>Contribuyente</t>
        </is>
      </c>
      <c r="P457" t="inlineStr">
        <is>
          <t>BEB-001</t>
        </is>
      </c>
      <c r="Q457" t="inlineStr">
        <is>
          <t>Gaseosa 2.5L</t>
        </is>
      </c>
      <c r="R457" t="inlineStr">
        <is>
          <t>Bebidas</t>
        </is>
      </c>
      <c r="S457" t="inlineStr">
        <is>
          <t>Bebidas Izalco</t>
        </is>
      </c>
      <c r="T457" t="inlineStr">
        <is>
          <t>2450-7700</t>
        </is>
      </c>
      <c r="U457" t="n">
        <v>1.95</v>
      </c>
      <c r="V457" t="n">
        <v>1</v>
      </c>
      <c r="W457" t="n">
        <v>0</v>
      </c>
      <c r="X457">
        <f>IFERROR(U457*V457*(1-W457/100),"")</f>
        <v/>
      </c>
      <c r="Y457">
        <f>IFERROR(ROUND(X457*0.13,2),"")</f>
        <v/>
      </c>
      <c r="Z457">
        <f>IFERROR(X457+Y457,"")</f>
        <v/>
      </c>
      <c r="AA457" t="inlineStr">
        <is>
          <t>Efectivo</t>
        </is>
      </c>
      <c r="AB457" t="inlineStr"/>
    </row>
    <row r="458">
      <c r="A458" t="inlineStr">
        <is>
          <t>F-10822</t>
        </is>
      </c>
      <c r="B458" s="3" t="n">
        <v>46273</v>
      </c>
      <c r="C458" t="inlineStr">
        <is>
          <t>CCF</t>
        </is>
      </c>
      <c r="D458" t="inlineStr">
        <is>
          <t>SS03</t>
        </is>
      </c>
      <c r="E458" t="inlineStr">
        <is>
          <t>Soyapango</t>
        </is>
      </c>
      <c r="F458" t="inlineStr">
        <is>
          <t>Blvd. del Ejército km 4</t>
        </is>
      </c>
      <c r="G458" t="inlineStr">
        <is>
          <t>Soyapango</t>
        </is>
      </c>
      <c r="H458" t="inlineStr">
        <is>
          <t>San Salvador</t>
        </is>
      </c>
      <c r="I458" t="inlineStr">
        <is>
          <t>Karla Henríquez</t>
        </is>
      </c>
      <c r="J458" t="inlineStr">
        <is>
          <t>2277-3402</t>
        </is>
      </c>
      <c r="K458" t="inlineStr">
        <is>
          <t>Marta Gómez</t>
        </is>
      </c>
      <c r="L458" t="inlineStr">
        <is>
          <t>Minisúper San José</t>
        </is>
      </c>
      <c r="M458" t="inlineStr">
        <is>
          <t>99593-8</t>
        </is>
      </c>
      <c r="N458" t="inlineStr">
        <is>
          <t>6931-9804</t>
        </is>
      </c>
      <c r="O458" t="inlineStr">
        <is>
          <t>Contribuyente</t>
        </is>
      </c>
      <c r="P458" t="inlineStr">
        <is>
          <t>HIG-003</t>
        </is>
      </c>
      <c r="Q458" t="inlineStr">
        <is>
          <t>Jabón de lavar barra</t>
        </is>
      </c>
      <c r="R458" t="inlineStr">
        <is>
          <t>Limpieza</t>
        </is>
      </c>
      <c r="S458" t="inlineStr">
        <is>
          <t>Higiene Total C.A.</t>
        </is>
      </c>
      <c r="T458" t="inlineStr">
        <is>
          <t>2207-5566</t>
        </is>
      </c>
      <c r="U458" t="n">
        <v>0.75</v>
      </c>
      <c r="V458" t="n">
        <v>3</v>
      </c>
      <c r="W458" t="n">
        <v>10</v>
      </c>
      <c r="X458">
        <f>IFERROR(U458*V458*(1-W458/100),"")</f>
        <v/>
      </c>
      <c r="Y458">
        <f>IFERROR(ROUND(X458*0.13,2),"")</f>
        <v/>
      </c>
      <c r="Z458">
        <f>IFERROR(X458+Y458,"")</f>
        <v/>
      </c>
      <c r="AA458" t="inlineStr">
        <is>
          <t>Efectivo</t>
        </is>
      </c>
      <c r="AB458" t="inlineStr">
        <is>
          <t>precio especial autorizado por gerente</t>
        </is>
      </c>
    </row>
    <row r="459">
      <c r="A459" t="inlineStr">
        <is>
          <t>F-10825</t>
        </is>
      </c>
      <c r="B459" t="inlineStr">
        <is>
          <t>28/08/2026</t>
        </is>
      </c>
      <c r="C459" t="inlineStr">
        <is>
          <t>Factura</t>
        </is>
      </c>
      <c r="D459" t="inlineStr">
        <is>
          <t>SS01</t>
        </is>
      </c>
      <c r="E459" t="inlineStr">
        <is>
          <t xml:space="preserve">san salvador centro </t>
        </is>
      </c>
      <c r="F459" t="inlineStr">
        <is>
          <t>4a Calle Poniente #215</t>
        </is>
      </c>
      <c r="G459" t="inlineStr">
        <is>
          <t>San Salvador</t>
        </is>
      </c>
      <c r="H459" t="inlineStr">
        <is>
          <t>San Salvador</t>
        </is>
      </c>
      <c r="I459" t="inlineStr">
        <is>
          <t>Roberto Alfaro</t>
        </is>
      </c>
      <c r="J459" t="inlineStr">
        <is>
          <t>2221-4580</t>
        </is>
      </c>
      <c r="K459" t="inlineStr">
        <is>
          <t>José Martínez</t>
        </is>
      </c>
      <c r="L459" t="inlineStr">
        <is>
          <t>Rosa García López</t>
        </is>
      </c>
      <c r="M459" t="inlineStr">
        <is>
          <t>08949227-3</t>
        </is>
      </c>
      <c r="N459" t="inlineStr">
        <is>
          <t>7696-6025</t>
        </is>
      </c>
      <c r="O459" t="inlineStr">
        <is>
          <t>Consumidor final</t>
        </is>
      </c>
      <c r="P459" t="inlineStr">
        <is>
          <t>CAF-002</t>
        </is>
      </c>
      <c r="Q459" t="inlineStr">
        <is>
          <t>Café en grano 1lb</t>
        </is>
      </c>
      <c r="R459" t="inlineStr">
        <is>
          <t>Abarrotes</t>
        </is>
      </c>
      <c r="S459" t="inlineStr">
        <is>
          <t>Café Volcán S.A.</t>
        </is>
      </c>
      <c r="T459" t="inlineStr">
        <is>
          <t>2510-3344</t>
        </is>
      </c>
      <c r="U459" t="n">
        <v>6.75</v>
      </c>
      <c r="V459" t="n">
        <v>3</v>
      </c>
      <c r="W459" t="n">
        <v>0</v>
      </c>
      <c r="X459">
        <f>IFERROR(U459*V459*(1-W459/100),"")</f>
        <v/>
      </c>
      <c r="Y459">
        <f>IFERROR(ROUND(X459*0.13,2),"")</f>
        <v/>
      </c>
      <c r="Z459">
        <f>IFERROR(X459+Y459,"")</f>
        <v/>
      </c>
      <c r="AA459" t="inlineStr">
        <is>
          <t>Efectivo</t>
        </is>
      </c>
      <c r="AB459" t="inlineStr">
        <is>
          <t>Llamar al 7788-1234 antes de entregar</t>
        </is>
      </c>
    </row>
    <row r="460">
      <c r="A460" t="inlineStr">
        <is>
          <t>F-10825</t>
        </is>
      </c>
      <c r="B460" s="3" t="n">
        <v>46262</v>
      </c>
      <c r="C460" t="inlineStr">
        <is>
          <t>Factura</t>
        </is>
      </c>
      <c r="D460" t="inlineStr">
        <is>
          <t>SS01</t>
        </is>
      </c>
      <c r="E460" t="inlineStr">
        <is>
          <t>San Salvador Centro</t>
        </is>
      </c>
      <c r="F460" t="inlineStr">
        <is>
          <t>4a Calle Poniente #215</t>
        </is>
      </c>
      <c r="G460" t="inlineStr">
        <is>
          <t>San Salvador</t>
        </is>
      </c>
      <c r="H460" t="inlineStr">
        <is>
          <t>San Salvador</t>
        </is>
      </c>
      <c r="I460" t="inlineStr">
        <is>
          <t>Roberto Alfaro</t>
        </is>
      </c>
      <c r="J460" t="inlineStr">
        <is>
          <t>2221-4580</t>
        </is>
      </c>
      <c r="K460" t="inlineStr">
        <is>
          <t>José Martínez</t>
        </is>
      </c>
      <c r="L460" t="inlineStr">
        <is>
          <t>Rosa García López</t>
        </is>
      </c>
      <c r="M460" t="inlineStr">
        <is>
          <t>08949227-3</t>
        </is>
      </c>
      <c r="N460" t="inlineStr">
        <is>
          <t>7696-6025</t>
        </is>
      </c>
      <c r="O460" t="inlineStr">
        <is>
          <t>Consumidor final</t>
        </is>
      </c>
      <c r="P460" t="inlineStr">
        <is>
          <t>LAC-001</t>
        </is>
      </c>
      <c r="Q460" t="inlineStr">
        <is>
          <t>Quesillo 1lb</t>
        </is>
      </c>
      <c r="R460" t="inlineStr">
        <is>
          <t>Lacteos</t>
        </is>
      </c>
      <c r="S460" t="inlineStr">
        <is>
          <t>Lácteos Chalate</t>
        </is>
      </c>
      <c r="T460" t="inlineStr">
        <is>
          <t>2335-1020</t>
        </is>
      </c>
      <c r="U460" t="n">
        <v>3.8</v>
      </c>
      <c r="V460" t="n">
        <v>24</v>
      </c>
      <c r="W460" t="n">
        <v>0</v>
      </c>
      <c r="X460">
        <f>IFERROR(U460*V460*(1-W460/100),"")</f>
        <v/>
      </c>
      <c r="Y460">
        <f>IFERROR(ROUND(X460*0.13,2),"")</f>
        <v/>
      </c>
      <c r="Z460">
        <f>IFERROR(X460+Y460,"")</f>
        <v/>
      </c>
      <c r="AA460" t="inlineStr">
        <is>
          <t>Efectivo</t>
        </is>
      </c>
      <c r="AB460" t="inlineStr"/>
    </row>
    <row r="461">
      <c r="A461" t="inlineStr">
        <is>
          <t>F-10825</t>
        </is>
      </c>
      <c r="B461" s="3" t="n">
        <v>46262</v>
      </c>
      <c r="C461" t="inlineStr">
        <is>
          <t>Factura</t>
        </is>
      </c>
      <c r="D461" t="inlineStr">
        <is>
          <t>SS01</t>
        </is>
      </c>
      <c r="E461" t="inlineStr">
        <is>
          <t>San Salvador Centro</t>
        </is>
      </c>
      <c r="F461" t="inlineStr">
        <is>
          <t>4a Calle Poniente #215</t>
        </is>
      </c>
      <c r="G461" t="inlineStr">
        <is>
          <t>San Salvador</t>
        </is>
      </c>
      <c r="H461" t="inlineStr">
        <is>
          <t>San Salvador</t>
        </is>
      </c>
      <c r="I461" t="inlineStr">
        <is>
          <t>Roberto Alfaro</t>
        </is>
      </c>
      <c r="J461" t="inlineStr">
        <is>
          <t>2221-4580</t>
        </is>
      </c>
      <c r="K461" t="inlineStr">
        <is>
          <t>José Martínez</t>
        </is>
      </c>
      <c r="L461" t="inlineStr">
        <is>
          <t>Rosa García López</t>
        </is>
      </c>
      <c r="M461" t="inlineStr">
        <is>
          <t>08949227-3</t>
        </is>
      </c>
      <c r="N461" t="inlineStr">
        <is>
          <t>7696-6025</t>
        </is>
      </c>
      <c r="O461" t="inlineStr">
        <is>
          <t>Consumidor final</t>
        </is>
      </c>
      <c r="P461" t="inlineStr">
        <is>
          <t>AZU-001</t>
        </is>
      </c>
      <c r="Q461" t="inlineStr">
        <is>
          <t>Azúcar blanca 2.5kg</t>
        </is>
      </c>
      <c r="R461" t="inlineStr">
        <is>
          <t>Abarrotes</t>
        </is>
      </c>
      <c r="S461" t="inlineStr">
        <is>
          <t>Granos del Pacífico</t>
        </is>
      </c>
      <c r="T461" t="inlineStr">
        <is>
          <t>2234-8890</t>
        </is>
      </c>
      <c r="U461" t="inlineStr">
        <is>
          <t>$3.10</t>
        </is>
      </c>
      <c r="V461" t="n">
        <v>1</v>
      </c>
      <c r="W461" t="n">
        <v>0</v>
      </c>
      <c r="X461">
        <f>IFERROR(U461*V461*(1-W461/100),"")</f>
        <v/>
      </c>
      <c r="Y461">
        <f>IFERROR(ROUND(X461*0.13,2),"")</f>
        <v/>
      </c>
      <c r="Z461">
        <f>IFERROR(X461+Y461,"")</f>
        <v/>
      </c>
      <c r="AA461" t="inlineStr">
        <is>
          <t>Efectivo</t>
        </is>
      </c>
      <c r="AB461" t="inlineStr">
        <is>
          <t>Cliente frecuente</t>
        </is>
      </c>
    </row>
    <row r="462">
      <c r="A462" t="inlineStr">
        <is>
          <t>F-10826</t>
        </is>
      </c>
      <c r="B462" t="inlineStr">
        <is>
          <t>2026-07-10</t>
        </is>
      </c>
      <c r="C462" t="inlineStr">
        <is>
          <t>Factura</t>
        </is>
      </c>
      <c r="D462" t="inlineStr">
        <is>
          <t>SS03</t>
        </is>
      </c>
      <c r="E462" t="inlineStr">
        <is>
          <t>soyapango</t>
        </is>
      </c>
      <c r="F462" t="inlineStr">
        <is>
          <t>Blvd. del Ejército km 4</t>
        </is>
      </c>
      <c r="G462" t="inlineStr">
        <is>
          <t>Soyapango</t>
        </is>
      </c>
      <c r="H462" t="inlineStr">
        <is>
          <t>San Salvador</t>
        </is>
      </c>
      <c r="I462" t="inlineStr">
        <is>
          <t>Karla Henríquez</t>
        </is>
      </c>
      <c r="J462" t="inlineStr">
        <is>
          <t>2277-3402</t>
        </is>
      </c>
      <c r="K462" t="inlineStr">
        <is>
          <t>Carlos Molina</t>
        </is>
      </c>
      <c r="L462" t="inlineStr">
        <is>
          <t>Walter Hernández Flores</t>
        </is>
      </c>
      <c r="M462" t="inlineStr"/>
      <c r="N462" t="inlineStr">
        <is>
          <t>6659-5342</t>
        </is>
      </c>
      <c r="O462" t="inlineStr">
        <is>
          <t>Consumidor final</t>
        </is>
      </c>
      <c r="P462" t="inlineStr">
        <is>
          <t>BEB-002</t>
        </is>
      </c>
      <c r="Q462" t="inlineStr">
        <is>
          <t>Agua purificada 1 galón</t>
        </is>
      </c>
      <c r="R462" t="inlineStr">
        <is>
          <t>Bebidas</t>
        </is>
      </c>
      <c r="S462" t="inlineStr">
        <is>
          <t>Bebidas Izalco</t>
        </is>
      </c>
      <c r="T462" t="inlineStr">
        <is>
          <t>2450-7700</t>
        </is>
      </c>
      <c r="U462" t="n">
        <v>1.1</v>
      </c>
      <c r="V462" t="n">
        <v>2</v>
      </c>
      <c r="W462" t="n">
        <v>0</v>
      </c>
      <c r="X462">
        <f>IFERROR(U462*V462*(1-W462/100),"")</f>
        <v/>
      </c>
      <c r="Y462">
        <f>IFERROR(ROUND(X462*0.13,2),"")</f>
        <v/>
      </c>
      <c r="Z462">
        <f>IFERROR(X462+Y462,"")</f>
        <v/>
      </c>
      <c r="AA462" t="inlineStr">
        <is>
          <t>Tarjeta</t>
        </is>
      </c>
      <c r="AB462" t="inlineStr">
        <is>
          <t>entregar en bodega</t>
        </is>
      </c>
    </row>
    <row r="463">
      <c r="A463" t="inlineStr">
        <is>
          <t>F-10826</t>
        </is>
      </c>
      <c r="B463" s="3" t="n">
        <v>46213</v>
      </c>
      <c r="C463" t="inlineStr">
        <is>
          <t>Factura</t>
        </is>
      </c>
      <c r="D463" t="inlineStr">
        <is>
          <t>SS03</t>
        </is>
      </c>
      <c r="E463" t="inlineStr">
        <is>
          <t xml:space="preserve">SOYAPANGO </t>
        </is>
      </c>
      <c r="F463" t="inlineStr">
        <is>
          <t>Blvd. del Ejército km 4</t>
        </is>
      </c>
      <c r="G463" t="inlineStr">
        <is>
          <t>Soyapango</t>
        </is>
      </c>
      <c r="H463" t="inlineStr">
        <is>
          <t>San Salvador</t>
        </is>
      </c>
      <c r="I463" t="inlineStr">
        <is>
          <t>Karla Henríquez</t>
        </is>
      </c>
      <c r="J463" t="inlineStr">
        <is>
          <t>2277-3402</t>
        </is>
      </c>
      <c r="K463" t="inlineStr">
        <is>
          <t>Carlos Molina</t>
        </is>
      </c>
      <c r="L463" t="inlineStr">
        <is>
          <t>Walter Hernández Flores</t>
        </is>
      </c>
      <c r="M463" t="inlineStr">
        <is>
          <t>01412764-4</t>
        </is>
      </c>
      <c r="N463" t="inlineStr">
        <is>
          <t>6659-5342</t>
        </is>
      </c>
      <c r="O463" t="inlineStr">
        <is>
          <t>Consumidor final</t>
        </is>
      </c>
      <c r="P463" t="inlineStr">
        <is>
          <t>HIG-003</t>
        </is>
      </c>
      <c r="Q463" t="inlineStr">
        <is>
          <t>Jabón de lavar barra</t>
        </is>
      </c>
      <c r="R463" t="inlineStr">
        <is>
          <t>Limpieza</t>
        </is>
      </c>
      <c r="S463" t="inlineStr">
        <is>
          <t>Higiene Total C.A.</t>
        </is>
      </c>
      <c r="T463" t="inlineStr">
        <is>
          <t>2207-5566</t>
        </is>
      </c>
      <c r="U463" t="n">
        <v>0.75</v>
      </c>
      <c r="V463" t="n">
        <v>2</v>
      </c>
      <c r="W463" t="n">
        <v>0</v>
      </c>
      <c r="X463">
        <f>IFERROR(U463*V463*(1-W463/100),"")</f>
        <v/>
      </c>
      <c r="Y463">
        <f>IFERROR(ROUND(X463*0.13,2),"")</f>
        <v/>
      </c>
      <c r="Z463">
        <f>IFERROR(X463+Y463,"")</f>
        <v/>
      </c>
      <c r="AA463" t="inlineStr">
        <is>
          <t>Tarjeta</t>
        </is>
      </c>
      <c r="AB463" t="inlineStr">
        <is>
          <t>entregar en bodega</t>
        </is>
      </c>
    </row>
    <row r="464">
      <c r="A464" t="inlineStr">
        <is>
          <t>F-10828</t>
        </is>
      </c>
      <c r="B464" s="3" t="n">
        <v>46208</v>
      </c>
      <c r="C464" t="inlineStr">
        <is>
          <t>factura</t>
        </is>
      </c>
      <c r="D464" t="inlineStr">
        <is>
          <t>SS02</t>
        </is>
      </c>
      <c r="E464" t="inlineStr">
        <is>
          <t>Escalon</t>
        </is>
      </c>
      <c r="F464" t="inlineStr">
        <is>
          <t>Paseo General Escalón #3910</t>
        </is>
      </c>
      <c r="G464" t="inlineStr">
        <is>
          <t>San Salvador</t>
        </is>
      </c>
      <c r="H464" t="inlineStr">
        <is>
          <t>San Salvador</t>
        </is>
      </c>
      <c r="I464" t="inlineStr">
        <is>
          <t>Claudia Menjívar</t>
        </is>
      </c>
      <c r="J464" t="inlineStr">
        <is>
          <t>2264-1190</t>
        </is>
      </c>
      <c r="K464" t="inlineStr">
        <is>
          <t>Kevin Benítez</t>
        </is>
      </c>
      <c r="L464" t="inlineStr">
        <is>
          <t>Rosa Romero López</t>
        </is>
      </c>
      <c r="M464" t="inlineStr">
        <is>
          <t>06188185-5</t>
        </is>
      </c>
      <c r="N464" t="inlineStr">
        <is>
          <t>6532-2485</t>
        </is>
      </c>
      <c r="O464" t="inlineStr">
        <is>
          <t>Consumidor final</t>
        </is>
      </c>
      <c r="P464" t="inlineStr">
        <is>
          <t>BEB-001</t>
        </is>
      </c>
      <c r="Q464" t="inlineStr">
        <is>
          <t>Gaseosa 2.5L</t>
        </is>
      </c>
      <c r="R464" t="inlineStr">
        <is>
          <t>bebidas</t>
        </is>
      </c>
      <c r="S464" t="inlineStr">
        <is>
          <t>Bebidas Izalco</t>
        </is>
      </c>
      <c r="T464" t="inlineStr">
        <is>
          <t>2450-7700</t>
        </is>
      </c>
      <c r="U464" t="n">
        <v>1.95</v>
      </c>
      <c r="V464" t="n">
        <v>3</v>
      </c>
      <c r="W464" t="n">
        <v>0</v>
      </c>
      <c r="X464">
        <f>IFERROR(U464*V464*(1-W464/100),"")</f>
        <v/>
      </c>
      <c r="Y464">
        <f>IFERROR(ROUND(X464*0.13,2),"")</f>
        <v/>
      </c>
      <c r="Z464">
        <f>IFERROR(X464+Y464,"")</f>
        <v/>
      </c>
      <c r="AA464" t="inlineStr">
        <is>
          <t>Tarjeta</t>
        </is>
      </c>
      <c r="AB464" t="inlineStr"/>
    </row>
    <row r="465">
      <c r="A465" t="inlineStr">
        <is>
          <t>F-10828</t>
        </is>
      </c>
      <c r="B465" s="3" t="n">
        <v>46208</v>
      </c>
      <c r="C465" t="inlineStr">
        <is>
          <t>factura</t>
        </is>
      </c>
      <c r="D465" t="inlineStr">
        <is>
          <t>SS02</t>
        </is>
      </c>
      <c r="E465" t="inlineStr">
        <is>
          <t>Col. Escalón</t>
        </is>
      </c>
      <c r="F465" t="inlineStr">
        <is>
          <t>Paseo General Escalón #3910</t>
        </is>
      </c>
      <c r="G465" t="inlineStr">
        <is>
          <t>San Salvador</t>
        </is>
      </c>
      <c r="H465" t="inlineStr">
        <is>
          <t>San Salvador</t>
        </is>
      </c>
      <c r="I465" t="inlineStr">
        <is>
          <t>Claudia Menjívar</t>
        </is>
      </c>
      <c r="J465" t="inlineStr">
        <is>
          <t>2264-1190</t>
        </is>
      </c>
      <c r="K465" t="inlineStr">
        <is>
          <t>Kevin Benítez</t>
        </is>
      </c>
      <c r="L465" t="inlineStr">
        <is>
          <t>Rosa Romero López</t>
        </is>
      </c>
      <c r="M465" t="inlineStr">
        <is>
          <t>06188185-5</t>
        </is>
      </c>
      <c r="N465" t="inlineStr">
        <is>
          <t>6532-2485</t>
        </is>
      </c>
      <c r="O465" t="inlineStr">
        <is>
          <t>Consumidor final</t>
        </is>
      </c>
      <c r="P465" t="inlineStr">
        <is>
          <t>BEB-003</t>
        </is>
      </c>
      <c r="Q465" t="inlineStr">
        <is>
          <t>Horchata en polvo 400g</t>
        </is>
      </c>
      <c r="R465" t="inlineStr">
        <is>
          <t>Abarrotes</t>
        </is>
      </c>
      <c r="S465" t="inlineStr">
        <is>
          <t>Bebidas Izalco</t>
        </is>
      </c>
      <c r="T465" t="inlineStr">
        <is>
          <t>2450-7700</t>
        </is>
      </c>
      <c r="U465" t="n">
        <v>2.6</v>
      </c>
      <c r="V465" t="n">
        <v>12</v>
      </c>
      <c r="W465" t="n">
        <v>0</v>
      </c>
      <c r="X465">
        <f>IFERROR(U465*V465*(1-W465/100),"")</f>
        <v/>
      </c>
      <c r="Y465">
        <f>IFERROR(ROUND(X465*0.13,2),"")</f>
        <v/>
      </c>
      <c r="Z465">
        <f>IFERROR(X465+Y465,"")</f>
        <v/>
      </c>
      <c r="AA465" t="inlineStr">
        <is>
          <t>Tarjeta</t>
        </is>
      </c>
      <c r="AB465" t="inlineStr">
        <is>
          <t>entregar en bodega</t>
        </is>
      </c>
    </row>
    <row r="466">
      <c r="A466" t="inlineStr">
        <is>
          <t>F-10828</t>
        </is>
      </c>
      <c r="B466" t="inlineStr">
        <is>
          <t>2026-07-05</t>
        </is>
      </c>
      <c r="C466" t="inlineStr">
        <is>
          <t>factura</t>
        </is>
      </c>
      <c r="D466" t="inlineStr">
        <is>
          <t>SS02</t>
        </is>
      </c>
      <c r="E466" t="inlineStr">
        <is>
          <t>Escalón</t>
        </is>
      </c>
      <c r="F466" t="inlineStr">
        <is>
          <t>Paseo General Escalón #3910</t>
        </is>
      </c>
      <c r="G466" t="inlineStr">
        <is>
          <t>San Salvador</t>
        </is>
      </c>
      <c r="H466" t="inlineStr">
        <is>
          <t>San Salvador</t>
        </is>
      </c>
      <c r="I466" t="inlineStr">
        <is>
          <t>Claudia Menjívar</t>
        </is>
      </c>
      <c r="J466" t="inlineStr">
        <is>
          <t>2264-1190</t>
        </is>
      </c>
      <c r="K466" t="inlineStr">
        <is>
          <t>Kevin Benítez</t>
        </is>
      </c>
      <c r="L466" t="inlineStr">
        <is>
          <t>Rosa Romero López</t>
        </is>
      </c>
      <c r="M466" t="inlineStr">
        <is>
          <t>06188185-5</t>
        </is>
      </c>
      <c r="N466" t="inlineStr">
        <is>
          <t>6532-2485</t>
        </is>
      </c>
      <c r="O466" t="inlineStr">
        <is>
          <t>Consumidor final</t>
        </is>
      </c>
      <c r="P466" t="inlineStr">
        <is>
          <t>PAN-001</t>
        </is>
      </c>
      <c r="Q466" t="inlineStr">
        <is>
          <t>Pan francés bolsa 10u</t>
        </is>
      </c>
      <c r="R466" t="inlineStr">
        <is>
          <t>Panaderia</t>
        </is>
      </c>
      <c r="S466" t="inlineStr">
        <is>
          <t>Panificadora Ilopango</t>
        </is>
      </c>
      <c r="T466" t="inlineStr">
        <is>
          <t>2295-0081</t>
        </is>
      </c>
      <c r="U466" t="n">
        <v>1</v>
      </c>
      <c r="V466" t="n">
        <v>3</v>
      </c>
      <c r="W466" t="n">
        <v>0</v>
      </c>
      <c r="X466">
        <f>IFERROR(U466*V466*(1-W466/100),"")</f>
        <v/>
      </c>
      <c r="Y466">
        <f>IFERROR(ROUND(X466*0.13,2),"")</f>
        <v/>
      </c>
      <c r="Z466">
        <f>IFERROR(X466+Y466,"")</f>
        <v/>
      </c>
      <c r="AA466" t="inlineStr">
        <is>
          <t>Tarjeta</t>
        </is>
      </c>
      <c r="AB466" t="inlineStr"/>
    </row>
    <row r="467">
      <c r="A467" t="inlineStr">
        <is>
          <t>F-10831</t>
        </is>
      </c>
      <c r="B467" s="3" t="n">
        <v>46215</v>
      </c>
      <c r="C467" t="inlineStr">
        <is>
          <t>FCF</t>
        </is>
      </c>
      <c r="D467" t="inlineStr">
        <is>
          <t>SS01</t>
        </is>
      </c>
      <c r="E467" t="inlineStr">
        <is>
          <t xml:space="preserve">san salvador centro </t>
        </is>
      </c>
      <c r="F467" t="inlineStr">
        <is>
          <t>4a Calle Poniente #215</t>
        </is>
      </c>
      <c r="G467" t="inlineStr">
        <is>
          <t>San Salvador</t>
        </is>
      </c>
      <c r="H467" t="inlineStr">
        <is>
          <t>San Salvador</t>
        </is>
      </c>
      <c r="I467" t="inlineStr">
        <is>
          <t>Roberto Alfaro</t>
        </is>
      </c>
      <c r="J467" t="inlineStr">
        <is>
          <t>2221-4580</t>
        </is>
      </c>
      <c r="K467" t="inlineStr">
        <is>
          <t>José Martínez</t>
        </is>
      </c>
      <c r="L467" t="inlineStr">
        <is>
          <t>Sandra Rivera Pérez</t>
        </is>
      </c>
      <c r="M467" t="inlineStr">
        <is>
          <t>00391949-0</t>
        </is>
      </c>
      <c r="N467" t="inlineStr">
        <is>
          <t>6654-8845</t>
        </is>
      </c>
      <c r="O467" t="inlineStr">
        <is>
          <t>Consumidor final</t>
        </is>
      </c>
      <c r="P467" t="inlineStr">
        <is>
          <t>PAN-002</t>
        </is>
      </c>
      <c r="Q467" t="inlineStr">
        <is>
          <t>Semita alta</t>
        </is>
      </c>
      <c r="R467" t="inlineStr">
        <is>
          <t>Panadería</t>
        </is>
      </c>
      <c r="S467" t="inlineStr">
        <is>
          <t>Panificadora Ilopango</t>
        </is>
      </c>
      <c r="T467" t="inlineStr">
        <is>
          <t>2295-0081</t>
        </is>
      </c>
      <c r="U467" t="n">
        <v>1.75</v>
      </c>
      <c r="V467" t="n">
        <v>6</v>
      </c>
      <c r="W467" t="n">
        <v>0</v>
      </c>
      <c r="X467">
        <f>IFERROR(U467*V467*(1-W467/100),"")</f>
        <v/>
      </c>
      <c r="Y467">
        <f>IFERROR(ROUND(X467*0.13,2),"")</f>
        <v/>
      </c>
      <c r="Z467">
        <f>IFERROR(X467+Y467,"")</f>
        <v/>
      </c>
      <c r="AA467" t="inlineStr">
        <is>
          <t>efectivo</t>
        </is>
      </c>
      <c r="AB467" t="inlineStr"/>
    </row>
    <row r="468">
      <c r="A468" t="inlineStr">
        <is>
          <t>F-10831</t>
        </is>
      </c>
      <c r="B468" s="3" t="n">
        <v>46215</v>
      </c>
      <c r="C468" t="inlineStr">
        <is>
          <t>FCF</t>
        </is>
      </c>
      <c r="D468" t="inlineStr">
        <is>
          <t>SS01</t>
        </is>
      </c>
      <c r="E468" t="inlineStr">
        <is>
          <t>SAN SALVADOR CENTRO</t>
        </is>
      </c>
      <c r="F468" t="inlineStr">
        <is>
          <t>4a Calle Poniente #215</t>
        </is>
      </c>
      <c r="G468" t="inlineStr">
        <is>
          <t>San Salvador</t>
        </is>
      </c>
      <c r="H468" t="inlineStr">
        <is>
          <t>San Salvador</t>
        </is>
      </c>
      <c r="I468" t="inlineStr">
        <is>
          <t>Roberto Alfaro</t>
        </is>
      </c>
      <c r="J468" t="inlineStr">
        <is>
          <t>2221-4580</t>
        </is>
      </c>
      <c r="K468" t="inlineStr">
        <is>
          <t>José Martínez</t>
        </is>
      </c>
      <c r="L468" t="inlineStr">
        <is>
          <t>Sandra Rivera Pérez</t>
        </is>
      </c>
      <c r="M468" t="inlineStr">
        <is>
          <t>00391949-0</t>
        </is>
      </c>
      <c r="N468" t="inlineStr">
        <is>
          <t>6654-8845</t>
        </is>
      </c>
      <c r="O468" t="inlineStr">
        <is>
          <t>Consumidor final</t>
        </is>
      </c>
      <c r="P468" t="inlineStr">
        <is>
          <t>LAC-001</t>
        </is>
      </c>
      <c r="Q468" t="inlineStr">
        <is>
          <t>Quesillo 1lb</t>
        </is>
      </c>
      <c r="R468" t="inlineStr">
        <is>
          <t>Lácteos</t>
        </is>
      </c>
      <c r="S468" t="inlineStr">
        <is>
          <t>Lácteos Chalate</t>
        </is>
      </c>
      <c r="T468" t="inlineStr">
        <is>
          <t>2335-1020</t>
        </is>
      </c>
      <c r="U468" t="n">
        <v>3.8</v>
      </c>
      <c r="V468" t="n">
        <v>1</v>
      </c>
      <c r="W468" t="n">
        <v>0</v>
      </c>
      <c r="X468">
        <f>IFERROR(U468*V468*(1-W468/100),"")</f>
        <v/>
      </c>
      <c r="Y468">
        <f>IFERROR(ROUND(X468*0.13,2),"")</f>
        <v/>
      </c>
      <c r="Z468">
        <f>IFERROR(X468+Y468,"")</f>
        <v/>
      </c>
      <c r="AA468" t="inlineStr">
        <is>
          <t>efectivo</t>
        </is>
      </c>
      <c r="AB468" t="inlineStr"/>
    </row>
    <row r="469">
      <c r="A469" t="inlineStr">
        <is>
          <t>F-10832</t>
        </is>
      </c>
      <c r="B469" s="3" t="n">
        <v>46261</v>
      </c>
      <c r="C469" t="inlineStr">
        <is>
          <t>CCF</t>
        </is>
      </c>
      <c r="D469" t="inlineStr">
        <is>
          <t>SS01</t>
        </is>
      </c>
      <c r="E469" t="inlineStr">
        <is>
          <t>S.S. Centro</t>
        </is>
      </c>
      <c r="F469" t="inlineStr">
        <is>
          <t>4a Calle Poniente #215</t>
        </is>
      </c>
      <c r="G469" t="inlineStr">
        <is>
          <t>San Salvador</t>
        </is>
      </c>
      <c r="H469" t="inlineStr">
        <is>
          <t>San Salvador</t>
        </is>
      </c>
      <c r="I469" t="inlineStr">
        <is>
          <t>Roberto Alfaro</t>
        </is>
      </c>
      <c r="J469" t="inlineStr">
        <is>
          <t>2221-4580</t>
        </is>
      </c>
      <c r="K469" t="inlineStr">
        <is>
          <t>Daniela Orellana</t>
        </is>
      </c>
      <c r="L469" t="inlineStr">
        <is>
          <t>Comedor Doña Tere</t>
        </is>
      </c>
      <c r="M469" t="inlineStr">
        <is>
          <t>197287-2</t>
        </is>
      </c>
      <c r="N469" t="inlineStr">
        <is>
          <t>6654-5678</t>
        </is>
      </c>
      <c r="O469" t="inlineStr">
        <is>
          <t>Contribuyente</t>
        </is>
      </c>
      <c r="P469" t="inlineStr">
        <is>
          <t>LAC-003</t>
        </is>
      </c>
      <c r="Q469" t="inlineStr">
        <is>
          <t>Leche entera 1L</t>
        </is>
      </c>
      <c r="R469" t="inlineStr">
        <is>
          <t>Lácteos</t>
        </is>
      </c>
      <c r="S469" t="inlineStr">
        <is>
          <t>Lácteos Chalate</t>
        </is>
      </c>
      <c r="T469" t="inlineStr">
        <is>
          <t>2335-1020</t>
        </is>
      </c>
      <c r="U469" t="n">
        <v>1.2</v>
      </c>
      <c r="V469" t="n">
        <v>1</v>
      </c>
      <c r="W469" t="n">
        <v>0</v>
      </c>
      <c r="X469">
        <f>IFERROR(U469*V469*(1-W469/100),"")</f>
        <v/>
      </c>
      <c r="Y469">
        <f>IFERROR(ROUND(X469*0.13,2),"")</f>
        <v/>
      </c>
      <c r="Z469">
        <f>IFERROR(X469+Y469,"")</f>
        <v/>
      </c>
      <c r="AA469" t="inlineStr">
        <is>
          <t>Efectivo</t>
        </is>
      </c>
      <c r="AB469" t="inlineStr"/>
    </row>
    <row r="470">
      <c r="A470" t="inlineStr">
        <is>
          <t>F-10833</t>
        </is>
      </c>
      <c r="B470" t="inlineStr">
        <is>
          <t>10/08/2026</t>
        </is>
      </c>
      <c r="C470" t="inlineStr">
        <is>
          <t>Factura</t>
        </is>
      </c>
      <c r="D470" t="inlineStr">
        <is>
          <t>SO01</t>
        </is>
      </c>
      <c r="E470" t="inlineStr">
        <is>
          <t>Sonsonate</t>
        </is>
      </c>
      <c r="F470" t="inlineStr">
        <is>
          <t>Calle Obispo Marroquín #3</t>
        </is>
      </c>
      <c r="G470" t="inlineStr">
        <is>
          <t>Sonsonate</t>
        </is>
      </c>
      <c r="H470" t="inlineStr">
        <is>
          <t>Sonsonate</t>
        </is>
      </c>
      <c r="I470" t="inlineStr">
        <is>
          <t>Ernesto Chávez</t>
        </is>
      </c>
      <c r="J470" t="inlineStr">
        <is>
          <t>2451-2288</t>
        </is>
      </c>
      <c r="K470" t="inlineStr">
        <is>
          <t>Ricardo Funes</t>
        </is>
      </c>
      <c r="L470" t="inlineStr">
        <is>
          <t>Sandra Lemus Flores</t>
        </is>
      </c>
      <c r="M470" t="inlineStr">
        <is>
          <t>07143344-7</t>
        </is>
      </c>
      <c r="N470" t="inlineStr">
        <is>
          <t>2764-5365</t>
        </is>
      </c>
      <c r="O470" t="inlineStr">
        <is>
          <t>Consumidor final</t>
        </is>
      </c>
      <c r="P470" t="inlineStr">
        <is>
          <t>LAC-001</t>
        </is>
      </c>
      <c r="Q470" t="inlineStr">
        <is>
          <t>Quesillo 1lb</t>
        </is>
      </c>
      <c r="R470" t="inlineStr">
        <is>
          <t>LACTEOS</t>
        </is>
      </c>
      <c r="S470" t="inlineStr">
        <is>
          <t>Lácteos Chalate</t>
        </is>
      </c>
      <c r="T470" t="inlineStr">
        <is>
          <t>2335-1020</t>
        </is>
      </c>
      <c r="U470" t="n">
        <v>3.8</v>
      </c>
      <c r="V470" t="n">
        <v>1</v>
      </c>
      <c r="W470" t="n">
        <v>0</v>
      </c>
      <c r="X470">
        <f>IFERROR(U470*V470*(1-W470/100),"")</f>
        <v/>
      </c>
      <c r="Y470">
        <f>IFERROR(ROUND(X470*0.13,2),"")</f>
        <v/>
      </c>
      <c r="Z470">
        <f>IFERROR(X470+Y470,"")</f>
        <v/>
      </c>
      <c r="AA470" t="inlineStr">
        <is>
          <t>Tarjeta</t>
        </is>
      </c>
      <c r="AB470" t="inlineStr">
        <is>
          <t>entregar en bodega</t>
        </is>
      </c>
    </row>
    <row r="471">
      <c r="A471" t="inlineStr">
        <is>
          <t>F-10833</t>
        </is>
      </c>
      <c r="B471" s="3" t="n">
        <v>46244</v>
      </c>
      <c r="C471" t="inlineStr">
        <is>
          <t>Factura</t>
        </is>
      </c>
      <c r="D471" t="inlineStr"/>
      <c r="E471" t="inlineStr">
        <is>
          <t>Sonsonate</t>
        </is>
      </c>
      <c r="F471" t="inlineStr">
        <is>
          <t>Calle Obispo Marroquín #3</t>
        </is>
      </c>
      <c r="G471" t="inlineStr">
        <is>
          <t>Sonsonate</t>
        </is>
      </c>
      <c r="H471" t="inlineStr">
        <is>
          <t>Sonsonate</t>
        </is>
      </c>
      <c r="I471" t="inlineStr">
        <is>
          <t>Ernesto Chávez</t>
        </is>
      </c>
      <c r="J471" t="inlineStr">
        <is>
          <t>2451-2288</t>
        </is>
      </c>
      <c r="K471" t="inlineStr">
        <is>
          <t>Ricardo Funes</t>
        </is>
      </c>
      <c r="L471" t="inlineStr">
        <is>
          <t>Sandra Lemus Flores</t>
        </is>
      </c>
      <c r="M471" t="inlineStr">
        <is>
          <t>07143344-7</t>
        </is>
      </c>
      <c r="N471" t="inlineStr">
        <is>
          <t>2764-5365</t>
        </is>
      </c>
      <c r="O471" t="inlineStr">
        <is>
          <t>Consumidor final</t>
        </is>
      </c>
      <c r="P471" t="inlineStr">
        <is>
          <t>HIG-001</t>
        </is>
      </c>
      <c r="Q471" t="inlineStr">
        <is>
          <t>Detergente 1kg</t>
        </is>
      </c>
      <c r="R471" t="inlineStr">
        <is>
          <t>limpieza</t>
        </is>
      </c>
      <c r="S471" t="inlineStr">
        <is>
          <t>Higiene Total C.A.</t>
        </is>
      </c>
      <c r="T471" t="inlineStr">
        <is>
          <t>2207-5566</t>
        </is>
      </c>
      <c r="U471" t="inlineStr">
        <is>
          <t>$3.45</t>
        </is>
      </c>
      <c r="V471" t="n">
        <v>2</v>
      </c>
      <c r="W471" t="n">
        <v>0</v>
      </c>
      <c r="X471">
        <f>IFERROR(U471*V471*(1-W471/100),"")</f>
        <v/>
      </c>
      <c r="Y471">
        <f>IFERROR(ROUND(X471*0.13,2),"")</f>
        <v/>
      </c>
      <c r="Z471">
        <f>IFERROR(X471+Y471,"")</f>
        <v/>
      </c>
      <c r="AA471" t="inlineStr">
        <is>
          <t>Tarjeta</t>
        </is>
      </c>
      <c r="AB471" t="inlineStr"/>
    </row>
    <row r="472">
      <c r="A472" t="inlineStr">
        <is>
          <t>F-10833</t>
        </is>
      </c>
      <c r="B472" s="3" t="n">
        <v>46244</v>
      </c>
      <c r="C472" t="inlineStr">
        <is>
          <t>Factura</t>
        </is>
      </c>
      <c r="D472" t="inlineStr">
        <is>
          <t>SO01</t>
        </is>
      </c>
      <c r="E472" t="inlineStr">
        <is>
          <t>SONSONATE</t>
        </is>
      </c>
      <c r="F472" t="inlineStr">
        <is>
          <t>Calle Obispo Marroquín #3</t>
        </is>
      </c>
      <c r="G472" t="inlineStr">
        <is>
          <t>Sonsonate</t>
        </is>
      </c>
      <c r="H472" t="inlineStr">
        <is>
          <t>Sonsonate</t>
        </is>
      </c>
      <c r="I472" t="inlineStr">
        <is>
          <t>Ernesto Chávez</t>
        </is>
      </c>
      <c r="J472" t="inlineStr">
        <is>
          <t>2451-2288</t>
        </is>
      </c>
      <c r="K472" t="inlineStr">
        <is>
          <t>Ricardo Funes</t>
        </is>
      </c>
      <c r="L472" t="inlineStr">
        <is>
          <t>Sandra Lemus Flores</t>
        </is>
      </c>
      <c r="M472" t="inlineStr">
        <is>
          <t>07143344-7</t>
        </is>
      </c>
      <c r="N472" t="inlineStr">
        <is>
          <t>2764-5365</t>
        </is>
      </c>
      <c r="O472" t="inlineStr">
        <is>
          <t>Consumidor final</t>
        </is>
      </c>
      <c r="P472" t="inlineStr">
        <is>
          <t>PAN-002</t>
        </is>
      </c>
      <c r="Q472" t="inlineStr">
        <is>
          <t>Semita alta</t>
        </is>
      </c>
      <c r="R472" t="inlineStr">
        <is>
          <t>Panadería</t>
        </is>
      </c>
      <c r="S472" t="inlineStr">
        <is>
          <t>Panificadora Ilopango</t>
        </is>
      </c>
      <c r="T472" t="inlineStr">
        <is>
          <t>2295-0081</t>
        </is>
      </c>
      <c r="U472" t="n">
        <v>1.75</v>
      </c>
      <c r="V472" t="n">
        <v>2</v>
      </c>
      <c r="W472" t="n">
        <v>0</v>
      </c>
      <c r="X472">
        <f>IFERROR(U472*V472*(1-W472/100),"")</f>
        <v/>
      </c>
      <c r="Y472">
        <f>IFERROR(ROUND(X472*0.13,2),"")</f>
        <v/>
      </c>
      <c r="Z472">
        <f>IFERROR(X472+Y472,"")</f>
        <v/>
      </c>
      <c r="AA472" t="inlineStr">
        <is>
          <t>Tarjeta</t>
        </is>
      </c>
      <c r="AB472" t="inlineStr"/>
    </row>
    <row r="473">
      <c r="A473" t="inlineStr">
        <is>
          <t>F-10833</t>
        </is>
      </c>
      <c r="B473" s="3" t="n">
        <v>46244</v>
      </c>
      <c r="C473" t="inlineStr">
        <is>
          <t>Factura</t>
        </is>
      </c>
      <c r="D473" t="inlineStr">
        <is>
          <t>SO01</t>
        </is>
      </c>
      <c r="E473" t="inlineStr">
        <is>
          <t>Sonsonate</t>
        </is>
      </c>
      <c r="F473" t="inlineStr">
        <is>
          <t>Calle Obispo Marroquín #3</t>
        </is>
      </c>
      <c r="G473" t="inlineStr">
        <is>
          <t>Sonsonate</t>
        </is>
      </c>
      <c r="H473" t="inlineStr">
        <is>
          <t>Sonsonate</t>
        </is>
      </c>
      <c r="I473" t="inlineStr">
        <is>
          <t>Ernesto Chávez</t>
        </is>
      </c>
      <c r="J473" t="inlineStr">
        <is>
          <t>2451-2288</t>
        </is>
      </c>
      <c r="K473" t="inlineStr">
        <is>
          <t>Ricardo Funes</t>
        </is>
      </c>
      <c r="L473" t="inlineStr">
        <is>
          <t>Sandra Lemus Flores</t>
        </is>
      </c>
      <c r="M473" t="inlineStr">
        <is>
          <t>07143344-7</t>
        </is>
      </c>
      <c r="N473" t="inlineStr">
        <is>
          <t>2764-5365</t>
        </is>
      </c>
      <c r="O473" t="inlineStr">
        <is>
          <t>Consumidor final</t>
        </is>
      </c>
      <c r="P473" t="inlineStr">
        <is>
          <t>LAC-002</t>
        </is>
      </c>
      <c r="Q473" t="inlineStr">
        <is>
          <t>Crema 500ml</t>
        </is>
      </c>
      <c r="R473" t="inlineStr">
        <is>
          <t>Lácteos</t>
        </is>
      </c>
      <c r="S473" t="inlineStr">
        <is>
          <t>Lácteos Chalate</t>
        </is>
      </c>
      <c r="T473" t="inlineStr">
        <is>
          <t>2335-1020</t>
        </is>
      </c>
      <c r="U473" t="n">
        <v>2.25</v>
      </c>
      <c r="V473" t="n">
        <v>6</v>
      </c>
      <c r="W473" t="n">
        <v>0</v>
      </c>
      <c r="X473">
        <f>IFERROR(U473*V473*(1-W473/100),"")</f>
        <v/>
      </c>
      <c r="Y473">
        <f>IFERROR(ROUND(X473*0.13,2),"")</f>
        <v/>
      </c>
      <c r="Z473">
        <f>IFERROR(X473+Y473,"")</f>
        <v/>
      </c>
      <c r="AA473" t="inlineStr">
        <is>
          <t>Tarjeta</t>
        </is>
      </c>
      <c r="AB473" t="inlineStr">
        <is>
          <t>entregar en bodega</t>
        </is>
      </c>
    </row>
    <row r="474">
      <c r="A474" t="inlineStr">
        <is>
          <t>F-10836</t>
        </is>
      </c>
      <c r="B474" s="3" t="n">
        <v>46243</v>
      </c>
      <c r="C474" t="inlineStr">
        <is>
          <t>factura</t>
        </is>
      </c>
      <c r="D474" t="inlineStr">
        <is>
          <t>SS03</t>
        </is>
      </c>
      <c r="E474" t="inlineStr">
        <is>
          <t xml:space="preserve">SOYAPANGO </t>
        </is>
      </c>
      <c r="F474" t="inlineStr">
        <is>
          <t>Blvd. del Ejército km 4</t>
        </is>
      </c>
      <c r="G474" t="inlineStr">
        <is>
          <t>Soyapango</t>
        </is>
      </c>
      <c r="H474" t="inlineStr">
        <is>
          <t>San Salvador</t>
        </is>
      </c>
      <c r="I474" t="inlineStr">
        <is>
          <t>Karla Henríquez</t>
        </is>
      </c>
      <c r="J474" t="inlineStr">
        <is>
          <t>2277-3402</t>
        </is>
      </c>
      <c r="K474" t="inlineStr">
        <is>
          <t>Carlos Molina</t>
        </is>
      </c>
      <c r="L474" t="inlineStr">
        <is>
          <t>Sandra Sorto López</t>
        </is>
      </c>
      <c r="M474" t="inlineStr">
        <is>
          <t>00961529-1</t>
        </is>
      </c>
      <c r="N474" t="inlineStr">
        <is>
          <t>2123-6077</t>
        </is>
      </c>
      <c r="O474" t="inlineStr">
        <is>
          <t>Consumidor final</t>
        </is>
      </c>
      <c r="P474" t="inlineStr">
        <is>
          <t>HAR-001</t>
        </is>
      </c>
      <c r="Q474" t="inlineStr">
        <is>
          <t>Harina de maíz 2lb</t>
        </is>
      </c>
      <c r="R474" t="inlineStr">
        <is>
          <t>Abarrotes</t>
        </is>
      </c>
      <c r="S474" t="inlineStr">
        <is>
          <t>Granos del Pacífico</t>
        </is>
      </c>
      <c r="T474" t="inlineStr">
        <is>
          <t>2234-8890</t>
        </is>
      </c>
      <c r="U474" t="inlineStr">
        <is>
          <t>$1.35</t>
        </is>
      </c>
      <c r="V474" t="n">
        <v>1</v>
      </c>
      <c r="W474" t="n">
        <v>0</v>
      </c>
      <c r="X474">
        <f>IFERROR(U474*V474*(1-W474/100),"")</f>
        <v/>
      </c>
      <c r="Y474">
        <f>IFERROR(ROUND(X474*0.13,2),"")</f>
        <v/>
      </c>
      <c r="Z474">
        <f>IFERROR(X474+Y474,"")</f>
        <v/>
      </c>
      <c r="AA474" t="inlineStr">
        <is>
          <t>Efectivo</t>
        </is>
      </c>
      <c r="AB474" t="inlineStr"/>
    </row>
    <row r="475">
      <c r="A475" t="inlineStr">
        <is>
          <t>F-10838</t>
        </is>
      </c>
      <c r="B475" s="3" t="n">
        <v>46251</v>
      </c>
      <c r="C475" t="inlineStr">
        <is>
          <t>CCF</t>
        </is>
      </c>
      <c r="D475" t="inlineStr">
        <is>
          <t>SS01</t>
        </is>
      </c>
      <c r="E475" t="inlineStr">
        <is>
          <t>San Salvador Centro</t>
        </is>
      </c>
      <c r="F475" t="inlineStr">
        <is>
          <t>4a Calle Poniente #215</t>
        </is>
      </c>
      <c r="G475" t="inlineStr">
        <is>
          <t>San Salvador</t>
        </is>
      </c>
      <c r="H475" t="inlineStr">
        <is>
          <t>San Salvador</t>
        </is>
      </c>
      <c r="I475" t="inlineStr">
        <is>
          <t>Roberto Alfaro</t>
        </is>
      </c>
      <c r="J475" t="inlineStr">
        <is>
          <t>2221-4580</t>
        </is>
      </c>
      <c r="K475" t="inlineStr">
        <is>
          <t>Daniela Orellana</t>
        </is>
      </c>
      <c r="L475" t="inlineStr">
        <is>
          <t>Pupusería El Comal</t>
        </is>
      </c>
      <c r="M475" t="inlineStr">
        <is>
          <t>261664-6</t>
        </is>
      </c>
      <c r="N475" t="inlineStr">
        <is>
          <t>6293-1154</t>
        </is>
      </c>
      <c r="O475" t="inlineStr">
        <is>
          <t>Contribuyente</t>
        </is>
      </c>
      <c r="P475" t="inlineStr">
        <is>
          <t>HIG-003</t>
        </is>
      </c>
      <c r="Q475" t="inlineStr">
        <is>
          <t>Jabón de lavar barra</t>
        </is>
      </c>
      <c r="R475" t="inlineStr">
        <is>
          <t>Limpieza</t>
        </is>
      </c>
      <c r="S475" t="inlineStr">
        <is>
          <t>Higiene Total C.A.</t>
        </is>
      </c>
      <c r="T475" t="inlineStr">
        <is>
          <t>2207-5566</t>
        </is>
      </c>
      <c r="U475" t="inlineStr">
        <is>
          <t>0,75</t>
        </is>
      </c>
      <c r="V475" t="n">
        <v>-2</v>
      </c>
      <c r="W475" t="n">
        <v>0</v>
      </c>
      <c r="X475">
        <f>IFERROR(U475*V475*(1-W475/100),"")</f>
        <v/>
      </c>
      <c r="Y475">
        <f>IFERROR(ROUND(X475*0.13,2),"")</f>
        <v/>
      </c>
      <c r="Z475">
        <f>IFERROR(X475+Y475,"")</f>
        <v/>
      </c>
      <c r="AA475" t="inlineStr">
        <is>
          <t>Efectivo</t>
        </is>
      </c>
      <c r="AB475" t="inlineStr"/>
    </row>
    <row r="476">
      <c r="A476" t="inlineStr">
        <is>
          <t>F-10838</t>
        </is>
      </c>
      <c r="B476" s="3" t="n">
        <v>46251</v>
      </c>
      <c r="C476" t="inlineStr">
        <is>
          <t>CCF</t>
        </is>
      </c>
      <c r="D476" t="inlineStr">
        <is>
          <t>SS01</t>
        </is>
      </c>
      <c r="E476" t="inlineStr">
        <is>
          <t xml:space="preserve">san salvador centro </t>
        </is>
      </c>
      <c r="F476" t="inlineStr">
        <is>
          <t>4a Calle Poniente #215</t>
        </is>
      </c>
      <c r="G476" t="inlineStr">
        <is>
          <t>San Salvador</t>
        </is>
      </c>
      <c r="H476" t="inlineStr">
        <is>
          <t>San Salvador</t>
        </is>
      </c>
      <c r="I476" t="inlineStr">
        <is>
          <t>Roberto Alfaro</t>
        </is>
      </c>
      <c r="J476" t="inlineStr">
        <is>
          <t>2221-4580</t>
        </is>
      </c>
      <c r="K476" t="inlineStr">
        <is>
          <t>Daniela Orellana</t>
        </is>
      </c>
      <c r="L476" t="inlineStr">
        <is>
          <t>Pupusería El Comal</t>
        </is>
      </c>
      <c r="M476" t="inlineStr">
        <is>
          <t>261664-6</t>
        </is>
      </c>
      <c r="N476" t="inlineStr">
        <is>
          <t>6293-1154</t>
        </is>
      </c>
      <c r="O476" t="inlineStr">
        <is>
          <t>Contribuyente</t>
        </is>
      </c>
      <c r="P476" t="inlineStr">
        <is>
          <t>LAC-003</t>
        </is>
      </c>
      <c r="Q476" t="inlineStr">
        <is>
          <t>Leche entera 1L</t>
        </is>
      </c>
      <c r="R476" t="inlineStr">
        <is>
          <t>Lácteos</t>
        </is>
      </c>
      <c r="S476" t="inlineStr">
        <is>
          <t>Lácteos Chalate</t>
        </is>
      </c>
      <c r="T476" t="inlineStr">
        <is>
          <t>2335-1020</t>
        </is>
      </c>
      <c r="U476" t="n">
        <v>1.2</v>
      </c>
      <c r="V476" t="n">
        <v>24</v>
      </c>
      <c r="W476" t="n">
        <v>5</v>
      </c>
      <c r="X476">
        <f>IFERROR(U476*V476*(1-W476/100),"")</f>
        <v/>
      </c>
      <c r="Y476">
        <f>IFERROR(ROUND(X476*0.13,2),"")</f>
        <v/>
      </c>
      <c r="Z476">
        <f>IFERROR(X476+Y476,"")</f>
        <v/>
      </c>
      <c r="AA476" t="inlineStr">
        <is>
          <t>Efectivo</t>
        </is>
      </c>
      <c r="AB476" t="inlineStr">
        <is>
          <t>pagó con billete de $100</t>
        </is>
      </c>
    </row>
    <row r="477">
      <c r="A477" t="inlineStr">
        <is>
          <t>F-10840</t>
        </is>
      </c>
      <c r="B477" s="3" t="n">
        <v>46205</v>
      </c>
      <c r="C477" t="inlineStr">
        <is>
          <t>FCF</t>
        </is>
      </c>
      <c r="D477" t="inlineStr">
        <is>
          <t>SS02</t>
        </is>
      </c>
      <c r="E477" t="inlineStr">
        <is>
          <t>Col. Escalón</t>
        </is>
      </c>
      <c r="F477" t="inlineStr">
        <is>
          <t>Paseo General Escalón #3910</t>
        </is>
      </c>
      <c r="G477" t="inlineStr">
        <is>
          <t>San Salvador</t>
        </is>
      </c>
      <c r="H477" t="inlineStr">
        <is>
          <t>San Salvador</t>
        </is>
      </c>
      <c r="I477" t="inlineStr">
        <is>
          <t>Claudia Menjívar</t>
        </is>
      </c>
      <c r="J477" t="inlineStr">
        <is>
          <t>2264-1190</t>
        </is>
      </c>
      <c r="K477" t="inlineStr">
        <is>
          <t>Kevin Benítez</t>
        </is>
      </c>
      <c r="L477" t="inlineStr">
        <is>
          <t>Rosa Romero López</t>
        </is>
      </c>
      <c r="M477" t="inlineStr">
        <is>
          <t>06188185-5</t>
        </is>
      </c>
      <c r="N477" t="inlineStr">
        <is>
          <t>6532-2485</t>
        </is>
      </c>
      <c r="O477" t="inlineStr">
        <is>
          <t>Consumidor final</t>
        </is>
      </c>
      <c r="P477" t="inlineStr">
        <is>
          <t>BEB-001</t>
        </is>
      </c>
      <c r="Q477" t="inlineStr">
        <is>
          <t>Gaseosa 2.5L</t>
        </is>
      </c>
      <c r="R477" t="inlineStr">
        <is>
          <t>Bebidas</t>
        </is>
      </c>
      <c r="S477" t="inlineStr">
        <is>
          <t>Bebidas Izalco</t>
        </is>
      </c>
      <c r="T477" t="inlineStr">
        <is>
          <t>2450-7700</t>
        </is>
      </c>
      <c r="U477" t="inlineStr">
        <is>
          <t>$1.95</t>
        </is>
      </c>
      <c r="V477" t="n">
        <v>1</v>
      </c>
      <c r="W477" t="n">
        <v>0</v>
      </c>
      <c r="X477">
        <f>IFERROR(U477*V477*(1-W477/100),"")</f>
        <v/>
      </c>
      <c r="Y477">
        <f>IFERROR(ROUND(X477*0.13,2),"")</f>
        <v/>
      </c>
      <c r="Z477">
        <f>IFERROR(X477+Y477,"")</f>
        <v/>
      </c>
      <c r="AA477" t="inlineStr">
        <is>
          <t>Efectivo</t>
        </is>
      </c>
      <c r="AB477" t="inlineStr"/>
    </row>
    <row r="478">
      <c r="A478" t="inlineStr">
        <is>
          <t>F-10840</t>
        </is>
      </c>
      <c r="B478" s="3" t="n">
        <v>46205</v>
      </c>
      <c r="C478" t="inlineStr">
        <is>
          <t>FCF</t>
        </is>
      </c>
      <c r="D478" t="inlineStr">
        <is>
          <t>SS02</t>
        </is>
      </c>
      <c r="E478" t="inlineStr">
        <is>
          <t>Col. Escalón</t>
        </is>
      </c>
      <c r="F478" t="inlineStr">
        <is>
          <t>Paseo General Escalón #3910</t>
        </is>
      </c>
      <c r="G478" t="inlineStr">
        <is>
          <t>San Salvador</t>
        </is>
      </c>
      <c r="H478" t="inlineStr">
        <is>
          <t>San Salvador</t>
        </is>
      </c>
      <c r="I478" t="inlineStr">
        <is>
          <t>Claudia Menjívar</t>
        </is>
      </c>
      <c r="J478" t="inlineStr">
        <is>
          <t>2264-1190</t>
        </is>
      </c>
      <c r="K478" t="inlineStr">
        <is>
          <t>Kevin Benítez</t>
        </is>
      </c>
      <c r="L478" t="inlineStr">
        <is>
          <t>Rosa Romero López</t>
        </is>
      </c>
      <c r="M478" t="inlineStr">
        <is>
          <t>06188185-5</t>
        </is>
      </c>
      <c r="N478" t="inlineStr">
        <is>
          <t>6532-2485</t>
        </is>
      </c>
      <c r="O478" t="inlineStr">
        <is>
          <t>Consumidor final</t>
        </is>
      </c>
      <c r="P478" t="inlineStr">
        <is>
          <t>LAC-001</t>
        </is>
      </c>
      <c r="Q478" t="inlineStr">
        <is>
          <t>Quesillo 1lb</t>
        </is>
      </c>
      <c r="R478" t="inlineStr">
        <is>
          <t>Lácteos</t>
        </is>
      </c>
      <c r="S478" t="inlineStr">
        <is>
          <t>Lácteos Chalate</t>
        </is>
      </c>
      <c r="T478" t="inlineStr">
        <is>
          <t>2335-1020</t>
        </is>
      </c>
      <c r="U478" t="n">
        <v>3.8</v>
      </c>
      <c r="V478" t="n">
        <v>1</v>
      </c>
      <c r="W478" t="n">
        <v>0</v>
      </c>
      <c r="X478">
        <f>IFERROR(U478*V478*(1-W478/100),"")</f>
        <v/>
      </c>
      <c r="Y478">
        <f>IFERROR(ROUND(X478*0.13,2),"")</f>
        <v/>
      </c>
      <c r="Z478">
        <f>IFERROR(X478+Y478,"")</f>
        <v/>
      </c>
      <c r="AA478" t="inlineStr">
        <is>
          <t>Efectivo</t>
        </is>
      </c>
      <c r="AB478" t="inlineStr">
        <is>
          <t>pagó con billete de $100</t>
        </is>
      </c>
    </row>
    <row r="479">
      <c r="A479" t="inlineStr">
        <is>
          <t>F-10841</t>
        </is>
      </c>
      <c r="B479" t="inlineStr">
        <is>
          <t>08-Aug-26</t>
        </is>
      </c>
      <c r="C479" t="inlineStr">
        <is>
          <t>Factura</t>
        </is>
      </c>
      <c r="D479" t="inlineStr">
        <is>
          <t>SO01</t>
        </is>
      </c>
      <c r="E479" t="inlineStr">
        <is>
          <t>SONSONATE</t>
        </is>
      </c>
      <c r="F479" t="inlineStr">
        <is>
          <t>Calle Obispo Marroquín #3</t>
        </is>
      </c>
      <c r="G479" t="inlineStr">
        <is>
          <t>Sonsonate</t>
        </is>
      </c>
      <c r="H479" t="inlineStr">
        <is>
          <t>Sonsonate</t>
        </is>
      </c>
      <c r="I479" t="inlineStr">
        <is>
          <t>Ernesto Chávez</t>
        </is>
      </c>
      <c r="J479" t="inlineStr">
        <is>
          <t>2451-2288</t>
        </is>
      </c>
      <c r="K479" t="inlineStr">
        <is>
          <t>Ricardo Funes</t>
        </is>
      </c>
      <c r="L479" t="inlineStr">
        <is>
          <t>Xiomara Flores Rivera</t>
        </is>
      </c>
      <c r="M479" t="inlineStr">
        <is>
          <t>09919727-8</t>
        </is>
      </c>
      <c r="N479" t="inlineStr">
        <is>
          <t>2544-6511</t>
        </is>
      </c>
      <c r="O479" t="inlineStr">
        <is>
          <t>Consumidor final</t>
        </is>
      </c>
      <c r="P479" t="inlineStr">
        <is>
          <t>PAN-002</t>
        </is>
      </c>
      <c r="Q479" t="inlineStr">
        <is>
          <t>Semita alta</t>
        </is>
      </c>
      <c r="R479" t="inlineStr">
        <is>
          <t>Panadería</t>
        </is>
      </c>
      <c r="S479" t="inlineStr">
        <is>
          <t>Panificadora Ilopango</t>
        </is>
      </c>
      <c r="T479" t="inlineStr">
        <is>
          <t>2295-0081</t>
        </is>
      </c>
      <c r="U479" t="inlineStr">
        <is>
          <t>1,75</t>
        </is>
      </c>
      <c r="V479" t="n">
        <v>-6</v>
      </c>
      <c r="W479" t="n">
        <v>0</v>
      </c>
      <c r="X479">
        <f>IFERROR(U479*V479*(1-W479/100),"")</f>
        <v/>
      </c>
      <c r="Y479">
        <f>IFERROR(ROUND(X479*0.13,2),"")</f>
        <v/>
      </c>
      <c r="Z479">
        <f>IFERROR(X479+Y479,"")</f>
        <v/>
      </c>
      <c r="AA479" t="inlineStr">
        <is>
          <t>efectivo</t>
        </is>
      </c>
      <c r="AB479" t="inlineStr">
        <is>
          <t>Llamar al 7788-1234 antes de entregar</t>
        </is>
      </c>
    </row>
    <row r="480">
      <c r="A480" t="inlineStr">
        <is>
          <t>F-10841</t>
        </is>
      </c>
      <c r="B480" s="3" t="n">
        <v>46242</v>
      </c>
      <c r="C480" t="inlineStr">
        <is>
          <t>Factura</t>
        </is>
      </c>
      <c r="D480" t="inlineStr">
        <is>
          <t>SO01</t>
        </is>
      </c>
      <c r="E480" t="inlineStr">
        <is>
          <t>SONSONATE</t>
        </is>
      </c>
      <c r="F480" t="inlineStr">
        <is>
          <t>Calle Obispo Marroquín #3</t>
        </is>
      </c>
      <c r="G480" t="inlineStr">
        <is>
          <t>Sonsonate</t>
        </is>
      </c>
      <c r="H480" t="inlineStr">
        <is>
          <t>Sonsonate</t>
        </is>
      </c>
      <c r="I480" t="inlineStr">
        <is>
          <t>Ernesto Chávez</t>
        </is>
      </c>
      <c r="J480" t="inlineStr">
        <is>
          <t>2451-2288</t>
        </is>
      </c>
      <c r="K480" t="inlineStr">
        <is>
          <t>Ricardo Funes</t>
        </is>
      </c>
      <c r="L480" t="inlineStr">
        <is>
          <t>Xiomara Flores Rivera</t>
        </is>
      </c>
      <c r="M480" t="inlineStr">
        <is>
          <t>09919727-8</t>
        </is>
      </c>
      <c r="N480" t="inlineStr">
        <is>
          <t>2544-6511</t>
        </is>
      </c>
      <c r="O480" t="inlineStr">
        <is>
          <t>Consumidor final</t>
        </is>
      </c>
      <c r="P480" t="inlineStr">
        <is>
          <t>ARR-001</t>
        </is>
      </c>
      <c r="Q480" t="inlineStr">
        <is>
          <t>Arroz blanco 5lb</t>
        </is>
      </c>
      <c r="R480" t="inlineStr">
        <is>
          <t>Granos básicos</t>
        </is>
      </c>
      <c r="S480" t="inlineStr">
        <is>
          <t>Granos del Pacífico</t>
        </is>
      </c>
      <c r="T480" t="inlineStr">
        <is>
          <t>2234-8890</t>
        </is>
      </c>
      <c r="U480" t="n">
        <v>3.95</v>
      </c>
      <c r="V480" t="n">
        <v>2</v>
      </c>
      <c r="W480" t="n">
        <v>0</v>
      </c>
      <c r="X480">
        <f>IFERROR(U480*V480*(1-W480/100),"")</f>
        <v/>
      </c>
      <c r="Y480">
        <f>IFERROR(ROUND(X480*0.13,2),"")</f>
        <v/>
      </c>
      <c r="Z480">
        <f>IFERROR(X480+Y480,"")</f>
        <v/>
      </c>
      <c r="AA480" t="inlineStr">
        <is>
          <t>efectivo</t>
        </is>
      </c>
      <c r="AB480" t="inlineStr">
        <is>
          <t>pagó con billete de $100</t>
        </is>
      </c>
    </row>
    <row r="481">
      <c r="A481" t="inlineStr">
        <is>
          <t>F-10844</t>
        </is>
      </c>
      <c r="B481" s="3" t="n">
        <v>46241</v>
      </c>
      <c r="C481" t="inlineStr">
        <is>
          <t>factura</t>
        </is>
      </c>
      <c r="D481" t="inlineStr">
        <is>
          <t>SA01</t>
        </is>
      </c>
      <c r="E481" t="inlineStr">
        <is>
          <t>STA ANA</t>
        </is>
      </c>
      <c r="F481" t="inlineStr">
        <is>
          <t>Av. Independencia Sur #12</t>
        </is>
      </c>
      <c r="G481" t="inlineStr">
        <is>
          <t>Santa Ana</t>
        </is>
      </c>
      <c r="H481" t="inlineStr">
        <is>
          <t>Santa Ana</t>
        </is>
      </c>
      <c r="I481" t="inlineStr">
        <is>
          <t>Mauricio Linares</t>
        </is>
      </c>
      <c r="J481" t="inlineStr">
        <is>
          <t>2440-9921</t>
        </is>
      </c>
      <c r="K481" t="inlineStr">
        <is>
          <t>Sofía Cáceres</t>
        </is>
      </c>
      <c r="L481" t="inlineStr">
        <is>
          <t>Walter García Alvarado</t>
        </is>
      </c>
      <c r="M481" t="inlineStr">
        <is>
          <t>08409777-4</t>
        </is>
      </c>
      <c r="N481" t="inlineStr">
        <is>
          <t>6398-6837</t>
        </is>
      </c>
      <c r="O481" t="inlineStr">
        <is>
          <t>Consumidor final</t>
        </is>
      </c>
      <c r="P481" t="inlineStr">
        <is>
          <t>FRI-001</t>
        </is>
      </c>
      <c r="Q481" t="inlineStr">
        <is>
          <t>Frijol rojo de seda 2lb</t>
        </is>
      </c>
      <c r="R481" t="inlineStr">
        <is>
          <t>Granos básicos</t>
        </is>
      </c>
      <c r="S481" t="inlineStr">
        <is>
          <t>Granos del Pacífico</t>
        </is>
      </c>
      <c r="T481" t="inlineStr">
        <is>
          <t>2234-8890</t>
        </is>
      </c>
      <c r="U481" t="n">
        <v>2.4</v>
      </c>
      <c r="V481" t="n">
        <v>1</v>
      </c>
      <c r="W481" t="n">
        <v>0</v>
      </c>
      <c r="X481">
        <f>IFERROR(U481*V481*(1-W481/100),"")</f>
        <v/>
      </c>
      <c r="Y481">
        <f>IFERROR(ROUND(X481*0.13,2),"")</f>
        <v/>
      </c>
      <c r="Z481">
        <f>IFERROR(X481+Y481,"")</f>
        <v/>
      </c>
      <c r="AA481" t="inlineStr">
        <is>
          <t>efectivo</t>
        </is>
      </c>
      <c r="AB481" t="inlineStr"/>
    </row>
    <row r="482">
      <c r="A482" t="inlineStr">
        <is>
          <t>F-10844</t>
        </is>
      </c>
      <c r="B482" t="inlineStr">
        <is>
          <t>07/08/2026</t>
        </is>
      </c>
      <c r="C482" t="inlineStr">
        <is>
          <t>factura</t>
        </is>
      </c>
      <c r="D482" t="inlineStr">
        <is>
          <t>SA01</t>
        </is>
      </c>
      <c r="E482" t="inlineStr">
        <is>
          <t>Santa  Ana</t>
        </is>
      </c>
      <c r="F482" t="inlineStr">
        <is>
          <t>Av. Independencia Sur #12</t>
        </is>
      </c>
      <c r="G482" t="inlineStr">
        <is>
          <t>Santa Ana</t>
        </is>
      </c>
      <c r="H482" t="inlineStr">
        <is>
          <t>Santa Ana</t>
        </is>
      </c>
      <c r="I482" t="inlineStr">
        <is>
          <t>Mauricio Linares</t>
        </is>
      </c>
      <c r="J482" t="inlineStr">
        <is>
          <t>2440-9921</t>
        </is>
      </c>
      <c r="K482" t="inlineStr">
        <is>
          <t>Sofía Cáceres</t>
        </is>
      </c>
      <c r="L482" t="inlineStr">
        <is>
          <t>Walter García Alvarado</t>
        </is>
      </c>
      <c r="M482" t="inlineStr">
        <is>
          <t>08409777-4</t>
        </is>
      </c>
      <c r="N482" t="inlineStr">
        <is>
          <t>6398-6837</t>
        </is>
      </c>
      <c r="O482" t="inlineStr">
        <is>
          <t>Consumidor final</t>
        </is>
      </c>
      <c r="P482" t="inlineStr">
        <is>
          <t>BEB-002</t>
        </is>
      </c>
      <c r="Q482" t="inlineStr">
        <is>
          <t>Agua purificada 1 galón</t>
        </is>
      </c>
      <c r="R482" t="inlineStr">
        <is>
          <t>Bebidas</t>
        </is>
      </c>
      <c r="S482" t="inlineStr">
        <is>
          <t>Bebidas Izalco</t>
        </is>
      </c>
      <c r="T482" t="inlineStr">
        <is>
          <t>2450-7700</t>
        </is>
      </c>
      <c r="U482" t="inlineStr">
        <is>
          <t>$1.10</t>
        </is>
      </c>
      <c r="V482" t="n">
        <v>12</v>
      </c>
      <c r="W482" t="n">
        <v>0</v>
      </c>
      <c r="X482">
        <f>IFERROR(U482*V482*(1-W482/100),"")</f>
        <v/>
      </c>
      <c r="Y482">
        <f>IFERROR(ROUND(X482*0.13,2),"")</f>
        <v/>
      </c>
      <c r="Z482">
        <f>IFERROR(X482+Y482,"")</f>
        <v/>
      </c>
      <c r="AA482" t="inlineStr">
        <is>
          <t>efectivo</t>
        </is>
      </c>
      <c r="AB482" t="inlineStr">
        <is>
          <t>pagó con billete de $100</t>
        </is>
      </c>
    </row>
    <row r="483">
      <c r="A483" t="inlineStr">
        <is>
          <t>F-10844</t>
        </is>
      </c>
      <c r="B483" s="3" t="n">
        <v>46241</v>
      </c>
      <c r="C483" t="inlineStr">
        <is>
          <t>factura</t>
        </is>
      </c>
      <c r="D483" t="inlineStr">
        <is>
          <t>SA01</t>
        </is>
      </c>
      <c r="E483" t="inlineStr">
        <is>
          <t>Santa  Ana</t>
        </is>
      </c>
      <c r="F483" t="inlineStr">
        <is>
          <t>Av. Independencia Sur #12</t>
        </is>
      </c>
      <c r="G483" t="inlineStr">
        <is>
          <t>Santa Ana</t>
        </is>
      </c>
      <c r="H483" t="inlineStr">
        <is>
          <t>Santa Ana</t>
        </is>
      </c>
      <c r="I483" t="inlineStr">
        <is>
          <t>Mauricio Linares</t>
        </is>
      </c>
      <c r="J483" t="inlineStr">
        <is>
          <t>2440-9921</t>
        </is>
      </c>
      <c r="K483" t="inlineStr">
        <is>
          <t>Sofía Cáceres</t>
        </is>
      </c>
      <c r="L483" t="inlineStr">
        <is>
          <t>Walter García Alvarado</t>
        </is>
      </c>
      <c r="M483" t="inlineStr">
        <is>
          <t>08409777-4</t>
        </is>
      </c>
      <c r="N483" t="inlineStr">
        <is>
          <t>6398-6837</t>
        </is>
      </c>
      <c r="O483" t="inlineStr">
        <is>
          <t>Consumidor final</t>
        </is>
      </c>
      <c r="P483" t="inlineStr">
        <is>
          <t>HIG-001</t>
        </is>
      </c>
      <c r="Q483" t="inlineStr">
        <is>
          <t>Detergente 1kg</t>
        </is>
      </c>
      <c r="R483" t="inlineStr">
        <is>
          <t>limpieza</t>
        </is>
      </c>
      <c r="S483" t="inlineStr">
        <is>
          <t>Higiene Total C.A.</t>
        </is>
      </c>
      <c r="T483" t="inlineStr">
        <is>
          <t>2207-5566</t>
        </is>
      </c>
      <c r="U483" t="n">
        <v>3.45</v>
      </c>
      <c r="V483" t="n">
        <v>1</v>
      </c>
      <c r="W483" t="n">
        <v>0</v>
      </c>
      <c r="X483">
        <f>IFERROR(U483*V483*(1-W483/100),"")</f>
        <v/>
      </c>
      <c r="Y483">
        <f>IFERROR(ROUND(X483*0.13,2),"")</f>
        <v/>
      </c>
      <c r="Z483">
        <f>IFERROR(X483+Y483,"")</f>
        <v/>
      </c>
      <c r="AA483" t="inlineStr">
        <is>
          <t>efectivo</t>
        </is>
      </c>
      <c r="AB483" t="inlineStr"/>
    </row>
    <row r="484">
      <c r="A484" t="inlineStr">
        <is>
          <t>F-10846</t>
        </is>
      </c>
      <c r="B484" s="3" t="n">
        <v>46225</v>
      </c>
      <c r="C484" t="inlineStr">
        <is>
          <t>CCF</t>
        </is>
      </c>
      <c r="D484" t="inlineStr">
        <is>
          <t>SO01</t>
        </is>
      </c>
      <c r="E484" t="inlineStr">
        <is>
          <t>Sonsonate</t>
        </is>
      </c>
      <c r="F484" t="inlineStr">
        <is>
          <t>Calle Obispo Marroquín #3</t>
        </is>
      </c>
      <c r="G484" t="inlineStr">
        <is>
          <t>Sonsonate</t>
        </is>
      </c>
      <c r="H484" t="inlineStr">
        <is>
          <t>Sonsonate</t>
        </is>
      </c>
      <c r="I484" t="inlineStr">
        <is>
          <t>Ernesto Chávez</t>
        </is>
      </c>
      <c r="J484" t="inlineStr">
        <is>
          <t>2451-2288</t>
        </is>
      </c>
      <c r="K484" t="inlineStr">
        <is>
          <t>Ricardo Funes</t>
        </is>
      </c>
      <c r="L484" t="inlineStr">
        <is>
          <t>Tienda La Bendición</t>
        </is>
      </c>
      <c r="M484" t="inlineStr">
        <is>
          <t>95045-4</t>
        </is>
      </c>
      <c r="N484" t="inlineStr">
        <is>
          <t>6142-4109</t>
        </is>
      </c>
      <c r="O484" t="inlineStr">
        <is>
          <t>Contribuyente</t>
        </is>
      </c>
      <c r="P484" t="inlineStr">
        <is>
          <t>AZU-001</t>
        </is>
      </c>
      <c r="Q484" t="inlineStr">
        <is>
          <t>Azúcar blanca 2.5kg</t>
        </is>
      </c>
      <c r="R484" t="inlineStr">
        <is>
          <t>Abarrotes</t>
        </is>
      </c>
      <c r="S484" t="inlineStr">
        <is>
          <t>Granos del Pacífico</t>
        </is>
      </c>
      <c r="T484" t="inlineStr">
        <is>
          <t>2234-8890</t>
        </is>
      </c>
      <c r="U484" t="n">
        <v>3.1</v>
      </c>
      <c r="V484" t="n">
        <v>12</v>
      </c>
      <c r="W484" t="n">
        <v>0</v>
      </c>
      <c r="X484">
        <f>IFERROR(U484*V484*(1-W484/100),"")</f>
        <v/>
      </c>
      <c r="Y484">
        <f>IFERROR(ROUND(X484*0.13,2),"")</f>
        <v/>
      </c>
      <c r="Z484">
        <f>IFERROR(X484+Y484,"")</f>
        <v/>
      </c>
      <c r="AA484" t="inlineStr">
        <is>
          <t>Chivo</t>
        </is>
      </c>
      <c r="AB484" t="inlineStr">
        <is>
          <t>pagó con billete de $100</t>
        </is>
      </c>
    </row>
    <row r="485">
      <c r="A485" t="inlineStr">
        <is>
          <t>F-10846</t>
        </is>
      </c>
      <c r="B485" t="inlineStr">
        <is>
          <t>22/07/2026</t>
        </is>
      </c>
      <c r="C485" t="inlineStr">
        <is>
          <t>CCF</t>
        </is>
      </c>
      <c r="D485" t="inlineStr">
        <is>
          <t>SO01</t>
        </is>
      </c>
      <c r="E485" t="inlineStr">
        <is>
          <t>Sonsonate</t>
        </is>
      </c>
      <c r="F485" t="inlineStr">
        <is>
          <t>Calle Obispo Marroquín #3</t>
        </is>
      </c>
      <c r="G485" t="inlineStr">
        <is>
          <t>Sonsonate</t>
        </is>
      </c>
      <c r="H485" t="inlineStr">
        <is>
          <t>Sonsonate</t>
        </is>
      </c>
      <c r="I485" t="inlineStr">
        <is>
          <t>Ernesto Chávez</t>
        </is>
      </c>
      <c r="J485" t="inlineStr">
        <is>
          <t>2451-2288</t>
        </is>
      </c>
      <c r="K485" t="inlineStr">
        <is>
          <t>Ricardo Funes</t>
        </is>
      </c>
      <c r="L485" t="inlineStr">
        <is>
          <t>Tienda La Bendición</t>
        </is>
      </c>
      <c r="M485" t="inlineStr">
        <is>
          <t>95045-4</t>
        </is>
      </c>
      <c r="N485" t="inlineStr">
        <is>
          <t>6142-4109</t>
        </is>
      </c>
      <c r="O485" t="inlineStr">
        <is>
          <t>Contribuyente</t>
        </is>
      </c>
      <c r="P485" t="inlineStr">
        <is>
          <t>CAF-001</t>
        </is>
      </c>
      <c r="Q485" t="inlineStr">
        <is>
          <t>Café molido 400g</t>
        </is>
      </c>
      <c r="R485" t="inlineStr">
        <is>
          <t>ABARROTES</t>
        </is>
      </c>
      <c r="S485" t="inlineStr">
        <is>
          <t>Café Volcán S.A.</t>
        </is>
      </c>
      <c r="T485" t="inlineStr">
        <is>
          <t>2510-3344</t>
        </is>
      </c>
      <c r="U485" t="n">
        <v>4.25</v>
      </c>
      <c r="V485" t="n">
        <v>4</v>
      </c>
      <c r="W485" t="n">
        <v>5</v>
      </c>
      <c r="X485">
        <f>IFERROR(U485*V485*(1-W485/100),"")</f>
        <v/>
      </c>
      <c r="Y485">
        <f>IFERROR(ROUND(X485*0.13,2),"")</f>
        <v/>
      </c>
      <c r="Z485">
        <f>IFERROR(X485+Y485,"")</f>
        <v/>
      </c>
      <c r="AA485" t="inlineStr">
        <is>
          <t>Chivo</t>
        </is>
      </c>
      <c r="AB485" t="inlineStr">
        <is>
          <t>Cliente frecuente</t>
        </is>
      </c>
    </row>
    <row r="486">
      <c r="A486" t="inlineStr">
        <is>
          <t>F-10846</t>
        </is>
      </c>
      <c r="B486" s="3" t="n">
        <v>46225</v>
      </c>
      <c r="C486" t="inlineStr">
        <is>
          <t>CCF</t>
        </is>
      </c>
      <c r="D486" t="inlineStr">
        <is>
          <t>SO01</t>
        </is>
      </c>
      <c r="E486" t="inlineStr">
        <is>
          <t>Sonsonate</t>
        </is>
      </c>
      <c r="F486" t="inlineStr">
        <is>
          <t>Calle Obispo Marroquín #3</t>
        </is>
      </c>
      <c r="G486" t="inlineStr">
        <is>
          <t>Sonsonate</t>
        </is>
      </c>
      <c r="H486" t="inlineStr">
        <is>
          <t>Sonsonate</t>
        </is>
      </c>
      <c r="I486" t="inlineStr">
        <is>
          <t>Ernesto Chávez</t>
        </is>
      </c>
      <c r="J486" t="inlineStr">
        <is>
          <t>2451-2288</t>
        </is>
      </c>
      <c r="K486" t="inlineStr">
        <is>
          <t>Ricardo Funes</t>
        </is>
      </c>
      <c r="L486" t="inlineStr">
        <is>
          <t>Tienda La Bendición</t>
        </is>
      </c>
      <c r="M486" t="inlineStr">
        <is>
          <t>95045-4</t>
        </is>
      </c>
      <c r="N486" t="inlineStr">
        <is>
          <t>6142-4109</t>
        </is>
      </c>
      <c r="O486" t="inlineStr">
        <is>
          <t>Contribuyente</t>
        </is>
      </c>
      <c r="P486" t="inlineStr">
        <is>
          <t>BEB-001</t>
        </is>
      </c>
      <c r="Q486" t="inlineStr">
        <is>
          <t>Gaseosa 2.5L</t>
        </is>
      </c>
      <c r="R486" t="inlineStr">
        <is>
          <t>bebidas</t>
        </is>
      </c>
      <c r="S486" t="inlineStr">
        <is>
          <t>Bebidas Izalco</t>
        </is>
      </c>
      <c r="T486" t="inlineStr">
        <is>
          <t>2450-7700</t>
        </is>
      </c>
      <c r="U486" t="n">
        <v>1.95</v>
      </c>
      <c r="V486" t="n">
        <v>12</v>
      </c>
      <c r="W486" t="n">
        <v>0</v>
      </c>
      <c r="X486">
        <f>IFERROR(U486*V486*(1-W486/100),"")</f>
        <v/>
      </c>
      <c r="Y486">
        <f>IFERROR(ROUND(X486*0.13,2),"")</f>
        <v/>
      </c>
      <c r="Z486">
        <f>IFERROR(X486+Y486,"")</f>
        <v/>
      </c>
      <c r="AA486" t="inlineStr">
        <is>
          <t>Chivo</t>
        </is>
      </c>
      <c r="AB486" t="inlineStr"/>
    </row>
    <row r="487">
      <c r="A487" t="inlineStr">
        <is>
          <t>F-10849</t>
        </is>
      </c>
      <c r="B487" s="3" t="n">
        <v>46222</v>
      </c>
      <c r="C487" t="inlineStr">
        <is>
          <t>Factura</t>
        </is>
      </c>
      <c r="D487" t="inlineStr">
        <is>
          <t>LL01</t>
        </is>
      </c>
      <c r="E487" t="inlineStr">
        <is>
          <t>SANTA TECLA</t>
        </is>
      </c>
      <c r="F487" t="inlineStr">
        <is>
          <t>Calle Daniel Hernández #18</t>
        </is>
      </c>
      <c r="G487" t="inlineStr">
        <is>
          <t>Santa Tecla</t>
        </is>
      </c>
      <c r="H487" t="inlineStr">
        <is>
          <t>La Libertad</t>
        </is>
      </c>
      <c r="I487" t="inlineStr">
        <is>
          <t>Óscar Rivas</t>
        </is>
      </c>
      <c r="J487" t="inlineStr">
        <is>
          <t>2228-7731</t>
        </is>
      </c>
      <c r="K487" t="inlineStr">
        <is>
          <t>Luis Escobar</t>
        </is>
      </c>
      <c r="L487" t="inlineStr">
        <is>
          <t>Ana Pérez Rivera</t>
        </is>
      </c>
      <c r="M487" t="inlineStr"/>
      <c r="N487" t="inlineStr">
        <is>
          <t>7205-8035</t>
        </is>
      </c>
      <c r="O487" t="inlineStr">
        <is>
          <t>Consumidor final</t>
        </is>
      </c>
      <c r="P487" t="inlineStr">
        <is>
          <t>PAN-003</t>
        </is>
      </c>
      <c r="Q487" t="inlineStr">
        <is>
          <t>Quesadilla salvadoreña</t>
        </is>
      </c>
      <c r="R487" t="inlineStr">
        <is>
          <t>Panadería</t>
        </is>
      </c>
      <c r="S487" t="inlineStr">
        <is>
          <t>Panificadora Ilopango</t>
        </is>
      </c>
      <c r="T487" t="inlineStr">
        <is>
          <t>2295-0081</t>
        </is>
      </c>
      <c r="U487" t="n">
        <v>2.5</v>
      </c>
      <c r="V487" t="n">
        <v>24</v>
      </c>
      <c r="W487" t="n">
        <v>0</v>
      </c>
      <c r="X487">
        <f>IFERROR(U487*V487*(1-W487/100),"")</f>
        <v/>
      </c>
      <c r="Y487">
        <f>IFERROR(ROUND(X487*0.13,2),"")</f>
        <v/>
      </c>
      <c r="Z487">
        <f>IFERROR(X487+Y487,"")</f>
        <v/>
      </c>
      <c r="AA487" t="inlineStr">
        <is>
          <t>Efectivo</t>
        </is>
      </c>
      <c r="AB487" t="inlineStr"/>
    </row>
    <row r="488">
      <c r="A488" t="inlineStr">
        <is>
          <t>F-10849</t>
        </is>
      </c>
      <c r="B488" s="3" t="n">
        <v>46222</v>
      </c>
      <c r="C488" t="inlineStr">
        <is>
          <t>Factura</t>
        </is>
      </c>
      <c r="D488" t="inlineStr">
        <is>
          <t>LL01</t>
        </is>
      </c>
      <c r="E488" t="inlineStr">
        <is>
          <t>Sta. Tecla</t>
        </is>
      </c>
      <c r="F488" t="inlineStr">
        <is>
          <t>Calle Daniel Hernández #18</t>
        </is>
      </c>
      <c r="G488" t="inlineStr">
        <is>
          <t>Santa Tecla</t>
        </is>
      </c>
      <c r="H488" t="inlineStr">
        <is>
          <t>La Libertad</t>
        </is>
      </c>
      <c r="I488" t="inlineStr">
        <is>
          <t>Óscar Rivas</t>
        </is>
      </c>
      <c r="J488" t="inlineStr">
        <is>
          <t>2228-7731</t>
        </is>
      </c>
      <c r="K488" t="inlineStr">
        <is>
          <t>Luis Escobar</t>
        </is>
      </c>
      <c r="L488" t="inlineStr">
        <is>
          <t>Ana Pérez Rivera</t>
        </is>
      </c>
      <c r="M488" t="inlineStr">
        <is>
          <t>00820199-8</t>
        </is>
      </c>
      <c r="N488" t="inlineStr">
        <is>
          <t>7205-8035</t>
        </is>
      </c>
      <c r="O488" t="inlineStr">
        <is>
          <t>Consumidor final</t>
        </is>
      </c>
      <c r="P488" t="inlineStr">
        <is>
          <t>LAC-002</t>
        </is>
      </c>
      <c r="Q488" t="inlineStr">
        <is>
          <t>Crema 500ml</t>
        </is>
      </c>
      <c r="R488" t="inlineStr">
        <is>
          <t>Lacteos</t>
        </is>
      </c>
      <c r="S488" t="inlineStr">
        <is>
          <t>Lácteos Chalate</t>
        </is>
      </c>
      <c r="T488" t="inlineStr">
        <is>
          <t>2335-1020</t>
        </is>
      </c>
      <c r="U488" t="n">
        <v>2.25</v>
      </c>
      <c r="V488" t="n">
        <v>3</v>
      </c>
      <c r="W488" t="n">
        <v>0</v>
      </c>
      <c r="X488">
        <f>IFERROR(U488*V488*(1-W488/100),"")</f>
        <v/>
      </c>
      <c r="Y488">
        <f>IFERROR(ROUND(X488*0.13,2),"")</f>
        <v/>
      </c>
      <c r="Z488">
        <f>IFERROR(X488+Y488,"")</f>
        <v/>
      </c>
      <c r="AA488" t="inlineStr">
        <is>
          <t>Efectivo</t>
        </is>
      </c>
      <c r="AB488" t="inlineStr"/>
    </row>
    <row r="489">
      <c r="A489" t="inlineStr">
        <is>
          <t>F-10849</t>
        </is>
      </c>
      <c r="B489" t="inlineStr">
        <is>
          <t>19/07/2026</t>
        </is>
      </c>
      <c r="C489" t="inlineStr">
        <is>
          <t>Factura</t>
        </is>
      </c>
      <c r="D489" t="inlineStr">
        <is>
          <t>LL01</t>
        </is>
      </c>
      <c r="E489" t="inlineStr">
        <is>
          <t>SANTA TECLA</t>
        </is>
      </c>
      <c r="F489" t="inlineStr">
        <is>
          <t>Calle Daniel Hernández #18</t>
        </is>
      </c>
      <c r="G489" t="inlineStr">
        <is>
          <t>Santa Tecla</t>
        </is>
      </c>
      <c r="H489" t="inlineStr">
        <is>
          <t>La Libertad</t>
        </is>
      </c>
      <c r="I489" t="inlineStr">
        <is>
          <t>Óscar Rivas</t>
        </is>
      </c>
      <c r="J489" t="inlineStr">
        <is>
          <t>2228-7731</t>
        </is>
      </c>
      <c r="K489" t="inlineStr">
        <is>
          <t>Luis Escobar</t>
        </is>
      </c>
      <c r="L489" t="inlineStr">
        <is>
          <t>Ana Pérez Rivera</t>
        </is>
      </c>
      <c r="M489" t="inlineStr"/>
      <c r="N489" t="inlineStr">
        <is>
          <t>7205-8035</t>
        </is>
      </c>
      <c r="O489" t="inlineStr">
        <is>
          <t>Consumidor final</t>
        </is>
      </c>
      <c r="P489" t="inlineStr">
        <is>
          <t>BEB-003</t>
        </is>
      </c>
      <c r="Q489" t="inlineStr">
        <is>
          <t>Horchata en polvo 400g</t>
        </is>
      </c>
      <c r="R489" t="inlineStr">
        <is>
          <t>Abarrotes</t>
        </is>
      </c>
      <c r="S489" t="inlineStr">
        <is>
          <t>Bebidas Izalco</t>
        </is>
      </c>
      <c r="T489" t="inlineStr">
        <is>
          <t>2450-7700</t>
        </is>
      </c>
      <c r="U489" t="n">
        <v>2.6</v>
      </c>
      <c r="V489" t="n">
        <v>1</v>
      </c>
      <c r="W489" t="n">
        <v>0</v>
      </c>
      <c r="X489">
        <f>IFERROR(U489*V489*(1-W489/100),"")</f>
        <v/>
      </c>
      <c r="Y489">
        <f>IFERROR(ROUND(X489*0.13,2),"")</f>
        <v/>
      </c>
      <c r="Z489">
        <f>IFERROR(X489+Y489,"")</f>
        <v/>
      </c>
      <c r="AA489" t="inlineStr">
        <is>
          <t>Efectivo</t>
        </is>
      </c>
      <c r="AB489" t="inlineStr">
        <is>
          <t>entregar en bodega</t>
        </is>
      </c>
    </row>
    <row r="490">
      <c r="A490" t="inlineStr">
        <is>
          <t>F-10852</t>
        </is>
      </c>
      <c r="B490" s="3" t="n">
        <v>46282</v>
      </c>
      <c r="C490" t="inlineStr">
        <is>
          <t>factura</t>
        </is>
      </c>
      <c r="D490" t="inlineStr">
        <is>
          <t>LL02</t>
        </is>
      </c>
      <c r="E490" t="inlineStr">
        <is>
          <t>La Libertad Puerto</t>
        </is>
      </c>
      <c r="F490" t="inlineStr">
        <is>
          <t>Calle El Malecón, Local 4</t>
        </is>
      </c>
      <c r="G490" t="inlineStr">
        <is>
          <t>La Libertad</t>
        </is>
      </c>
      <c r="H490" t="inlineStr">
        <is>
          <t>La Libertad</t>
        </is>
      </c>
      <c r="I490" t="inlineStr">
        <is>
          <t>Wendy Aguilar</t>
        </is>
      </c>
      <c r="J490" t="inlineStr">
        <is>
          <t>2335-6140</t>
        </is>
      </c>
      <c r="K490" t="inlineStr">
        <is>
          <t>Gabriela Saravia</t>
        </is>
      </c>
      <c r="L490" t="inlineStr">
        <is>
          <t>Walter Quintanilla Rivera</t>
        </is>
      </c>
      <c r="M490" t="inlineStr">
        <is>
          <t>08724671-3</t>
        </is>
      </c>
      <c r="N490" t="inlineStr">
        <is>
          <t>6114-2738</t>
        </is>
      </c>
      <c r="O490" t="inlineStr">
        <is>
          <t>Consumidor final</t>
        </is>
      </c>
      <c r="P490" t="inlineStr">
        <is>
          <t>AZU-001</t>
        </is>
      </c>
      <c r="Q490" t="inlineStr">
        <is>
          <t>Azúcar blanca 2.5kg</t>
        </is>
      </c>
      <c r="R490" t="inlineStr">
        <is>
          <t>Abarrotes</t>
        </is>
      </c>
      <c r="S490" t="inlineStr">
        <is>
          <t>Granos del Pacífico</t>
        </is>
      </c>
      <c r="T490" t="inlineStr">
        <is>
          <t>2234-8890</t>
        </is>
      </c>
      <c r="U490" t="n">
        <v>3.1</v>
      </c>
      <c r="V490" t="n">
        <v>1</v>
      </c>
      <c r="W490" t="n">
        <v>0</v>
      </c>
      <c r="X490">
        <f>IFERROR(U490*V490*(1-W490/100),"")</f>
        <v/>
      </c>
      <c r="Y490">
        <f>IFERROR(ROUND(X490*0.13,2),"")</f>
        <v/>
      </c>
      <c r="Z490">
        <f>IFERROR(X490+Y490,"")</f>
        <v/>
      </c>
      <c r="AA490" t="inlineStr">
        <is>
          <t>Efectivo</t>
        </is>
      </c>
      <c r="AB490" t="inlineStr"/>
    </row>
    <row r="491">
      <c r="A491" t="inlineStr">
        <is>
          <t>F-10852</t>
        </is>
      </c>
      <c r="B491" s="3" t="n">
        <v>46282</v>
      </c>
      <c r="C491" t="inlineStr">
        <is>
          <t>factura</t>
        </is>
      </c>
      <c r="D491" t="inlineStr">
        <is>
          <t>LL02</t>
        </is>
      </c>
      <c r="E491" t="inlineStr">
        <is>
          <t>Puerto de La Libertad</t>
        </is>
      </c>
      <c r="F491" t="inlineStr">
        <is>
          <t>Calle El Malecón, Local 4</t>
        </is>
      </c>
      <c r="G491" t="inlineStr">
        <is>
          <t>La Libertad</t>
        </is>
      </c>
      <c r="H491" t="inlineStr">
        <is>
          <t>La Libertad</t>
        </is>
      </c>
      <c r="I491" t="inlineStr">
        <is>
          <t>Wendy Aguilar</t>
        </is>
      </c>
      <c r="J491" t="inlineStr">
        <is>
          <t>2335-6140</t>
        </is>
      </c>
      <c r="K491" t="inlineStr">
        <is>
          <t>Gabriela Saravia</t>
        </is>
      </c>
      <c r="L491" t="inlineStr">
        <is>
          <t>Walter Quintanilla Rivera</t>
        </is>
      </c>
      <c r="M491" t="inlineStr">
        <is>
          <t>08724671-3</t>
        </is>
      </c>
      <c r="N491" t="inlineStr">
        <is>
          <t>6114-2738</t>
        </is>
      </c>
      <c r="O491" t="inlineStr">
        <is>
          <t>Consumidor final</t>
        </is>
      </c>
      <c r="P491" t="inlineStr">
        <is>
          <t>HIG-001</t>
        </is>
      </c>
      <c r="Q491" t="inlineStr">
        <is>
          <t>Detergente 1kg</t>
        </is>
      </c>
      <c r="R491" t="inlineStr">
        <is>
          <t>Limpieza</t>
        </is>
      </c>
      <c r="S491" t="inlineStr">
        <is>
          <t>Higiene Total C.A.</t>
        </is>
      </c>
      <c r="T491" t="inlineStr">
        <is>
          <t>2207-5566</t>
        </is>
      </c>
      <c r="U491" t="inlineStr">
        <is>
          <t>$3.45</t>
        </is>
      </c>
      <c r="V491" t="n">
        <v>3</v>
      </c>
      <c r="W491" t="n">
        <v>0</v>
      </c>
      <c r="X491">
        <f>IFERROR(U491*V491*(1-W491/100),"")</f>
        <v/>
      </c>
      <c r="Y491">
        <f>IFERROR(ROUND(X491*0.13,2),"")</f>
        <v/>
      </c>
      <c r="Z491">
        <f>IFERROR(X491+Y491,"")</f>
        <v/>
      </c>
      <c r="AA491" t="inlineStr">
        <is>
          <t>Efectivo</t>
        </is>
      </c>
      <c r="AB491" t="inlineStr">
        <is>
          <t>entregar en bodega</t>
        </is>
      </c>
    </row>
    <row r="492">
      <c r="A492" t="inlineStr">
        <is>
          <t>F-10852</t>
        </is>
      </c>
      <c r="B492" s="3" t="n">
        <v>46282</v>
      </c>
      <c r="C492" t="inlineStr">
        <is>
          <t>factura</t>
        </is>
      </c>
      <c r="D492" t="inlineStr">
        <is>
          <t>LL02</t>
        </is>
      </c>
      <c r="E492" t="inlineStr">
        <is>
          <t>Puerto de La Libertad</t>
        </is>
      </c>
      <c r="F492" t="inlineStr">
        <is>
          <t>Calle El Malecón, Local 4</t>
        </is>
      </c>
      <c r="G492" t="inlineStr">
        <is>
          <t>La Libertad</t>
        </is>
      </c>
      <c r="H492" t="inlineStr">
        <is>
          <t>La Libertad</t>
        </is>
      </c>
      <c r="I492" t="inlineStr">
        <is>
          <t>Wendy Aguilar</t>
        </is>
      </c>
      <c r="J492" t="inlineStr">
        <is>
          <t>2335-6140</t>
        </is>
      </c>
      <c r="K492" t="inlineStr">
        <is>
          <t>Gabriela Saravia</t>
        </is>
      </c>
      <c r="L492" t="inlineStr">
        <is>
          <t>Walter Quintanilla Rivera</t>
        </is>
      </c>
      <c r="M492" t="inlineStr">
        <is>
          <t>08724671-3</t>
        </is>
      </c>
      <c r="N492" t="inlineStr">
        <is>
          <t>6114-2738</t>
        </is>
      </c>
      <c r="O492" t="inlineStr">
        <is>
          <t>Consumidor final</t>
        </is>
      </c>
      <c r="P492" t="inlineStr">
        <is>
          <t>BEB-003</t>
        </is>
      </c>
      <c r="Q492" t="inlineStr">
        <is>
          <t>Horchata en polvo 400g</t>
        </is>
      </c>
      <c r="R492" t="inlineStr">
        <is>
          <t>Bebidas</t>
        </is>
      </c>
      <c r="S492" t="inlineStr">
        <is>
          <t>Bebidas Izalco</t>
        </is>
      </c>
      <c r="T492" t="inlineStr">
        <is>
          <t>2450-7700</t>
        </is>
      </c>
      <c r="U492" t="n">
        <v>2.6</v>
      </c>
      <c r="V492" t="n">
        <v>6</v>
      </c>
      <c r="W492" t="n">
        <v>0</v>
      </c>
      <c r="X492">
        <f>IFERROR(U492*V492*(1-W492/100),"")</f>
        <v/>
      </c>
      <c r="Y492">
        <f>IFERROR(ROUND(X492*0.13,2),"")</f>
        <v/>
      </c>
      <c r="Z492">
        <f>IFERROR(X492+Y492,"")</f>
        <v/>
      </c>
      <c r="AA492" t="inlineStr">
        <is>
          <t>Efectivo</t>
        </is>
      </c>
      <c r="AB492" t="inlineStr">
        <is>
          <t>Cliente frecuente</t>
        </is>
      </c>
    </row>
    <row r="493">
      <c r="A493" t="inlineStr">
        <is>
          <t>F-10855</t>
        </is>
      </c>
      <c r="B493" s="3" t="n">
        <v>46278</v>
      </c>
      <c r="C493" t="inlineStr">
        <is>
          <t>Factura</t>
        </is>
      </c>
      <c r="D493" t="inlineStr">
        <is>
          <t>SS02</t>
        </is>
      </c>
      <c r="E493" t="inlineStr">
        <is>
          <t>Escalón</t>
        </is>
      </c>
      <c r="F493" t="inlineStr">
        <is>
          <t>Paseo General Escalón #3910</t>
        </is>
      </c>
      <c r="G493" t="inlineStr">
        <is>
          <t>San Salvador</t>
        </is>
      </c>
      <c r="H493" t="inlineStr">
        <is>
          <t>San Salvador</t>
        </is>
      </c>
      <c r="I493" t="inlineStr">
        <is>
          <t>Claudia Menjívar</t>
        </is>
      </c>
      <c r="J493" t="inlineStr">
        <is>
          <t>2264-1190</t>
        </is>
      </c>
      <c r="K493" t="inlineStr">
        <is>
          <t>Kevin Benítez</t>
        </is>
      </c>
      <c r="L493" t="inlineStr">
        <is>
          <t>Carlos Romero García</t>
        </is>
      </c>
      <c r="M493" t="inlineStr">
        <is>
          <t>07543956-0</t>
        </is>
      </c>
      <c r="N493" t="inlineStr">
        <is>
          <t>7602-6148</t>
        </is>
      </c>
      <c r="O493" t="inlineStr">
        <is>
          <t>Consumidor final</t>
        </is>
      </c>
      <c r="P493" t="inlineStr">
        <is>
          <t>CAF-002</t>
        </is>
      </c>
      <c r="Q493" t="inlineStr">
        <is>
          <t>Café en grano 1lb</t>
        </is>
      </c>
      <c r="R493" t="inlineStr">
        <is>
          <t>Abarrotes</t>
        </is>
      </c>
      <c r="S493" t="inlineStr">
        <is>
          <t>Café Volcán S.A.</t>
        </is>
      </c>
      <c r="T493" t="inlineStr">
        <is>
          <t>2510-3344</t>
        </is>
      </c>
      <c r="U493" t="inlineStr">
        <is>
          <t>$6.75</t>
        </is>
      </c>
      <c r="V493" t="n">
        <v>24</v>
      </c>
      <c r="W493" t="n">
        <v>0</v>
      </c>
      <c r="X493">
        <f>IFERROR(U493*V493*(1-W493/100),"")</f>
        <v/>
      </c>
      <c r="Y493">
        <f>IFERROR(ROUND(X493*0.13,2),"")</f>
        <v/>
      </c>
      <c r="Z493">
        <f>IFERROR(X493+Y493,"")</f>
        <v/>
      </c>
      <c r="AA493" t="inlineStr">
        <is>
          <t>Efectivo</t>
        </is>
      </c>
      <c r="AB493" t="inlineStr"/>
    </row>
    <row r="494">
      <c r="A494" t="inlineStr">
        <is>
          <t>F-10855</t>
        </is>
      </c>
      <c r="B494" s="3" t="n">
        <v>46278</v>
      </c>
      <c r="C494" t="inlineStr">
        <is>
          <t>Factura</t>
        </is>
      </c>
      <c r="D494" t="inlineStr">
        <is>
          <t>SS02</t>
        </is>
      </c>
      <c r="E494" t="inlineStr">
        <is>
          <t>Col. Escalón</t>
        </is>
      </c>
      <c r="F494" t="inlineStr">
        <is>
          <t>Paseo General Escalón #3910</t>
        </is>
      </c>
      <c r="G494" t="inlineStr">
        <is>
          <t>San Salvador</t>
        </is>
      </c>
      <c r="H494" t="inlineStr">
        <is>
          <t>San Salvador</t>
        </is>
      </c>
      <c r="I494" t="inlineStr">
        <is>
          <t>Claudia Menjívar</t>
        </is>
      </c>
      <c r="J494" t="inlineStr">
        <is>
          <t>2264-1190</t>
        </is>
      </c>
      <c r="K494" t="inlineStr">
        <is>
          <t>Kevin Benítez</t>
        </is>
      </c>
      <c r="L494" t="inlineStr">
        <is>
          <t>Carlos Romero García</t>
        </is>
      </c>
      <c r="M494" t="inlineStr">
        <is>
          <t>07543956-0</t>
        </is>
      </c>
      <c r="N494" t="inlineStr">
        <is>
          <t>7602-6148</t>
        </is>
      </c>
      <c r="O494" t="inlineStr">
        <is>
          <t>Consumidor final</t>
        </is>
      </c>
      <c r="P494" t="inlineStr">
        <is>
          <t>CAF-001</t>
        </is>
      </c>
      <c r="Q494" t="inlineStr">
        <is>
          <t>Café molido 400g</t>
        </is>
      </c>
      <c r="R494" t="inlineStr">
        <is>
          <t>abarrotes</t>
        </is>
      </c>
      <c r="S494" t="inlineStr">
        <is>
          <t>Café Volcán S.A.</t>
        </is>
      </c>
      <c r="T494" t="inlineStr">
        <is>
          <t>2510-3344</t>
        </is>
      </c>
      <c r="U494" t="inlineStr">
        <is>
          <t>$4.25</t>
        </is>
      </c>
      <c r="V494" t="n">
        <v>12</v>
      </c>
      <c r="W494" t="n">
        <v>0</v>
      </c>
      <c r="X494">
        <f>IFERROR(U494*V494*(1-W494/100),"")</f>
        <v/>
      </c>
      <c r="Y494">
        <f>IFERROR(ROUND(X494*0.13,2),"")</f>
        <v/>
      </c>
      <c r="Z494">
        <f>IFERROR(X494+Y494,"")</f>
        <v/>
      </c>
      <c r="AA494" t="inlineStr">
        <is>
          <t>Efectivo</t>
        </is>
      </c>
      <c r="AB494" t="inlineStr">
        <is>
          <t>Cliente frecuente</t>
        </is>
      </c>
    </row>
    <row r="495">
      <c r="A495" t="inlineStr">
        <is>
          <t>F-10858</t>
        </is>
      </c>
      <c r="B495" t="inlineStr">
        <is>
          <t>05/07/2026</t>
        </is>
      </c>
      <c r="C495" t="inlineStr">
        <is>
          <t>factura</t>
        </is>
      </c>
      <c r="D495" t="inlineStr">
        <is>
          <t>LL01</t>
        </is>
      </c>
      <c r="E495" t="inlineStr">
        <is>
          <t>Sta. Tecla</t>
        </is>
      </c>
      <c r="F495" t="inlineStr">
        <is>
          <t>Calle Daniel Hernández #18</t>
        </is>
      </c>
      <c r="G495" t="inlineStr">
        <is>
          <t>Santa Tecla</t>
        </is>
      </c>
      <c r="H495" t="inlineStr">
        <is>
          <t>La Libertad</t>
        </is>
      </c>
      <c r="I495" t="inlineStr">
        <is>
          <t>Óscar Rivas</t>
        </is>
      </c>
      <c r="J495" t="inlineStr">
        <is>
          <t>2228-7731</t>
        </is>
      </c>
      <c r="K495" t="inlineStr">
        <is>
          <t>Luis Escobar</t>
        </is>
      </c>
      <c r="L495" t="inlineStr">
        <is>
          <t>Sandra Sorto López</t>
        </is>
      </c>
      <c r="M495" t="inlineStr">
        <is>
          <t>00961529-1</t>
        </is>
      </c>
      <c r="N495" t="inlineStr">
        <is>
          <t>2123-6077</t>
        </is>
      </c>
      <c r="O495" t="inlineStr">
        <is>
          <t>Consumidor final</t>
        </is>
      </c>
      <c r="P495" t="inlineStr">
        <is>
          <t>HIG-003</t>
        </is>
      </c>
      <c r="Q495" t="inlineStr">
        <is>
          <t>Jabón de lavar barra</t>
        </is>
      </c>
      <c r="R495" t="inlineStr">
        <is>
          <t>Limpieza</t>
        </is>
      </c>
      <c r="S495" t="inlineStr">
        <is>
          <t>Higiene Total C.A.</t>
        </is>
      </c>
      <c r="T495" t="inlineStr">
        <is>
          <t>2207-5566</t>
        </is>
      </c>
      <c r="U495" t="n">
        <v>0.75</v>
      </c>
      <c r="V495" t="n">
        <v>4</v>
      </c>
      <c r="W495" t="n">
        <v>0</v>
      </c>
      <c r="X495">
        <f>IFERROR(U495*V495*(1-W495/100),"")</f>
        <v/>
      </c>
      <c r="Y495">
        <f>IFERROR(ROUND(X495*0.13,2),"")</f>
        <v/>
      </c>
      <c r="Z495">
        <f>IFERROR(X495+Y495,"")</f>
        <v/>
      </c>
      <c r="AA495" t="inlineStr">
        <is>
          <t>efectivo</t>
        </is>
      </c>
      <c r="AB495" t="inlineStr"/>
    </row>
    <row r="496">
      <c r="A496" t="inlineStr">
        <is>
          <t>F-10858</t>
        </is>
      </c>
      <c r="B496" s="3" t="n">
        <v>46208</v>
      </c>
      <c r="C496" t="inlineStr">
        <is>
          <t>factura</t>
        </is>
      </c>
      <c r="D496" t="inlineStr">
        <is>
          <t>LL01</t>
        </is>
      </c>
      <c r="E496" t="inlineStr">
        <is>
          <t>SANTA TECLA</t>
        </is>
      </c>
      <c r="F496" t="inlineStr">
        <is>
          <t>Calle Daniel Hernández #18</t>
        </is>
      </c>
      <c r="G496" t="inlineStr">
        <is>
          <t>Santa Tecla</t>
        </is>
      </c>
      <c r="H496" t="inlineStr">
        <is>
          <t>La Libertad</t>
        </is>
      </c>
      <c r="I496" t="inlineStr">
        <is>
          <t>Óscar Rivas</t>
        </is>
      </c>
      <c r="J496" t="inlineStr">
        <is>
          <t>2228-7731</t>
        </is>
      </c>
      <c r="K496" t="inlineStr">
        <is>
          <t>Luis Escobar</t>
        </is>
      </c>
      <c r="L496" t="inlineStr">
        <is>
          <t>Sandra Sorto López</t>
        </is>
      </c>
      <c r="M496" t="inlineStr">
        <is>
          <t>00961529-1</t>
        </is>
      </c>
      <c r="N496" t="inlineStr">
        <is>
          <t>2123-6077</t>
        </is>
      </c>
      <c r="O496" t="inlineStr">
        <is>
          <t>Consumidor final</t>
        </is>
      </c>
      <c r="P496" t="inlineStr">
        <is>
          <t>HAR-001</t>
        </is>
      </c>
      <c r="Q496" t="inlineStr">
        <is>
          <t>Harina de maíz 2lb</t>
        </is>
      </c>
      <c r="R496" t="inlineStr">
        <is>
          <t>Abarrotes</t>
        </is>
      </c>
      <c r="S496" t="inlineStr">
        <is>
          <t>Granos del Pacífico</t>
        </is>
      </c>
      <c r="T496" t="inlineStr">
        <is>
          <t>2234-8890</t>
        </is>
      </c>
      <c r="U496" t="n">
        <v>1.35</v>
      </c>
      <c r="V496" t="n">
        <v>1</v>
      </c>
      <c r="W496" t="n">
        <v>0</v>
      </c>
      <c r="X496">
        <f>IFERROR(U496*V496*(1-W496/100),"")</f>
        <v/>
      </c>
      <c r="Y496">
        <f>IFERROR(ROUND(X496*0.13,2),"")</f>
        <v/>
      </c>
      <c r="Z496">
        <f>IFERROR(X496+Y496,"")</f>
        <v/>
      </c>
      <c r="AA496" t="inlineStr">
        <is>
          <t>efectivo</t>
        </is>
      </c>
      <c r="AB496" t="inlineStr">
        <is>
          <t>precio especial autorizado por gerente</t>
        </is>
      </c>
    </row>
    <row r="497">
      <c r="A497" t="inlineStr">
        <is>
          <t>F-10858</t>
        </is>
      </c>
      <c r="B497" t="inlineStr">
        <is>
          <t>2026-07-05</t>
        </is>
      </c>
      <c r="C497" t="inlineStr">
        <is>
          <t>factura</t>
        </is>
      </c>
      <c r="D497" t="inlineStr">
        <is>
          <t>LL01</t>
        </is>
      </c>
      <c r="E497" t="inlineStr">
        <is>
          <t>SANTA TECLA</t>
        </is>
      </c>
      <c r="F497" t="inlineStr">
        <is>
          <t>Calle Daniel Hernández #18</t>
        </is>
      </c>
      <c r="G497" t="inlineStr">
        <is>
          <t>Santa Tecla</t>
        </is>
      </c>
      <c r="H497" t="inlineStr">
        <is>
          <t>La Libertad</t>
        </is>
      </c>
      <c r="I497" t="inlineStr">
        <is>
          <t>Óscar Rivas</t>
        </is>
      </c>
      <c r="J497" t="inlineStr">
        <is>
          <t>2228-7731</t>
        </is>
      </c>
      <c r="K497" t="inlineStr">
        <is>
          <t>Luis Escobar</t>
        </is>
      </c>
      <c r="L497" t="inlineStr">
        <is>
          <t>Sandra Sorto López</t>
        </is>
      </c>
      <c r="M497" t="inlineStr"/>
      <c r="N497" t="inlineStr">
        <is>
          <t>2123-6077</t>
        </is>
      </c>
      <c r="O497" t="inlineStr">
        <is>
          <t>Consumidor final</t>
        </is>
      </c>
      <c r="P497" t="inlineStr">
        <is>
          <t>PAN-002</t>
        </is>
      </c>
      <c r="Q497" t="inlineStr">
        <is>
          <t>Semita alta</t>
        </is>
      </c>
      <c r="R497" t="inlineStr">
        <is>
          <t>Panadería</t>
        </is>
      </c>
      <c r="S497" t="inlineStr">
        <is>
          <t>Panificadora Ilopango</t>
        </is>
      </c>
      <c r="T497" t="inlineStr">
        <is>
          <t>2295-0081</t>
        </is>
      </c>
      <c r="U497" t="n">
        <v>1.75</v>
      </c>
      <c r="V497" t="n">
        <v>6</v>
      </c>
      <c r="W497" t="n">
        <v>0</v>
      </c>
      <c r="X497">
        <f>IFERROR(U497*V497*(1-W497/100),"")</f>
        <v/>
      </c>
      <c r="Y497">
        <f>IFERROR(ROUND(X497*0.13,2),"")</f>
        <v/>
      </c>
      <c r="Z497">
        <f>IFERROR(X497+Y497,"")</f>
        <v/>
      </c>
      <c r="AA497" t="inlineStr">
        <is>
          <t>efectivo</t>
        </is>
      </c>
      <c r="AB497" t="inlineStr"/>
    </row>
    <row r="498">
      <c r="A498" t="inlineStr">
        <is>
          <t>F-10859</t>
        </is>
      </c>
      <c r="B498" t="inlineStr">
        <is>
          <t>2026-08-04</t>
        </is>
      </c>
      <c r="C498" t="inlineStr">
        <is>
          <t>CCF</t>
        </is>
      </c>
      <c r="D498" t="inlineStr">
        <is>
          <t>SS03</t>
        </is>
      </c>
      <c r="E498" t="inlineStr">
        <is>
          <t>Soyapango</t>
        </is>
      </c>
      <c r="F498" t="inlineStr">
        <is>
          <t>Blvd. del Ejército km 4</t>
        </is>
      </c>
      <c r="G498" t="inlineStr">
        <is>
          <t>Soyapango</t>
        </is>
      </c>
      <c r="H498" t="inlineStr">
        <is>
          <t>San Salvador</t>
        </is>
      </c>
      <c r="I498" t="inlineStr">
        <is>
          <t>Karla Henríquez</t>
        </is>
      </c>
      <c r="J498" t="inlineStr">
        <is>
          <t>2277-3402</t>
        </is>
      </c>
      <c r="K498" t="inlineStr">
        <is>
          <t>Carlos Molina</t>
        </is>
      </c>
      <c r="L498" t="inlineStr">
        <is>
          <t>Restaurante El Guanaco</t>
        </is>
      </c>
      <c r="M498" t="inlineStr">
        <is>
          <t>168675-3</t>
        </is>
      </c>
      <c r="N498" t="inlineStr">
        <is>
          <t>6165-7029</t>
        </is>
      </c>
      <c r="O498" t="inlineStr">
        <is>
          <t>Contribuyente</t>
        </is>
      </c>
      <c r="P498" t="inlineStr">
        <is>
          <t>AZU-001</t>
        </is>
      </c>
      <c r="Q498" t="inlineStr">
        <is>
          <t>Azúcar blanca 2.5kg</t>
        </is>
      </c>
      <c r="R498" t="inlineStr">
        <is>
          <t>Abarrotes</t>
        </is>
      </c>
      <c r="S498" t="inlineStr">
        <is>
          <t>Granos del Pacífico</t>
        </is>
      </c>
      <c r="T498" t="inlineStr">
        <is>
          <t>2234-8890</t>
        </is>
      </c>
      <c r="U498" t="n">
        <v>3.1</v>
      </c>
      <c r="V498" t="n">
        <v>3</v>
      </c>
      <c r="W498" t="n">
        <v>0</v>
      </c>
      <c r="X498">
        <f>IFERROR(U498*V498*(1-W498/100),"")</f>
        <v/>
      </c>
      <c r="Y498">
        <f>IFERROR(ROUND(X498*0.13,2),"")</f>
        <v/>
      </c>
      <c r="Z498">
        <f>IFERROR(X498+Y498,"")</f>
        <v/>
      </c>
      <c r="AA498" t="inlineStr">
        <is>
          <t>Efectivo</t>
        </is>
      </c>
      <c r="AB498" t="inlineStr"/>
    </row>
    <row r="499">
      <c r="A499" t="inlineStr">
        <is>
          <t>F-10859</t>
        </is>
      </c>
      <c r="B499" s="3" t="n">
        <v>46238</v>
      </c>
      <c r="C499" t="inlineStr">
        <is>
          <t>CCF</t>
        </is>
      </c>
      <c r="D499" t="inlineStr">
        <is>
          <t>SS03</t>
        </is>
      </c>
      <c r="E499" t="inlineStr">
        <is>
          <t>Soyapango</t>
        </is>
      </c>
      <c r="F499" t="inlineStr">
        <is>
          <t>Blvd. del Ejército km 4</t>
        </is>
      </c>
      <c r="G499" t="inlineStr">
        <is>
          <t>Soyapango</t>
        </is>
      </c>
      <c r="H499" t="inlineStr">
        <is>
          <t>San Salvador</t>
        </is>
      </c>
      <c r="I499" t="inlineStr">
        <is>
          <t>Karla Henríquez</t>
        </is>
      </c>
      <c r="J499" t="inlineStr">
        <is>
          <t>2277-3402</t>
        </is>
      </c>
      <c r="K499" t="inlineStr">
        <is>
          <t>Carlos Molina</t>
        </is>
      </c>
      <c r="L499" t="inlineStr">
        <is>
          <t>Restaurante El Guanaco</t>
        </is>
      </c>
      <c r="M499" t="inlineStr">
        <is>
          <t>168675-3</t>
        </is>
      </c>
      <c r="N499" t="inlineStr">
        <is>
          <t>6165-7029</t>
        </is>
      </c>
      <c r="O499" t="inlineStr">
        <is>
          <t>Contribuyente</t>
        </is>
      </c>
      <c r="P499" t="inlineStr">
        <is>
          <t>HIG-001</t>
        </is>
      </c>
      <c r="Q499" t="inlineStr">
        <is>
          <t>Detergente 1kg</t>
        </is>
      </c>
      <c r="R499" t="inlineStr">
        <is>
          <t>Limpieza</t>
        </is>
      </c>
      <c r="S499" t="inlineStr">
        <is>
          <t>Higiene Total C.A.</t>
        </is>
      </c>
      <c r="T499" t="inlineStr">
        <is>
          <t>2207-5566</t>
        </is>
      </c>
      <c r="U499" t="n">
        <v>3.45</v>
      </c>
      <c r="V499" t="n">
        <v>24</v>
      </c>
      <c r="W499" t="n">
        <v>0</v>
      </c>
      <c r="X499">
        <f>IFERROR(U499*V499*(1-W499/100),"")</f>
        <v/>
      </c>
      <c r="Y499">
        <f>IFERROR(ROUND(X499*0.13,2),"")</f>
        <v/>
      </c>
      <c r="Z499">
        <f>IFERROR(X499+Y499,"")</f>
        <v/>
      </c>
      <c r="AA499" t="inlineStr">
        <is>
          <t>Efectivo</t>
        </is>
      </c>
      <c r="AB499" t="inlineStr"/>
    </row>
    <row r="500">
      <c r="A500" t="inlineStr">
        <is>
          <t>F-10862</t>
        </is>
      </c>
      <c r="B500" s="3" t="n">
        <v>46247</v>
      </c>
      <c r="C500" t="inlineStr">
        <is>
          <t>FCF</t>
        </is>
      </c>
      <c r="D500" t="inlineStr">
        <is>
          <t>SS02</t>
        </is>
      </c>
      <c r="E500" t="inlineStr">
        <is>
          <t>ESCALON</t>
        </is>
      </c>
      <c r="F500" t="inlineStr">
        <is>
          <t>Paseo General Escalón #3910</t>
        </is>
      </c>
      <c r="G500" t="inlineStr">
        <is>
          <t>San Salvador</t>
        </is>
      </c>
      <c r="H500" t="inlineStr">
        <is>
          <t>San Salvador</t>
        </is>
      </c>
      <c r="I500" t="inlineStr">
        <is>
          <t>Claudia Menjívar</t>
        </is>
      </c>
      <c r="J500" t="inlineStr">
        <is>
          <t>2264-1190</t>
        </is>
      </c>
      <c r="K500" t="inlineStr">
        <is>
          <t>Fátima Rosales</t>
        </is>
      </c>
      <c r="L500" t="inlineStr">
        <is>
          <t>María Castillo Martínez</t>
        </is>
      </c>
      <c r="M500" t="inlineStr">
        <is>
          <t>09352468-8</t>
        </is>
      </c>
      <c r="N500" t="inlineStr">
        <is>
          <t>6394-8494</t>
        </is>
      </c>
      <c r="O500" t="inlineStr">
        <is>
          <t>Consumidor final</t>
        </is>
      </c>
      <c r="P500" t="inlineStr">
        <is>
          <t>LAC-001</t>
        </is>
      </c>
      <c r="Q500" t="inlineStr">
        <is>
          <t>Quesillo 1lb</t>
        </is>
      </c>
      <c r="R500" t="inlineStr">
        <is>
          <t>LACTEOS</t>
        </is>
      </c>
      <c r="S500" t="inlineStr">
        <is>
          <t>Lácteos Chalate</t>
        </is>
      </c>
      <c r="T500" t="inlineStr">
        <is>
          <t>2335-1020</t>
        </is>
      </c>
      <c r="U500" t="n">
        <v>3.8</v>
      </c>
      <c r="V500" t="n">
        <v>3</v>
      </c>
      <c r="W500" t="n">
        <v>0</v>
      </c>
      <c r="X500">
        <f>IFERROR(U500*V500*(1-W500/100),"")</f>
        <v/>
      </c>
      <c r="Y500">
        <f>IFERROR(ROUND(X500*0.13,2),"")</f>
        <v/>
      </c>
      <c r="Z500">
        <f>IFERROR(X500+Y500,"")</f>
        <v/>
      </c>
      <c r="AA500" t="inlineStr">
        <is>
          <t>Efectivo</t>
        </is>
      </c>
      <c r="AB500" t="inlineStr"/>
    </row>
    <row r="501">
      <c r="A501" t="inlineStr">
        <is>
          <t>F-10862</t>
        </is>
      </c>
      <c r="B501" s="3" t="n">
        <v>46247</v>
      </c>
      <c r="C501" t="inlineStr">
        <is>
          <t>FCF</t>
        </is>
      </c>
      <c r="D501" t="inlineStr">
        <is>
          <t>SS02</t>
        </is>
      </c>
      <c r="E501" t="inlineStr">
        <is>
          <t>Escalon</t>
        </is>
      </c>
      <c r="F501" t="inlineStr">
        <is>
          <t>Paseo General Escalón #3910</t>
        </is>
      </c>
      <c r="G501" t="inlineStr">
        <is>
          <t>San Salvador</t>
        </is>
      </c>
      <c r="H501" t="inlineStr">
        <is>
          <t>San Salvador</t>
        </is>
      </c>
      <c r="I501" t="inlineStr">
        <is>
          <t>Claudia Menjívar</t>
        </is>
      </c>
      <c r="J501" t="inlineStr">
        <is>
          <t>2264-1190</t>
        </is>
      </c>
      <c r="K501" t="inlineStr">
        <is>
          <t>Fátima Rosales</t>
        </is>
      </c>
      <c r="L501" t="inlineStr">
        <is>
          <t>María Castillo Martínez</t>
        </is>
      </c>
      <c r="M501" t="inlineStr">
        <is>
          <t>09352468-8</t>
        </is>
      </c>
      <c r="N501" t="inlineStr">
        <is>
          <t>6394-8494</t>
        </is>
      </c>
      <c r="O501" t="inlineStr">
        <is>
          <t>Consumidor final</t>
        </is>
      </c>
      <c r="P501" t="inlineStr">
        <is>
          <t>CAF-001</t>
        </is>
      </c>
      <c r="Q501" t="inlineStr">
        <is>
          <t>Café molido 400g</t>
        </is>
      </c>
      <c r="R501" t="inlineStr">
        <is>
          <t>ABARROTES</t>
        </is>
      </c>
      <c r="S501" t="inlineStr">
        <is>
          <t>Café Volcán S.A.</t>
        </is>
      </c>
      <c r="T501" t="inlineStr">
        <is>
          <t>2510-3344</t>
        </is>
      </c>
      <c r="U501" t="n">
        <v>4.25</v>
      </c>
      <c r="V501" t="n">
        <v>2</v>
      </c>
      <c r="W501" t="n">
        <v>0</v>
      </c>
      <c r="X501">
        <f>IFERROR(U501*V501*(1-W501/100),"")</f>
        <v/>
      </c>
      <c r="Y501">
        <f>IFERROR(ROUND(X501*0.13,2),"")</f>
        <v/>
      </c>
      <c r="Z501">
        <f>IFERROR(X501+Y501,"")</f>
        <v/>
      </c>
      <c r="AA501" t="inlineStr">
        <is>
          <t>Efectivo</t>
        </is>
      </c>
      <c r="AB501" t="inlineStr"/>
    </row>
    <row r="502">
      <c r="A502" t="inlineStr">
        <is>
          <t>F-10862</t>
        </is>
      </c>
      <c r="B502" t="inlineStr">
        <is>
          <t>13-Aug-26</t>
        </is>
      </c>
      <c r="C502" t="inlineStr">
        <is>
          <t>FCF</t>
        </is>
      </c>
      <c r="D502" t="inlineStr">
        <is>
          <t>SS02</t>
        </is>
      </c>
      <c r="E502" t="inlineStr">
        <is>
          <t>Escalón</t>
        </is>
      </c>
      <c r="F502" t="inlineStr">
        <is>
          <t>Paseo General Escalón #3910</t>
        </is>
      </c>
      <c r="G502" t="inlineStr">
        <is>
          <t>San Salvador</t>
        </is>
      </c>
      <c r="H502" t="inlineStr">
        <is>
          <t>San Salvador</t>
        </is>
      </c>
      <c r="I502" t="inlineStr">
        <is>
          <t>Claudia Menjívar</t>
        </is>
      </c>
      <c r="J502" t="inlineStr">
        <is>
          <t>2264-1190</t>
        </is>
      </c>
      <c r="K502" t="inlineStr">
        <is>
          <t>Fátima Rosales</t>
        </is>
      </c>
      <c r="L502" t="inlineStr">
        <is>
          <t>María Castillo Martínez</t>
        </is>
      </c>
      <c r="M502" t="inlineStr">
        <is>
          <t>09352468-8</t>
        </is>
      </c>
      <c r="N502" t="inlineStr">
        <is>
          <t>6394-8494</t>
        </is>
      </c>
      <c r="O502" t="inlineStr">
        <is>
          <t>Consumidor final</t>
        </is>
      </c>
      <c r="P502" t="inlineStr">
        <is>
          <t>BEB-002</t>
        </is>
      </c>
      <c r="Q502" t="inlineStr">
        <is>
          <t>Agua purificada 1 galón</t>
        </is>
      </c>
      <c r="R502" t="inlineStr">
        <is>
          <t>Bebidas</t>
        </is>
      </c>
      <c r="S502" t="inlineStr">
        <is>
          <t>Bebidas Izalco</t>
        </is>
      </c>
      <c r="T502" t="inlineStr">
        <is>
          <t>2450-7700</t>
        </is>
      </c>
      <c r="U502" t="n">
        <v>1.1</v>
      </c>
      <c r="V502" t="n">
        <v>24</v>
      </c>
      <c r="W502" t="n">
        <v>0</v>
      </c>
      <c r="X502">
        <f>IFERROR(U502*V502*(1-W502/100),"")</f>
        <v/>
      </c>
      <c r="Y502">
        <f>IFERROR(ROUND(X502*0.13,2),"")</f>
        <v/>
      </c>
      <c r="Z502">
        <f>IFERROR(X502+Y502,"")</f>
        <v/>
      </c>
      <c r="AA502" t="inlineStr">
        <is>
          <t>Efectivo</t>
        </is>
      </c>
      <c r="AB502" t="inlineStr">
        <is>
          <t>Llamar al 7788-1234 antes de entregar</t>
        </is>
      </c>
    </row>
    <row r="503">
      <c r="A503" t="inlineStr">
        <is>
          <t>F-10862</t>
        </is>
      </c>
      <c r="B503" t="inlineStr">
        <is>
          <t>13-Aug-26</t>
        </is>
      </c>
      <c r="C503" t="inlineStr">
        <is>
          <t>FCF</t>
        </is>
      </c>
      <c r="D503" t="inlineStr">
        <is>
          <t>SS02</t>
        </is>
      </c>
      <c r="E503" t="inlineStr">
        <is>
          <t>Escalón</t>
        </is>
      </c>
      <c r="F503" t="inlineStr">
        <is>
          <t>Paseo General Escalón #3910</t>
        </is>
      </c>
      <c r="G503" t="inlineStr">
        <is>
          <t>San Salvador</t>
        </is>
      </c>
      <c r="H503" t="inlineStr">
        <is>
          <t>San Salvador</t>
        </is>
      </c>
      <c r="I503" t="inlineStr">
        <is>
          <t>Claudia Menjívar</t>
        </is>
      </c>
      <c r="J503" t="inlineStr">
        <is>
          <t>2264-1190</t>
        </is>
      </c>
      <c r="K503" t="inlineStr">
        <is>
          <t>Fátima Rosales</t>
        </is>
      </c>
      <c r="L503" t="inlineStr">
        <is>
          <t>María Castillo Martínez</t>
        </is>
      </c>
      <c r="M503" t="inlineStr">
        <is>
          <t>09352468-8</t>
        </is>
      </c>
      <c r="N503" t="inlineStr">
        <is>
          <t>6394-8494</t>
        </is>
      </c>
      <c r="O503" t="inlineStr">
        <is>
          <t>Consumidor final</t>
        </is>
      </c>
      <c r="P503" t="inlineStr">
        <is>
          <t>BEB-002</t>
        </is>
      </c>
      <c r="Q503" t="inlineStr">
        <is>
          <t>Agua purificada 1 galón</t>
        </is>
      </c>
      <c r="R503" t="inlineStr">
        <is>
          <t>Bebidas</t>
        </is>
      </c>
      <c r="S503" t="inlineStr">
        <is>
          <t>Bebidas Izalco</t>
        </is>
      </c>
      <c r="T503" t="inlineStr">
        <is>
          <t>2450-7700</t>
        </is>
      </c>
      <c r="U503" t="n">
        <v>1.1</v>
      </c>
      <c r="V503" t="n">
        <v>24</v>
      </c>
      <c r="W503" t="n">
        <v>0</v>
      </c>
      <c r="X503">
        <f>IFERROR(U503*V503*(1-W503/100),"")</f>
        <v/>
      </c>
      <c r="Y503">
        <f>IFERROR(ROUND(X503*0.13,2),"")</f>
        <v/>
      </c>
      <c r="Z503">
        <f>IFERROR(X503+Y503,"")</f>
        <v/>
      </c>
      <c r="AA503" t="inlineStr">
        <is>
          <t>Efectivo</t>
        </is>
      </c>
      <c r="AB503" t="inlineStr">
        <is>
          <t>Llamar al 7788-1234 antes de entregar</t>
        </is>
      </c>
    </row>
    <row r="504">
      <c r="A504" t="inlineStr">
        <is>
          <t>F-10865</t>
        </is>
      </c>
      <c r="B504" t="inlineStr">
        <is>
          <t>30-Sep-26</t>
        </is>
      </c>
      <c r="C504" t="inlineStr">
        <is>
          <t>Factura</t>
        </is>
      </c>
      <c r="D504" t="inlineStr">
        <is>
          <t>SM01</t>
        </is>
      </c>
      <c r="E504" t="inlineStr">
        <is>
          <t>San Miguel</t>
        </is>
      </c>
      <c r="F504" t="inlineStr">
        <is>
          <t>Av. Roosevelt Sur #7</t>
        </is>
      </c>
      <c r="G504" t="inlineStr">
        <is>
          <t>San Miguel</t>
        </is>
      </c>
      <c r="H504" t="inlineStr">
        <is>
          <t>San Miguel</t>
        </is>
      </c>
      <c r="I504" t="inlineStr">
        <is>
          <t>Iris Portillo</t>
        </is>
      </c>
      <c r="J504" t="inlineStr">
        <is>
          <t>2661-5076</t>
        </is>
      </c>
      <c r="K504" t="inlineStr">
        <is>
          <t>Jorge Villalta</t>
        </is>
      </c>
      <c r="L504" t="inlineStr">
        <is>
          <t>René Alvarado Lemus</t>
        </is>
      </c>
      <c r="M504" t="inlineStr">
        <is>
          <t>07676586-8</t>
        </is>
      </c>
      <c r="N504" t="inlineStr">
        <is>
          <t>6907-6114</t>
        </is>
      </c>
      <c r="O504" t="inlineStr">
        <is>
          <t>Consumidor final</t>
        </is>
      </c>
      <c r="P504" t="inlineStr">
        <is>
          <t>BEB-003</t>
        </is>
      </c>
      <c r="Q504" t="inlineStr">
        <is>
          <t>Horchata en polvo 400g</t>
        </is>
      </c>
      <c r="R504" t="inlineStr">
        <is>
          <t>Bebidas</t>
        </is>
      </c>
      <c r="S504" t="inlineStr">
        <is>
          <t>Bebidas Izalco</t>
        </is>
      </c>
      <c r="T504" t="inlineStr">
        <is>
          <t>2450-7700</t>
        </is>
      </c>
      <c r="U504" t="n">
        <v>2.6</v>
      </c>
      <c r="V504" t="n">
        <v>1</v>
      </c>
      <c r="W504" t="n">
        <v>0</v>
      </c>
      <c r="X504">
        <f>IFERROR(U504*V504*(1-W504/100),"")</f>
        <v/>
      </c>
      <c r="Y504">
        <f>IFERROR(ROUND(X504*0.13,2),"")</f>
        <v/>
      </c>
      <c r="Z504">
        <f>IFERROR(X504+Y504,"")</f>
        <v/>
      </c>
      <c r="AA504" t="inlineStr">
        <is>
          <t>Efectivo</t>
        </is>
      </c>
      <c r="AB504" t="inlineStr">
        <is>
          <t>entregar en bodega</t>
        </is>
      </c>
    </row>
    <row r="505">
      <c r="A505" t="inlineStr">
        <is>
          <t>F-10865</t>
        </is>
      </c>
      <c r="B505" t="inlineStr">
        <is>
          <t>2026-09-30</t>
        </is>
      </c>
      <c r="C505" t="inlineStr">
        <is>
          <t>Factura</t>
        </is>
      </c>
      <c r="D505" t="inlineStr">
        <is>
          <t>SM01</t>
        </is>
      </c>
      <c r="E505" t="inlineStr">
        <is>
          <t>S. Miguel</t>
        </is>
      </c>
      <c r="F505" t="inlineStr">
        <is>
          <t>Av. Roosevelt Sur #7</t>
        </is>
      </c>
      <c r="G505" t="inlineStr">
        <is>
          <t>San Miguel</t>
        </is>
      </c>
      <c r="H505" t="inlineStr">
        <is>
          <t>San Miguel</t>
        </is>
      </c>
      <c r="I505" t="inlineStr">
        <is>
          <t>Iris Portillo</t>
        </is>
      </c>
      <c r="J505" t="inlineStr">
        <is>
          <t>2661-5076</t>
        </is>
      </c>
      <c r="K505" t="inlineStr">
        <is>
          <t>Jorge Villalta</t>
        </is>
      </c>
      <c r="L505" t="inlineStr">
        <is>
          <t>René Alvarado Lemus</t>
        </is>
      </c>
      <c r="M505" t="inlineStr">
        <is>
          <t>07676586-8</t>
        </is>
      </c>
      <c r="N505" t="inlineStr">
        <is>
          <t>6907-6114</t>
        </is>
      </c>
      <c r="O505" t="inlineStr">
        <is>
          <t>Consumidor final</t>
        </is>
      </c>
      <c r="P505" t="inlineStr">
        <is>
          <t>BEB-002</t>
        </is>
      </c>
      <c r="Q505" t="inlineStr">
        <is>
          <t>Agua purificada 1 galón</t>
        </is>
      </c>
      <c r="R505" t="inlineStr">
        <is>
          <t>Bebidas</t>
        </is>
      </c>
      <c r="S505" t="inlineStr">
        <is>
          <t>Bebidas Izalco</t>
        </is>
      </c>
      <c r="T505" t="inlineStr">
        <is>
          <t>2450-7700</t>
        </is>
      </c>
      <c r="U505" t="n">
        <v>1.1</v>
      </c>
      <c r="V505" t="n">
        <v>2</v>
      </c>
      <c r="W505" t="n">
        <v>0</v>
      </c>
      <c r="X505">
        <f>IFERROR(U505*V505*(1-W505/100),"")</f>
        <v/>
      </c>
      <c r="Y505">
        <f>IFERROR(ROUND(X505*0.13,2),"")</f>
        <v/>
      </c>
      <c r="Z505">
        <f>IFERROR(X505+Y505,"")</f>
        <v/>
      </c>
      <c r="AA505" t="inlineStr">
        <is>
          <t>Efectivo</t>
        </is>
      </c>
      <c r="AB505" t="inlineStr"/>
    </row>
    <row r="506">
      <c r="A506" t="inlineStr">
        <is>
          <t>F-10865</t>
        </is>
      </c>
      <c r="B506" s="3" t="n">
        <v>46295</v>
      </c>
      <c r="C506" t="inlineStr">
        <is>
          <t>Factura</t>
        </is>
      </c>
      <c r="D506" t="inlineStr">
        <is>
          <t>SM01</t>
        </is>
      </c>
      <c r="E506" t="inlineStr">
        <is>
          <t>SAN MIGUEL</t>
        </is>
      </c>
      <c r="F506" t="inlineStr">
        <is>
          <t>Av. Roosevelt Sur #7</t>
        </is>
      </c>
      <c r="G506" t="inlineStr">
        <is>
          <t>San Miguel</t>
        </is>
      </c>
      <c r="H506" t="inlineStr">
        <is>
          <t>San Miguel</t>
        </is>
      </c>
      <c r="I506" t="inlineStr">
        <is>
          <t>Iris Portillo</t>
        </is>
      </c>
      <c r="J506" t="inlineStr">
        <is>
          <t>2661-5076</t>
        </is>
      </c>
      <c r="K506" t="inlineStr">
        <is>
          <t>Jorge Villalta</t>
        </is>
      </c>
      <c r="L506" t="inlineStr">
        <is>
          <t>René Alvarado Lemus</t>
        </is>
      </c>
      <c r="M506" t="inlineStr">
        <is>
          <t>07676586-8</t>
        </is>
      </c>
      <c r="N506" t="inlineStr">
        <is>
          <t>6907-6114</t>
        </is>
      </c>
      <c r="O506" t="inlineStr">
        <is>
          <t>Consumidor final</t>
        </is>
      </c>
      <c r="P506" t="inlineStr">
        <is>
          <t>LAC-002</t>
        </is>
      </c>
      <c r="Q506" t="inlineStr">
        <is>
          <t>Crema 500ml</t>
        </is>
      </c>
      <c r="R506" t="inlineStr">
        <is>
          <t>Lácteos</t>
        </is>
      </c>
      <c r="S506" t="inlineStr">
        <is>
          <t>Lácteos Chalate</t>
        </is>
      </c>
      <c r="T506" t="inlineStr">
        <is>
          <t>7120-4455</t>
        </is>
      </c>
      <c r="U506" t="inlineStr">
        <is>
          <t>$2.25</t>
        </is>
      </c>
      <c r="V506" t="n">
        <v>3</v>
      </c>
      <c r="W506" t="n">
        <v>0</v>
      </c>
      <c r="X506">
        <f>IFERROR(U506*V506*(1-W506/100),"")</f>
        <v/>
      </c>
      <c r="Y506">
        <f>IFERROR(ROUND(X506*0.13,2),"")</f>
        <v/>
      </c>
      <c r="Z506">
        <f>IFERROR(X506+Y506,"")</f>
        <v/>
      </c>
      <c r="AA506" t="inlineStr">
        <is>
          <t>Efectivo</t>
        </is>
      </c>
      <c r="AB506" t="inlineStr"/>
    </row>
    <row r="507">
      <c r="A507" t="inlineStr">
        <is>
          <t>F-10865</t>
        </is>
      </c>
      <c r="B507" t="inlineStr">
        <is>
          <t>30-Sep-26</t>
        </is>
      </c>
      <c r="C507" t="inlineStr">
        <is>
          <t>Factura</t>
        </is>
      </c>
      <c r="D507" t="inlineStr">
        <is>
          <t>SM01</t>
        </is>
      </c>
      <c r="E507" t="inlineStr">
        <is>
          <t>SAN MIGUEL</t>
        </is>
      </c>
      <c r="F507" t="inlineStr">
        <is>
          <t>Av. Roosevelt Sur #7</t>
        </is>
      </c>
      <c r="G507" t="inlineStr">
        <is>
          <t>San Miguel</t>
        </is>
      </c>
      <c r="H507" t="inlineStr">
        <is>
          <t>San Miguel</t>
        </is>
      </c>
      <c r="I507" t="inlineStr">
        <is>
          <t>Iris Portillo</t>
        </is>
      </c>
      <c r="J507" t="inlineStr">
        <is>
          <t>2661-5076</t>
        </is>
      </c>
      <c r="K507" t="inlineStr">
        <is>
          <t>Jorge Villalta</t>
        </is>
      </c>
      <c r="L507" t="inlineStr">
        <is>
          <t>René Alvarado Lemus</t>
        </is>
      </c>
      <c r="M507" t="inlineStr">
        <is>
          <t>07676586-8</t>
        </is>
      </c>
      <c r="N507" t="inlineStr">
        <is>
          <t>6907-6114</t>
        </is>
      </c>
      <c r="O507" t="inlineStr">
        <is>
          <t>Consumidor final</t>
        </is>
      </c>
      <c r="P507" t="inlineStr">
        <is>
          <t>HIG-002</t>
        </is>
      </c>
      <c r="Q507" t="inlineStr">
        <is>
          <t>Papel higiénico 4 rollos</t>
        </is>
      </c>
      <c r="R507" t="inlineStr">
        <is>
          <t>Limpieza</t>
        </is>
      </c>
      <c r="S507" t="inlineStr">
        <is>
          <t>Higiene Total C.A.</t>
        </is>
      </c>
      <c r="T507" t="inlineStr">
        <is>
          <t>2207-5566</t>
        </is>
      </c>
      <c r="U507" t="n">
        <v>2.15</v>
      </c>
      <c r="V507" t="n">
        <v>3</v>
      </c>
      <c r="W507" t="n">
        <v>0</v>
      </c>
      <c r="X507">
        <f>IFERROR(U507*V507*(1-W507/100),"")</f>
        <v/>
      </c>
      <c r="Y507">
        <f>IFERROR(ROUND(X507*0.13,2),"")</f>
        <v/>
      </c>
      <c r="Z507">
        <f>IFERROR(X507+Y507,"")</f>
        <v/>
      </c>
      <c r="AA507" t="inlineStr">
        <is>
          <t>Efectivo</t>
        </is>
      </c>
      <c r="AB507" t="inlineStr"/>
    </row>
    <row r="508">
      <c r="A508" t="inlineStr">
        <is>
          <t>F-10867</t>
        </is>
      </c>
      <c r="B508" t="inlineStr">
        <is>
          <t>2026-08-09</t>
        </is>
      </c>
      <c r="C508" t="inlineStr">
        <is>
          <t>Factura</t>
        </is>
      </c>
      <c r="D508" t="inlineStr">
        <is>
          <t>SS03</t>
        </is>
      </c>
      <c r="E508" t="inlineStr">
        <is>
          <t xml:space="preserve">SOYAPANGO </t>
        </is>
      </c>
      <c r="F508" t="inlineStr">
        <is>
          <t>Blvd. del Ejército km 4</t>
        </is>
      </c>
      <c r="G508" t="inlineStr">
        <is>
          <t>Soyapango</t>
        </is>
      </c>
      <c r="H508" t="inlineStr">
        <is>
          <t>San Salvador</t>
        </is>
      </c>
      <c r="I508" t="inlineStr">
        <is>
          <t>Karla Henríquez</t>
        </is>
      </c>
      <c r="J508" t="inlineStr">
        <is>
          <t>2277-3402</t>
        </is>
      </c>
      <c r="K508" t="inlineStr">
        <is>
          <t>Marta Gómez</t>
        </is>
      </c>
      <c r="L508" t="inlineStr">
        <is>
          <t>Luis Alvarado Flores</t>
        </is>
      </c>
      <c r="M508" t="inlineStr">
        <is>
          <t>04419851-7</t>
        </is>
      </c>
      <c r="N508" t="inlineStr">
        <is>
          <t>6898-7811</t>
        </is>
      </c>
      <c r="O508" t="inlineStr">
        <is>
          <t>Consumidor final</t>
        </is>
      </c>
      <c r="P508" t="inlineStr">
        <is>
          <t>BEB-003</t>
        </is>
      </c>
      <c r="Q508" t="inlineStr">
        <is>
          <t>Horchata en polvo 400g</t>
        </is>
      </c>
      <c r="R508" t="inlineStr">
        <is>
          <t>Bebidas</t>
        </is>
      </c>
      <c r="S508" t="inlineStr">
        <is>
          <t>Bebidas Izalco</t>
        </is>
      </c>
      <c r="T508" t="inlineStr">
        <is>
          <t>2450-7700</t>
        </is>
      </c>
      <c r="U508" t="n">
        <v>2.6</v>
      </c>
      <c r="V508" t="n">
        <v>1</v>
      </c>
      <c r="W508" t="n">
        <v>0</v>
      </c>
      <c r="X508">
        <f>IFERROR(U508*V508*(1-W508/100),"")</f>
        <v/>
      </c>
      <c r="Y508">
        <f>IFERROR(ROUND(X508*0.13,2),"")</f>
        <v/>
      </c>
      <c r="Z508">
        <f>IFERROR(X508+Y508,"")</f>
        <v/>
      </c>
      <c r="AA508" t="inlineStr">
        <is>
          <t>Tarjeta</t>
        </is>
      </c>
      <c r="AB508" t="inlineStr">
        <is>
          <t>Cliente frecuente</t>
        </is>
      </c>
    </row>
    <row r="509">
      <c r="A509" t="inlineStr">
        <is>
          <t>F-10867</t>
        </is>
      </c>
      <c r="B509" t="inlineStr">
        <is>
          <t>09/08/2026</t>
        </is>
      </c>
      <c r="C509" t="inlineStr">
        <is>
          <t>Factura</t>
        </is>
      </c>
      <c r="D509" t="inlineStr">
        <is>
          <t>SS03</t>
        </is>
      </c>
      <c r="E509" t="inlineStr">
        <is>
          <t>Soyapango</t>
        </is>
      </c>
      <c r="F509" t="inlineStr">
        <is>
          <t>Blvd. del Ejército km 4</t>
        </is>
      </c>
      <c r="G509" t="inlineStr">
        <is>
          <t>Soyapango</t>
        </is>
      </c>
      <c r="H509" t="inlineStr">
        <is>
          <t>San Salvador</t>
        </is>
      </c>
      <c r="I509" t="inlineStr">
        <is>
          <t>Karla Henríquez</t>
        </is>
      </c>
      <c r="J509" t="inlineStr">
        <is>
          <t>2277-3402</t>
        </is>
      </c>
      <c r="K509" t="inlineStr">
        <is>
          <t>Marta Gómez</t>
        </is>
      </c>
      <c r="L509" t="inlineStr">
        <is>
          <t>Luis Alvarado Flores</t>
        </is>
      </c>
      <c r="M509" t="inlineStr">
        <is>
          <t>04419851-7</t>
        </is>
      </c>
      <c r="N509" t="inlineStr">
        <is>
          <t>6898-7811</t>
        </is>
      </c>
      <c r="O509" t="inlineStr">
        <is>
          <t>Consumidor final</t>
        </is>
      </c>
      <c r="P509" t="inlineStr">
        <is>
          <t>FRI-001</t>
        </is>
      </c>
      <c r="Q509" t="inlineStr">
        <is>
          <t>Frijol rojo de seda 2lb</t>
        </is>
      </c>
      <c r="R509" t="inlineStr">
        <is>
          <t>Abarrotes</t>
        </is>
      </c>
      <c r="S509" t="inlineStr">
        <is>
          <t>Granos del Pacífico</t>
        </is>
      </c>
      <c r="T509" t="inlineStr">
        <is>
          <t>2234-8890</t>
        </is>
      </c>
      <c r="U509" t="n">
        <v>2.4</v>
      </c>
      <c r="V509" t="n">
        <v>1</v>
      </c>
      <c r="W509" t="n">
        <v>0</v>
      </c>
      <c r="X509">
        <f>IFERROR(U509*V509*(1-W509/100),"")</f>
        <v/>
      </c>
      <c r="Y509">
        <f>IFERROR(ROUND(X509*0.13,2),"")</f>
        <v/>
      </c>
      <c r="Z509">
        <f>IFERROR(X509+Y509,"")</f>
        <v/>
      </c>
      <c r="AA509" t="inlineStr">
        <is>
          <t>Tarjeta</t>
        </is>
      </c>
      <c r="AB509" t="inlineStr"/>
    </row>
    <row r="510">
      <c r="A510" t="inlineStr">
        <is>
          <t>F-10867</t>
        </is>
      </c>
      <c r="B510" s="3" t="n">
        <v>46243</v>
      </c>
      <c r="C510" t="inlineStr">
        <is>
          <t>Factura</t>
        </is>
      </c>
      <c r="D510" t="inlineStr">
        <is>
          <t>SS03</t>
        </is>
      </c>
      <c r="E510" t="inlineStr">
        <is>
          <t xml:space="preserve">SOYAPANGO </t>
        </is>
      </c>
      <c r="F510" t="inlineStr">
        <is>
          <t>Blvd. del Ejército km 4</t>
        </is>
      </c>
      <c r="G510" t="inlineStr">
        <is>
          <t>Soyapango</t>
        </is>
      </c>
      <c r="H510" t="inlineStr">
        <is>
          <t>San Salvador</t>
        </is>
      </c>
      <c r="I510" t="inlineStr">
        <is>
          <t>Karla Henríquez</t>
        </is>
      </c>
      <c r="J510" t="inlineStr">
        <is>
          <t>2277-3402</t>
        </is>
      </c>
      <c r="K510" t="inlineStr">
        <is>
          <t>Marta Gómez</t>
        </is>
      </c>
      <c r="L510" t="inlineStr">
        <is>
          <t>Luis Alvarado Flores</t>
        </is>
      </c>
      <c r="M510" t="inlineStr">
        <is>
          <t>04419851-7</t>
        </is>
      </c>
      <c r="N510" t="inlineStr">
        <is>
          <t>6898-7811</t>
        </is>
      </c>
      <c r="O510" t="inlineStr">
        <is>
          <t>Consumidor final</t>
        </is>
      </c>
      <c r="P510" t="inlineStr">
        <is>
          <t>BEB-002</t>
        </is>
      </c>
      <c r="Q510" t="inlineStr">
        <is>
          <t>Agua purificada 1 galón</t>
        </is>
      </c>
      <c r="R510" t="inlineStr">
        <is>
          <t>Bebidas</t>
        </is>
      </c>
      <c r="S510" t="inlineStr">
        <is>
          <t>Bebidas Izalco</t>
        </is>
      </c>
      <c r="T510" t="inlineStr">
        <is>
          <t>2450-7700</t>
        </is>
      </c>
      <c r="U510" t="n">
        <v>1.1</v>
      </c>
      <c r="V510" t="n">
        <v>12</v>
      </c>
      <c r="W510" t="n">
        <v>0</v>
      </c>
      <c r="X510">
        <f>IFERROR(U510*V510*(1-W510/100),"")</f>
        <v/>
      </c>
      <c r="Y510">
        <f>IFERROR(ROUND(X510*0.13,2),"")</f>
        <v/>
      </c>
      <c r="Z510">
        <f>IFERROR(X510+Y510,"")</f>
        <v/>
      </c>
      <c r="AA510" t="inlineStr">
        <is>
          <t>Tarjeta</t>
        </is>
      </c>
      <c r="AB510" t="inlineStr">
        <is>
          <t>Cliente frecuente</t>
        </is>
      </c>
    </row>
    <row r="511">
      <c r="A511" t="inlineStr">
        <is>
          <t>F-10870</t>
        </is>
      </c>
      <c r="B511" s="3" t="n">
        <v>46250</v>
      </c>
      <c r="C511" t="inlineStr">
        <is>
          <t>FCF</t>
        </is>
      </c>
      <c r="D511" t="inlineStr">
        <is>
          <t>SA01</t>
        </is>
      </c>
      <c r="E511" t="inlineStr">
        <is>
          <t>STA ANA</t>
        </is>
      </c>
      <c r="F511" t="inlineStr">
        <is>
          <t>Av. Independencia Sur #12</t>
        </is>
      </c>
      <c r="G511" t="inlineStr">
        <is>
          <t>Santa Ana</t>
        </is>
      </c>
      <c r="H511" t="inlineStr">
        <is>
          <t>Santa Ana</t>
        </is>
      </c>
      <c r="I511" t="inlineStr">
        <is>
          <t>Mauricio Linares</t>
        </is>
      </c>
      <c r="J511" t="inlineStr">
        <is>
          <t>2440-9921</t>
        </is>
      </c>
      <c r="K511" t="inlineStr">
        <is>
          <t>Diego Zelaya</t>
        </is>
      </c>
      <c r="L511" t="inlineStr">
        <is>
          <t>Edwin Castillo Romero</t>
        </is>
      </c>
      <c r="M511" t="inlineStr">
        <is>
          <t>07552102-5</t>
        </is>
      </c>
      <c r="N511" t="inlineStr">
        <is>
          <t>2609-8644</t>
        </is>
      </c>
      <c r="O511" t="inlineStr">
        <is>
          <t>Consumidor final</t>
        </is>
      </c>
      <c r="P511" t="inlineStr">
        <is>
          <t>HIG-003</t>
        </is>
      </c>
      <c r="Q511" t="inlineStr">
        <is>
          <t>Jabón de lavar barra</t>
        </is>
      </c>
      <c r="R511" t="inlineStr">
        <is>
          <t>Limpieza</t>
        </is>
      </c>
      <c r="S511" t="inlineStr">
        <is>
          <t>Higiene Total C.A.</t>
        </is>
      </c>
      <c r="T511" t="inlineStr">
        <is>
          <t>2207-5566</t>
        </is>
      </c>
      <c r="U511" t="n">
        <v>0.75</v>
      </c>
      <c r="V511" t="n">
        <v>6</v>
      </c>
      <c r="W511" t="n">
        <v>0</v>
      </c>
      <c r="X511">
        <f>IFERROR(U511*V511*(1-W511/100),"")</f>
        <v/>
      </c>
      <c r="Y511">
        <f>IFERROR(ROUND(X511*0.13,2),"")</f>
        <v/>
      </c>
      <c r="Z511">
        <f>IFERROR(X511+Y511,"")</f>
        <v/>
      </c>
      <c r="AA511" t="inlineStr">
        <is>
          <t>Tarjeta</t>
        </is>
      </c>
      <c r="AB511" t="inlineStr"/>
    </row>
    <row r="512">
      <c r="A512" t="inlineStr">
        <is>
          <t>F-10871</t>
        </is>
      </c>
      <c r="B512" s="3" t="n">
        <v>46228</v>
      </c>
      <c r="C512" t="inlineStr">
        <is>
          <t>Factura</t>
        </is>
      </c>
      <c r="D512" t="inlineStr">
        <is>
          <t>SA01</t>
        </is>
      </c>
      <c r="E512" t="inlineStr">
        <is>
          <t>Santa  Ana</t>
        </is>
      </c>
      <c r="F512" t="inlineStr">
        <is>
          <t>Av. Independencia Sur #12</t>
        </is>
      </c>
      <c r="G512" t="inlineStr">
        <is>
          <t>Santa Ana</t>
        </is>
      </c>
      <c r="H512" t="inlineStr">
        <is>
          <t>Santa Ana</t>
        </is>
      </c>
      <c r="I512" t="inlineStr">
        <is>
          <t>Mauricio Linares</t>
        </is>
      </c>
      <c r="J512" t="inlineStr">
        <is>
          <t>2440-9921</t>
        </is>
      </c>
      <c r="K512" t="inlineStr">
        <is>
          <t>Sofía Cáceres</t>
        </is>
      </c>
      <c r="L512" t="inlineStr">
        <is>
          <t>Patricia Guevara Quintanilla</t>
        </is>
      </c>
      <c r="M512" t="inlineStr">
        <is>
          <t>07265655-3</t>
        </is>
      </c>
      <c r="N512" t="inlineStr">
        <is>
          <t>6951-5407</t>
        </is>
      </c>
      <c r="O512" t="inlineStr">
        <is>
          <t>Consumidor final</t>
        </is>
      </c>
      <c r="P512" t="inlineStr">
        <is>
          <t>HIG-003</t>
        </is>
      </c>
      <c r="Q512" t="inlineStr">
        <is>
          <t>Jabón de lavar barra</t>
        </is>
      </c>
      <c r="R512" t="inlineStr">
        <is>
          <t>Limpieza</t>
        </is>
      </c>
      <c r="S512" t="inlineStr">
        <is>
          <t>Higiene Total C.A.</t>
        </is>
      </c>
      <c r="T512" t="inlineStr">
        <is>
          <t>2207-5566</t>
        </is>
      </c>
      <c r="U512" t="inlineStr">
        <is>
          <t>$0.75</t>
        </is>
      </c>
      <c r="V512" t="n">
        <v>2</v>
      </c>
      <c r="W512" t="n">
        <v>0</v>
      </c>
      <c r="X512">
        <f>IFERROR(U512*V512*(1-W512/100),"")</f>
        <v/>
      </c>
      <c r="Y512">
        <f>IFERROR(ROUND(X512*0.13,2),"")</f>
        <v/>
      </c>
      <c r="Z512">
        <f>IFERROR(X512+Y512,"")</f>
        <v/>
      </c>
      <c r="AA512" t="inlineStr">
        <is>
          <t>Efectivo</t>
        </is>
      </c>
      <c r="AB512" t="inlineStr">
        <is>
          <t>Cliente frecuente</t>
        </is>
      </c>
    </row>
    <row r="513">
      <c r="A513" t="inlineStr">
        <is>
          <t>F-10871</t>
        </is>
      </c>
      <c r="B513" t="inlineStr">
        <is>
          <t>2026-07-25</t>
        </is>
      </c>
      <c r="C513" t="inlineStr">
        <is>
          <t>Factura</t>
        </is>
      </c>
      <c r="D513" t="inlineStr">
        <is>
          <t>SA01</t>
        </is>
      </c>
      <c r="E513" t="inlineStr">
        <is>
          <t>Santa  Ana</t>
        </is>
      </c>
      <c r="F513" t="inlineStr">
        <is>
          <t>Av. Independencia Sur #12</t>
        </is>
      </c>
      <c r="G513" t="inlineStr">
        <is>
          <t>Santa Ana</t>
        </is>
      </c>
      <c r="H513" t="inlineStr">
        <is>
          <t>Santa Ana</t>
        </is>
      </c>
      <c r="I513" t="inlineStr">
        <is>
          <t>Mauricio Linares</t>
        </is>
      </c>
      <c r="J513" t="inlineStr">
        <is>
          <t>2440-9921</t>
        </is>
      </c>
      <c r="K513" t="inlineStr">
        <is>
          <t>Sofía Cáceres</t>
        </is>
      </c>
      <c r="L513" t="inlineStr">
        <is>
          <t>Patricia Guevara Quintanilla</t>
        </is>
      </c>
      <c r="M513" t="inlineStr">
        <is>
          <t>07265655-3</t>
        </is>
      </c>
      <c r="N513" t="inlineStr">
        <is>
          <t>6951-5407</t>
        </is>
      </c>
      <c r="O513" t="inlineStr">
        <is>
          <t>Consumidor final</t>
        </is>
      </c>
      <c r="P513" t="inlineStr">
        <is>
          <t>BEB-003</t>
        </is>
      </c>
      <c r="Q513" t="inlineStr">
        <is>
          <t>Horchata en polvo 400g</t>
        </is>
      </c>
      <c r="R513" t="inlineStr">
        <is>
          <t>Abarrotes</t>
        </is>
      </c>
      <c r="S513" t="inlineStr">
        <is>
          <t>Bebidas Izalco</t>
        </is>
      </c>
      <c r="T513" t="inlineStr">
        <is>
          <t>2450-7700</t>
        </is>
      </c>
      <c r="U513" t="n">
        <v>2.6</v>
      </c>
      <c r="V513" t="n">
        <v>24</v>
      </c>
      <c r="W513" t="n">
        <v>0</v>
      </c>
      <c r="X513">
        <f>IFERROR(U513*V513*(1-W513/100),"")</f>
        <v/>
      </c>
      <c r="Y513">
        <f>IFERROR(ROUND(X513*0.13,2),"")</f>
        <v/>
      </c>
      <c r="Z513">
        <f>IFERROR(X513+Y513,"")</f>
        <v/>
      </c>
      <c r="AA513" t="inlineStr">
        <is>
          <t>Efectivo</t>
        </is>
      </c>
      <c r="AB513" t="inlineStr"/>
    </row>
    <row r="514">
      <c r="A514" t="inlineStr">
        <is>
          <t>F-10872</t>
        </is>
      </c>
      <c r="B514" s="3" t="n">
        <v>46256</v>
      </c>
      <c r="C514" t="inlineStr">
        <is>
          <t>factura</t>
        </is>
      </c>
      <c r="D514" t="inlineStr">
        <is>
          <t>SS03</t>
        </is>
      </c>
      <c r="E514" t="inlineStr">
        <is>
          <t xml:space="preserve">SOYAPANGO </t>
        </is>
      </c>
      <c r="F514" t="inlineStr">
        <is>
          <t>Blvd. del Ejército km 4</t>
        </is>
      </c>
      <c r="G514" t="inlineStr">
        <is>
          <t>Soyapango</t>
        </is>
      </c>
      <c r="H514" t="inlineStr">
        <is>
          <t>San Salvador</t>
        </is>
      </c>
      <c r="I514" t="inlineStr">
        <is>
          <t>Karla Henríquez</t>
        </is>
      </c>
      <c r="J514" t="inlineStr">
        <is>
          <t>2277-3402</t>
        </is>
      </c>
      <c r="K514" t="inlineStr">
        <is>
          <t>Marta Gómez</t>
        </is>
      </c>
      <c r="L514" t="inlineStr">
        <is>
          <t>Carlos García Cornejo</t>
        </is>
      </c>
      <c r="M514" t="inlineStr">
        <is>
          <t>09671747-5</t>
        </is>
      </c>
      <c r="N514" t="inlineStr">
        <is>
          <t>6898-8471</t>
        </is>
      </c>
      <c r="O514" t="inlineStr">
        <is>
          <t>Consumidor final</t>
        </is>
      </c>
      <c r="P514" t="inlineStr">
        <is>
          <t>PAN-003</t>
        </is>
      </c>
      <c r="Q514" t="inlineStr">
        <is>
          <t>Quesadilla salvadoreña</t>
        </is>
      </c>
      <c r="R514" t="inlineStr">
        <is>
          <t>Panadería</t>
        </is>
      </c>
      <c r="S514" t="inlineStr">
        <is>
          <t>Panificadora Ilopango</t>
        </is>
      </c>
      <c r="T514" t="inlineStr">
        <is>
          <t>2295-0081</t>
        </is>
      </c>
      <c r="U514" t="n">
        <v>2.5</v>
      </c>
      <c r="V514" t="n">
        <v>1</v>
      </c>
      <c r="W514" t="n">
        <v>0</v>
      </c>
      <c r="X514">
        <f>IFERROR(U514*V514*(1-W514/100),"")</f>
        <v/>
      </c>
      <c r="Y514">
        <f>IFERROR(ROUND(X514*0.13,2),"")</f>
        <v/>
      </c>
      <c r="Z514">
        <f>IFERROR(X514+Y514,"")</f>
        <v/>
      </c>
      <c r="AA514" t="inlineStr">
        <is>
          <t>Efectivo</t>
        </is>
      </c>
      <c r="AB514" t="inlineStr">
        <is>
          <t>Llamar al 7788-1234 antes de entregar</t>
        </is>
      </c>
    </row>
    <row r="515">
      <c r="A515" t="inlineStr">
        <is>
          <t>F-10873</t>
        </is>
      </c>
      <c r="B515" s="3" t="n">
        <v>46288</v>
      </c>
      <c r="C515" t="inlineStr">
        <is>
          <t>Factura</t>
        </is>
      </c>
      <c r="D515" t="inlineStr">
        <is>
          <t>SS03</t>
        </is>
      </c>
      <c r="E515" t="inlineStr">
        <is>
          <t>soyapango</t>
        </is>
      </c>
      <c r="F515" t="inlineStr">
        <is>
          <t>Blvd. del Ejército km 4</t>
        </is>
      </c>
      <c r="G515" t="inlineStr">
        <is>
          <t>Soyapango</t>
        </is>
      </c>
      <c r="H515" t="inlineStr">
        <is>
          <t>San Salvador</t>
        </is>
      </c>
      <c r="I515" t="inlineStr">
        <is>
          <t>Karla Henríquez</t>
        </is>
      </c>
      <c r="J515" t="inlineStr">
        <is>
          <t>2277-3402</t>
        </is>
      </c>
      <c r="K515" t="inlineStr">
        <is>
          <t>Marta Gómez</t>
        </is>
      </c>
      <c r="L515" t="inlineStr">
        <is>
          <t>Mario Castillo Lemus</t>
        </is>
      </c>
      <c r="M515" t="inlineStr">
        <is>
          <t>01650441-7</t>
        </is>
      </c>
      <c r="N515" t="inlineStr">
        <is>
          <t>7833-9440</t>
        </is>
      </c>
      <c r="O515" t="inlineStr">
        <is>
          <t>Consumidor final</t>
        </is>
      </c>
      <c r="P515" t="inlineStr">
        <is>
          <t>BEB-002</t>
        </is>
      </c>
      <c r="Q515" t="inlineStr">
        <is>
          <t>Agua purificada 1 galón</t>
        </is>
      </c>
      <c r="R515" t="inlineStr">
        <is>
          <t>Bebidas</t>
        </is>
      </c>
      <c r="S515" t="inlineStr">
        <is>
          <t>Bebidas Izalco</t>
        </is>
      </c>
      <c r="T515" t="inlineStr">
        <is>
          <t>2450-7700</t>
        </is>
      </c>
      <c r="U515" t="n">
        <v>1.1</v>
      </c>
      <c r="V515" t="n">
        <v>1</v>
      </c>
      <c r="W515" t="n">
        <v>0</v>
      </c>
      <c r="X515">
        <f>IFERROR(U515*V515*(1-W515/100),"")</f>
        <v/>
      </c>
      <c r="Y515">
        <f>IFERROR(ROUND(X515*0.13,2),"")</f>
        <v/>
      </c>
      <c r="Z515">
        <f>IFERROR(X515+Y515,"")</f>
        <v/>
      </c>
      <c r="AA515" t="inlineStr">
        <is>
          <t>Efectivo</t>
        </is>
      </c>
      <c r="AB515" t="inlineStr">
        <is>
          <t>entregar en bodega</t>
        </is>
      </c>
    </row>
    <row r="516">
      <c r="A516" t="inlineStr">
        <is>
          <t>F-10873</t>
        </is>
      </c>
      <c r="B516" s="3" t="n">
        <v>46288</v>
      </c>
      <c r="C516" t="inlineStr">
        <is>
          <t>Factura</t>
        </is>
      </c>
      <c r="D516" t="inlineStr">
        <is>
          <t>SS03</t>
        </is>
      </c>
      <c r="E516" t="inlineStr">
        <is>
          <t>Soyapango</t>
        </is>
      </c>
      <c r="F516" t="inlineStr">
        <is>
          <t>Blvd. del Ejército km 4</t>
        </is>
      </c>
      <c r="G516" t="inlineStr">
        <is>
          <t>Soyapango</t>
        </is>
      </c>
      <c r="H516" t="inlineStr">
        <is>
          <t>San Salvador</t>
        </is>
      </c>
      <c r="I516" t="inlineStr">
        <is>
          <t>Karla Henríquez</t>
        </is>
      </c>
      <c r="J516" t="inlineStr">
        <is>
          <t>2277-3402</t>
        </is>
      </c>
      <c r="K516" t="inlineStr">
        <is>
          <t>Marta Gómez</t>
        </is>
      </c>
      <c r="L516" t="inlineStr">
        <is>
          <t>Mario Castillo Lemus</t>
        </is>
      </c>
      <c r="M516" t="inlineStr">
        <is>
          <t>01650441-7</t>
        </is>
      </c>
      <c r="N516" t="inlineStr">
        <is>
          <t>7833-9440</t>
        </is>
      </c>
      <c r="O516" t="inlineStr">
        <is>
          <t>Consumidor final</t>
        </is>
      </c>
      <c r="P516" t="inlineStr">
        <is>
          <t>PAN-001</t>
        </is>
      </c>
      <c r="Q516" t="inlineStr">
        <is>
          <t>Pan francés bolsa 10u</t>
        </is>
      </c>
      <c r="R516" t="inlineStr">
        <is>
          <t>Panaderia</t>
        </is>
      </c>
      <c r="S516" t="inlineStr">
        <is>
          <t>Panificadora Ilopango</t>
        </is>
      </c>
      <c r="T516" t="inlineStr">
        <is>
          <t>2295-0081</t>
        </is>
      </c>
      <c r="U516" t="n">
        <v>1</v>
      </c>
      <c r="V516" t="n">
        <v>1</v>
      </c>
      <c r="W516" t="n">
        <v>0</v>
      </c>
      <c r="X516">
        <f>IFERROR(U516*V516*(1-W516/100),"")</f>
        <v/>
      </c>
      <c r="Y516">
        <f>IFERROR(ROUND(X516*0.13,2),"")</f>
        <v/>
      </c>
      <c r="Z516">
        <f>IFERROR(X516+Y516,"")</f>
        <v/>
      </c>
      <c r="AA516" t="inlineStr">
        <is>
          <t>Efectivo</t>
        </is>
      </c>
      <c r="AB516" t="inlineStr">
        <is>
          <t>Cliente frecuente</t>
        </is>
      </c>
    </row>
    <row r="517">
      <c r="A517" t="inlineStr">
        <is>
          <t>F-10875</t>
        </is>
      </c>
      <c r="B517" s="3" t="n">
        <v>46292</v>
      </c>
      <c r="C517" t="inlineStr">
        <is>
          <t>factura</t>
        </is>
      </c>
      <c r="D517" t="inlineStr">
        <is>
          <t>SS02</t>
        </is>
      </c>
      <c r="E517" t="inlineStr">
        <is>
          <t>ESCALON</t>
        </is>
      </c>
      <c r="F517" t="inlineStr">
        <is>
          <t>Paseo General Escalón #3910</t>
        </is>
      </c>
      <c r="G517" t="inlineStr">
        <is>
          <t>San Salvador</t>
        </is>
      </c>
      <c r="H517" t="inlineStr">
        <is>
          <t>San Salvador</t>
        </is>
      </c>
      <c r="I517" t="inlineStr">
        <is>
          <t>Claudia Menjívar</t>
        </is>
      </c>
      <c r="J517" t="inlineStr">
        <is>
          <t>2264-1190</t>
        </is>
      </c>
      <c r="K517" t="inlineStr">
        <is>
          <t>Fátima Rosales</t>
        </is>
      </c>
      <c r="L517" t="inlineStr">
        <is>
          <t>María Castillo Martínez</t>
        </is>
      </c>
      <c r="M517" t="inlineStr">
        <is>
          <t>09352468-8</t>
        </is>
      </c>
      <c r="N517" t="inlineStr">
        <is>
          <t>6394-8494</t>
        </is>
      </c>
      <c r="O517" t="inlineStr">
        <is>
          <t>Consumidor final</t>
        </is>
      </c>
      <c r="P517" t="inlineStr">
        <is>
          <t>CAF-002</t>
        </is>
      </c>
      <c r="Q517" t="inlineStr">
        <is>
          <t>Café en grano 1lb</t>
        </is>
      </c>
      <c r="R517" t="inlineStr">
        <is>
          <t>Abarrotes</t>
        </is>
      </c>
      <c r="S517" t="inlineStr">
        <is>
          <t>Café Volcán S.A.</t>
        </is>
      </c>
      <c r="T517" t="inlineStr">
        <is>
          <t>2510-3344</t>
        </is>
      </c>
      <c r="U517" t="inlineStr">
        <is>
          <t>6,75</t>
        </is>
      </c>
      <c r="V517" t="n">
        <v>2</v>
      </c>
      <c r="W517" t="n">
        <v>0</v>
      </c>
      <c r="X517">
        <f>IFERROR(U517*V517*(1-W517/100),"")</f>
        <v/>
      </c>
      <c r="Y517">
        <f>IFERROR(ROUND(X517*0.13,2),"")</f>
        <v/>
      </c>
      <c r="Z517">
        <f>IFERROR(X517+Y517,"")</f>
        <v/>
      </c>
      <c r="AA517" t="inlineStr">
        <is>
          <t>Efectivo</t>
        </is>
      </c>
      <c r="AB517" t="inlineStr"/>
    </row>
    <row r="518">
      <c r="A518" t="inlineStr">
        <is>
          <t>F-10878</t>
        </is>
      </c>
      <c r="B518" s="3" t="n">
        <v>46253</v>
      </c>
      <c r="C518" t="inlineStr">
        <is>
          <t>factura</t>
        </is>
      </c>
      <c r="D518" t="inlineStr">
        <is>
          <t>US01</t>
        </is>
      </c>
      <c r="E518" t="inlineStr">
        <is>
          <t>Usulutan</t>
        </is>
      </c>
      <c r="F518" t="inlineStr">
        <is>
          <t>2a Av. Norte #9</t>
        </is>
      </c>
      <c r="G518" t="inlineStr">
        <is>
          <t>Usulután</t>
        </is>
      </c>
      <c r="H518" t="inlineStr">
        <is>
          <t>Usulután</t>
        </is>
      </c>
      <c r="I518" t="inlineStr">
        <is>
          <t>Nelson Fuentes</t>
        </is>
      </c>
      <c r="J518" t="inlineStr">
        <is>
          <t>2662-8810</t>
        </is>
      </c>
      <c r="K518" t="inlineStr">
        <is>
          <t>Miguel Bonilla</t>
        </is>
      </c>
      <c r="L518" t="inlineStr">
        <is>
          <t>Rosa García López</t>
        </is>
      </c>
      <c r="M518" t="inlineStr">
        <is>
          <t>08949227-3</t>
        </is>
      </c>
      <c r="N518" t="inlineStr">
        <is>
          <t>7696-6025</t>
        </is>
      </c>
      <c r="O518" t="inlineStr">
        <is>
          <t>Consumidor final</t>
        </is>
      </c>
      <c r="P518" t="inlineStr">
        <is>
          <t>LAC-003</t>
        </is>
      </c>
      <c r="Q518" t="inlineStr">
        <is>
          <t>Leche entera 1L</t>
        </is>
      </c>
      <c r="R518" t="inlineStr">
        <is>
          <t>Lácteos</t>
        </is>
      </c>
      <c r="S518" t="inlineStr">
        <is>
          <t>Lácteos Chalate</t>
        </is>
      </c>
      <c r="T518" t="inlineStr">
        <is>
          <t>7120-4455</t>
        </is>
      </c>
      <c r="U518" t="n">
        <v>1.2</v>
      </c>
      <c r="V518" t="n">
        <v>3</v>
      </c>
      <c r="W518" t="n">
        <v>0</v>
      </c>
      <c r="X518">
        <f>IFERROR(U518*V518*(1-W518/100),"")</f>
        <v/>
      </c>
      <c r="Y518">
        <f>IFERROR(ROUND(X518*0.13,2),"")</f>
        <v/>
      </c>
      <c r="Z518">
        <f>IFERROR(X518+Y518,"")</f>
        <v/>
      </c>
      <c r="AA518" t="inlineStr">
        <is>
          <t>Efectivo</t>
        </is>
      </c>
      <c r="AB518" t="inlineStr"/>
    </row>
    <row r="519">
      <c r="A519" t="inlineStr">
        <is>
          <t>F-10878</t>
        </is>
      </c>
      <c r="B519" s="3" t="n">
        <v>46253</v>
      </c>
      <c r="C519" t="inlineStr">
        <is>
          <t>factura</t>
        </is>
      </c>
      <c r="D519" t="inlineStr">
        <is>
          <t>US01</t>
        </is>
      </c>
      <c r="E519" t="inlineStr">
        <is>
          <t>Usulutan</t>
        </is>
      </c>
      <c r="F519" t="inlineStr">
        <is>
          <t>2a Av. Norte #9</t>
        </is>
      </c>
      <c r="G519" t="inlineStr">
        <is>
          <t>Usulután</t>
        </is>
      </c>
      <c r="H519" t="inlineStr">
        <is>
          <t>Usulután</t>
        </is>
      </c>
      <c r="I519" t="inlineStr">
        <is>
          <t>Nelson Fuentes</t>
        </is>
      </c>
      <c r="J519" t="inlineStr">
        <is>
          <t>2662-8810</t>
        </is>
      </c>
      <c r="K519" t="inlineStr">
        <is>
          <t>Miguel Bonilla</t>
        </is>
      </c>
      <c r="L519" t="inlineStr">
        <is>
          <t>Rosa García López</t>
        </is>
      </c>
      <c r="M519" t="inlineStr">
        <is>
          <t>08949227-3</t>
        </is>
      </c>
      <c r="N519" t="inlineStr">
        <is>
          <t>7696-6025</t>
        </is>
      </c>
      <c r="O519" t="inlineStr">
        <is>
          <t>Consumidor final</t>
        </is>
      </c>
      <c r="P519" t="inlineStr">
        <is>
          <t>BEB-002</t>
        </is>
      </c>
      <c r="Q519" t="inlineStr">
        <is>
          <t>Agua purificada 1 galón</t>
        </is>
      </c>
      <c r="R519" t="inlineStr">
        <is>
          <t>Bebidas</t>
        </is>
      </c>
      <c r="S519" t="inlineStr">
        <is>
          <t>Bebidas Izalco</t>
        </is>
      </c>
      <c r="T519" t="inlineStr">
        <is>
          <t>2450-7700</t>
        </is>
      </c>
      <c r="U519" t="n">
        <v>1.1</v>
      </c>
      <c r="V519" t="n">
        <v>2</v>
      </c>
      <c r="W519" t="n">
        <v>0</v>
      </c>
      <c r="X519">
        <f>IFERROR(U519*V519*(1-W519/100),"")</f>
        <v/>
      </c>
      <c r="Y519">
        <f>IFERROR(ROUND(X519*0.13,2),"")</f>
        <v/>
      </c>
      <c r="Z519">
        <f>IFERROR(X519+Y519,"")</f>
        <v/>
      </c>
      <c r="AA519" t="inlineStr">
        <is>
          <t>Efectivo</t>
        </is>
      </c>
      <c r="AB519" t="inlineStr">
        <is>
          <t>entregar en bodega</t>
        </is>
      </c>
    </row>
    <row r="520">
      <c r="A520" t="inlineStr">
        <is>
          <t>F-10878</t>
        </is>
      </c>
      <c r="B520" s="3" t="n">
        <v>46253</v>
      </c>
      <c r="C520" t="inlineStr">
        <is>
          <t>factura</t>
        </is>
      </c>
      <c r="D520" t="inlineStr">
        <is>
          <t>US01</t>
        </is>
      </c>
      <c r="E520" t="inlineStr">
        <is>
          <t>Usulutan</t>
        </is>
      </c>
      <c r="F520" t="inlineStr">
        <is>
          <t>2a Av. Norte #9</t>
        </is>
      </c>
      <c r="G520" t="inlineStr">
        <is>
          <t>Usulután</t>
        </is>
      </c>
      <c r="H520" t="inlineStr">
        <is>
          <t>Usulután</t>
        </is>
      </c>
      <c r="I520" t="inlineStr">
        <is>
          <t>Nelson Fuentes</t>
        </is>
      </c>
      <c r="J520" t="inlineStr">
        <is>
          <t>2662-8810</t>
        </is>
      </c>
      <c r="K520" t="inlineStr">
        <is>
          <t>Miguel Bonilla</t>
        </is>
      </c>
      <c r="L520" t="inlineStr">
        <is>
          <t>Rosa García López</t>
        </is>
      </c>
      <c r="M520" t="inlineStr">
        <is>
          <t>08949227-3</t>
        </is>
      </c>
      <c r="N520" t="inlineStr">
        <is>
          <t>7696-6025</t>
        </is>
      </c>
      <c r="O520" t="inlineStr">
        <is>
          <t>Consumidor final</t>
        </is>
      </c>
      <c r="P520" t="inlineStr">
        <is>
          <t>HAR-001</t>
        </is>
      </c>
      <c r="Q520" t="inlineStr">
        <is>
          <t>Harina de maíz 2lb</t>
        </is>
      </c>
      <c r="R520" t="inlineStr">
        <is>
          <t>Abarrotes</t>
        </is>
      </c>
      <c r="S520" t="inlineStr">
        <is>
          <t>Granos del Pacífico</t>
        </is>
      </c>
      <c r="T520" t="inlineStr">
        <is>
          <t>2234-8890</t>
        </is>
      </c>
      <c r="U520" t="n">
        <v>1.35</v>
      </c>
      <c r="V520" t="n">
        <v>24</v>
      </c>
      <c r="W520" t="n">
        <v>0</v>
      </c>
      <c r="X520">
        <f>IFERROR(U520*V520*(1-W520/100),"")</f>
        <v/>
      </c>
      <c r="Y520">
        <f>IFERROR(ROUND(X520*0.13,2),"")</f>
        <v/>
      </c>
      <c r="Z520">
        <f>IFERROR(X520+Y520,"")</f>
        <v/>
      </c>
      <c r="AA520" t="inlineStr">
        <is>
          <t>Efectivo</t>
        </is>
      </c>
      <c r="AB520" t="inlineStr"/>
    </row>
    <row r="521">
      <c r="A521" t="inlineStr">
        <is>
          <t>F-10880</t>
        </is>
      </c>
      <c r="B521" s="3" t="n">
        <v>46241</v>
      </c>
      <c r="C521" t="inlineStr">
        <is>
          <t>FCF</t>
        </is>
      </c>
      <c r="D521" t="inlineStr">
        <is>
          <t>US01</t>
        </is>
      </c>
      <c r="E521" t="inlineStr">
        <is>
          <t>Usulután</t>
        </is>
      </c>
      <c r="F521" t="inlineStr">
        <is>
          <t>2a Av. Norte #9</t>
        </is>
      </c>
      <c r="G521" t="inlineStr">
        <is>
          <t>Usulután</t>
        </is>
      </c>
      <c r="H521" t="inlineStr">
        <is>
          <t>Usulután</t>
        </is>
      </c>
      <c r="I521" t="inlineStr">
        <is>
          <t>Nelson Fuentes</t>
        </is>
      </c>
      <c r="J521" t="inlineStr">
        <is>
          <t>2662-8810</t>
        </is>
      </c>
      <c r="K521" t="inlineStr">
        <is>
          <t>Miguel Bonilla</t>
        </is>
      </c>
      <c r="L521" t="inlineStr">
        <is>
          <t>Rosa Quintanilla Alvarado</t>
        </is>
      </c>
      <c r="M521" t="inlineStr"/>
      <c r="N521" t="inlineStr">
        <is>
          <t>6451-4292</t>
        </is>
      </c>
      <c r="O521" t="inlineStr">
        <is>
          <t>Consumidor final</t>
        </is>
      </c>
      <c r="P521" t="inlineStr">
        <is>
          <t>CAF-002</t>
        </is>
      </c>
      <c r="Q521" t="inlineStr">
        <is>
          <t>Café en grano 1lb</t>
        </is>
      </c>
      <c r="R521" t="inlineStr">
        <is>
          <t>Abarrotes</t>
        </is>
      </c>
      <c r="S521" t="inlineStr">
        <is>
          <t>Café Volcán S.A.</t>
        </is>
      </c>
      <c r="T521" t="inlineStr">
        <is>
          <t>2510-3344</t>
        </is>
      </c>
      <c r="U521" t="n">
        <v>6.75</v>
      </c>
      <c r="V521" t="n">
        <v>1</v>
      </c>
      <c r="W521" t="n">
        <v>0</v>
      </c>
      <c r="X521">
        <f>IFERROR(U521*V521*(1-W521/100),"")</f>
        <v/>
      </c>
      <c r="Y521">
        <f>IFERROR(ROUND(X521*0.13,2),"")</f>
        <v/>
      </c>
      <c r="Z521">
        <f>IFERROR(X521+Y521,"")</f>
        <v/>
      </c>
      <c r="AA521" t="inlineStr">
        <is>
          <t>Efectivo</t>
        </is>
      </c>
      <c r="AB521" t="inlineStr">
        <is>
          <t>entregar en bodega</t>
        </is>
      </c>
    </row>
    <row r="522">
      <c r="A522" t="inlineStr">
        <is>
          <t>F-10882</t>
        </is>
      </c>
      <c r="B522" s="3" t="n">
        <v>46292</v>
      </c>
      <c r="C522" t="inlineStr">
        <is>
          <t>CCF</t>
        </is>
      </c>
      <c r="D522" t="inlineStr">
        <is>
          <t>SA01</t>
        </is>
      </c>
      <c r="E522" t="inlineStr">
        <is>
          <t>STA ANA</t>
        </is>
      </c>
      <c r="F522" t="inlineStr">
        <is>
          <t>Av. Independencia Sur #12</t>
        </is>
      </c>
      <c r="G522" t="inlineStr">
        <is>
          <t>Santa Ana</t>
        </is>
      </c>
      <c r="H522" t="inlineStr">
        <is>
          <t>Santa Ana</t>
        </is>
      </c>
      <c r="I522" t="inlineStr">
        <is>
          <t>Verónica Sandoval</t>
        </is>
      </c>
      <c r="J522" t="inlineStr">
        <is>
          <t>2440-9921</t>
        </is>
      </c>
      <c r="K522" t="inlineStr">
        <is>
          <t>Diego Zelaya</t>
        </is>
      </c>
      <c r="L522" t="inlineStr">
        <is>
          <t>PUPUSERÍA EL COMAL</t>
        </is>
      </c>
      <c r="M522" t="inlineStr">
        <is>
          <t>261664-6</t>
        </is>
      </c>
      <c r="N522" t="inlineStr">
        <is>
          <t>6293-1154</t>
        </is>
      </c>
      <c r="O522" t="inlineStr">
        <is>
          <t>Contribuyente</t>
        </is>
      </c>
      <c r="P522" t="inlineStr">
        <is>
          <t>AZU-001</t>
        </is>
      </c>
      <c r="Q522" t="inlineStr">
        <is>
          <t>Azúcar blanca 2.5kg</t>
        </is>
      </c>
      <c r="R522" t="inlineStr">
        <is>
          <t>Abarrotes</t>
        </is>
      </c>
      <c r="S522" t="inlineStr">
        <is>
          <t>Granos del Pacífico</t>
        </is>
      </c>
      <c r="T522" t="inlineStr">
        <is>
          <t>2234-8890</t>
        </is>
      </c>
      <c r="U522" t="n">
        <v>3.1</v>
      </c>
      <c r="V522" t="n">
        <v>12</v>
      </c>
      <c r="W522" t="n">
        <v>0</v>
      </c>
      <c r="X522">
        <f>IFERROR(U522*V522*(1-W522/100),"")</f>
        <v/>
      </c>
      <c r="Y522">
        <f>IFERROR(ROUND(X522*0.13,2),"")</f>
        <v/>
      </c>
      <c r="Z522">
        <f>IFERROR(X522+Y522,"")</f>
        <v/>
      </c>
      <c r="AA522" t="inlineStr">
        <is>
          <t>Efectivo</t>
        </is>
      </c>
      <c r="AB522" t="inlineStr">
        <is>
          <t>Cliente frecuente</t>
        </is>
      </c>
    </row>
    <row r="523">
      <c r="A523" t="inlineStr">
        <is>
          <t>F-10882</t>
        </is>
      </c>
      <c r="B523" s="3" t="n">
        <v>46292</v>
      </c>
      <c r="C523" t="inlineStr">
        <is>
          <t>CCF</t>
        </is>
      </c>
      <c r="D523" t="inlineStr">
        <is>
          <t>SA01</t>
        </is>
      </c>
      <c r="E523" t="inlineStr">
        <is>
          <t>Santa Ana</t>
        </is>
      </c>
      <c r="F523" t="inlineStr">
        <is>
          <t>Av. Independencia Sur #12</t>
        </is>
      </c>
      <c r="G523" t="inlineStr">
        <is>
          <t>Santa Ana</t>
        </is>
      </c>
      <c r="H523" t="inlineStr">
        <is>
          <t>Santa Ana</t>
        </is>
      </c>
      <c r="I523" t="inlineStr">
        <is>
          <t>Mauricio Linares</t>
        </is>
      </c>
      <c r="J523" t="inlineStr">
        <is>
          <t>2440-9921</t>
        </is>
      </c>
      <c r="K523" t="inlineStr">
        <is>
          <t>Diego Zelaya</t>
        </is>
      </c>
      <c r="L523" t="inlineStr">
        <is>
          <t>Pupusería El Comal</t>
        </is>
      </c>
      <c r="M523" t="inlineStr">
        <is>
          <t>261664-6</t>
        </is>
      </c>
      <c r="N523" t="inlineStr">
        <is>
          <t>6293-1154</t>
        </is>
      </c>
      <c r="O523" t="inlineStr">
        <is>
          <t>Contribuyente</t>
        </is>
      </c>
      <c r="P523" t="inlineStr">
        <is>
          <t>HAR-001</t>
        </is>
      </c>
      <c r="Q523" t="inlineStr">
        <is>
          <t>Harina de maíz 2lb</t>
        </is>
      </c>
      <c r="R523" t="inlineStr">
        <is>
          <t>Abarrotes</t>
        </is>
      </c>
      <c r="S523" t="inlineStr">
        <is>
          <t>Granos del Pacífico</t>
        </is>
      </c>
      <c r="T523" t="inlineStr">
        <is>
          <t>2234-8890</t>
        </is>
      </c>
      <c r="U523" t="n">
        <v>1.35</v>
      </c>
      <c r="V523" t="n">
        <v>24</v>
      </c>
      <c r="W523" t="n">
        <v>0</v>
      </c>
      <c r="X523">
        <f>IFERROR(U523*V523*(1-W523/100),"")</f>
        <v/>
      </c>
      <c r="Y523">
        <f>IFERROR(ROUND(X523*0.13,2),"")</f>
        <v/>
      </c>
      <c r="Z523">
        <f>IFERROR(X523+Y523,"")</f>
        <v/>
      </c>
      <c r="AA523" t="inlineStr">
        <is>
          <t>Efectivo</t>
        </is>
      </c>
      <c r="AB523" t="inlineStr">
        <is>
          <t>precio especial autorizado por gerente</t>
        </is>
      </c>
    </row>
    <row r="524">
      <c r="A524" t="inlineStr">
        <is>
          <t>F-10882</t>
        </is>
      </c>
      <c r="B524" s="3" t="n">
        <v>46292</v>
      </c>
      <c r="C524" t="inlineStr">
        <is>
          <t>CCF</t>
        </is>
      </c>
      <c r="D524" t="inlineStr">
        <is>
          <t>SA01</t>
        </is>
      </c>
      <c r="E524" t="inlineStr">
        <is>
          <t>Santa Ana</t>
        </is>
      </c>
      <c r="F524" t="inlineStr">
        <is>
          <t>Av. Independencia Sur #12</t>
        </is>
      </c>
      <c r="G524" t="inlineStr">
        <is>
          <t>Santa Ana</t>
        </is>
      </c>
      <c r="H524" t="inlineStr">
        <is>
          <t>Santa Ana</t>
        </is>
      </c>
      <c r="I524" t="inlineStr">
        <is>
          <t>Mauricio Linares</t>
        </is>
      </c>
      <c r="J524" t="inlineStr">
        <is>
          <t>2440-9921</t>
        </is>
      </c>
      <c r="K524" t="inlineStr">
        <is>
          <t>Diego Zelaya</t>
        </is>
      </c>
      <c r="L524" t="inlineStr">
        <is>
          <t>Pupusería El Comal</t>
        </is>
      </c>
      <c r="M524" t="inlineStr">
        <is>
          <t>261664-6</t>
        </is>
      </c>
      <c r="N524" t="inlineStr">
        <is>
          <t>6293-1154</t>
        </is>
      </c>
      <c r="O524" t="inlineStr">
        <is>
          <t>Contribuyente</t>
        </is>
      </c>
      <c r="P524" t="inlineStr">
        <is>
          <t>BEB-002</t>
        </is>
      </c>
      <c r="Q524" t="inlineStr">
        <is>
          <t>Agua purificada 1 galón</t>
        </is>
      </c>
      <c r="R524" t="inlineStr">
        <is>
          <t>Bebidas</t>
        </is>
      </c>
      <c r="S524" t="inlineStr">
        <is>
          <t>Bebidas Izalco</t>
        </is>
      </c>
      <c r="T524" t="inlineStr">
        <is>
          <t>2450-7700</t>
        </is>
      </c>
      <c r="U524" t="n">
        <v>1.1</v>
      </c>
      <c r="V524" t="n">
        <v>1</v>
      </c>
      <c r="W524" t="n">
        <v>10</v>
      </c>
      <c r="X524">
        <f>IFERROR(U524*V524*(1-W524/100),"")</f>
        <v/>
      </c>
      <c r="Y524">
        <f>IFERROR(ROUND(X524*0.13,2),"")</f>
        <v/>
      </c>
      <c r="Z524">
        <f>IFERROR(X524+Y524,"")</f>
        <v/>
      </c>
      <c r="AA524" t="inlineStr">
        <is>
          <t>Efectivo</t>
        </is>
      </c>
      <c r="AB524" t="inlineStr">
        <is>
          <t>pagó con billete de $100</t>
        </is>
      </c>
    </row>
    <row r="525">
      <c r="A525" t="inlineStr">
        <is>
          <t>F-10883</t>
        </is>
      </c>
      <c r="B525" s="3" t="n">
        <v>46245</v>
      </c>
      <c r="C525" t="inlineStr">
        <is>
          <t>factura</t>
        </is>
      </c>
      <c r="D525" t="inlineStr">
        <is>
          <t>SS01</t>
        </is>
      </c>
      <c r="E525" t="inlineStr">
        <is>
          <t>San Salvador Centro</t>
        </is>
      </c>
      <c r="F525" t="inlineStr">
        <is>
          <t>4a Calle Poniente #215</t>
        </is>
      </c>
      <c r="G525" t="inlineStr">
        <is>
          <t>San Salvador</t>
        </is>
      </c>
      <c r="H525" t="inlineStr">
        <is>
          <t>San Salvador</t>
        </is>
      </c>
      <c r="I525" t="inlineStr">
        <is>
          <t>Roberto Alfaro</t>
        </is>
      </c>
      <c r="J525" t="inlineStr">
        <is>
          <t>2221-4580</t>
        </is>
      </c>
      <c r="K525" t="inlineStr">
        <is>
          <t>Daniela Orellana</t>
        </is>
      </c>
      <c r="L525" t="inlineStr">
        <is>
          <t>Edwin Rivera Guevara</t>
        </is>
      </c>
      <c r="M525" t="inlineStr">
        <is>
          <t>03840762-1</t>
        </is>
      </c>
      <c r="N525" t="inlineStr">
        <is>
          <t>7817-8484</t>
        </is>
      </c>
      <c r="O525" t="inlineStr">
        <is>
          <t>Consumidor final</t>
        </is>
      </c>
      <c r="P525" t="inlineStr">
        <is>
          <t>BEB-003</t>
        </is>
      </c>
      <c r="Q525" t="inlineStr">
        <is>
          <t>Horchata en polvo 400g</t>
        </is>
      </c>
      <c r="R525" t="inlineStr">
        <is>
          <t>Abarrotes</t>
        </is>
      </c>
      <c r="S525" t="inlineStr">
        <is>
          <t>Bebidas Izalco</t>
        </is>
      </c>
      <c r="T525" t="inlineStr">
        <is>
          <t>2450-7700</t>
        </is>
      </c>
      <c r="U525" t="n">
        <v>2.6</v>
      </c>
      <c r="V525" t="n">
        <v>2</v>
      </c>
      <c r="W525" t="n">
        <v>0</v>
      </c>
      <c r="X525">
        <f>IFERROR(U525*V525*(1-W525/100),"")</f>
        <v/>
      </c>
      <c r="Y525">
        <f>IFERROR(ROUND(X525*0.13,2),"")</f>
        <v/>
      </c>
      <c r="Z525">
        <f>IFERROR(X525+Y525,"")</f>
        <v/>
      </c>
      <c r="AA525" t="inlineStr">
        <is>
          <t>Tarjeta</t>
        </is>
      </c>
      <c r="AB525" t="inlineStr">
        <is>
          <t>entregar en bodega</t>
        </is>
      </c>
    </row>
    <row r="526">
      <c r="A526" t="inlineStr">
        <is>
          <t>F-10883</t>
        </is>
      </c>
      <c r="B526" s="3" t="n">
        <v>46245</v>
      </c>
      <c r="C526" t="inlineStr">
        <is>
          <t>factura</t>
        </is>
      </c>
      <c r="D526" t="inlineStr">
        <is>
          <t>SS01</t>
        </is>
      </c>
      <c r="E526" t="inlineStr">
        <is>
          <t>SAN SALVADOR CENTRO</t>
        </is>
      </c>
      <c r="F526" t="inlineStr">
        <is>
          <t>4a Calle Poniente #215</t>
        </is>
      </c>
      <c r="G526" t="inlineStr">
        <is>
          <t>San Salvador</t>
        </is>
      </c>
      <c r="H526" t="inlineStr">
        <is>
          <t>San Salvador</t>
        </is>
      </c>
      <c r="I526" t="inlineStr">
        <is>
          <t>Roberto Alfaro</t>
        </is>
      </c>
      <c r="J526" t="inlineStr">
        <is>
          <t>2221-4580</t>
        </is>
      </c>
      <c r="K526" t="inlineStr">
        <is>
          <t>Daniela Orellana</t>
        </is>
      </c>
      <c r="L526" t="inlineStr">
        <is>
          <t>Edwin Rivera Guevara</t>
        </is>
      </c>
      <c r="M526" t="inlineStr">
        <is>
          <t>03840762-1</t>
        </is>
      </c>
      <c r="N526" t="inlineStr">
        <is>
          <t>7817-8484</t>
        </is>
      </c>
      <c r="O526" t="inlineStr">
        <is>
          <t>Consumidor final</t>
        </is>
      </c>
      <c r="P526" t="inlineStr">
        <is>
          <t>AZU-001</t>
        </is>
      </c>
      <c r="Q526" t="inlineStr">
        <is>
          <t>Azúcar blanca 2.5kg</t>
        </is>
      </c>
      <c r="R526" t="inlineStr">
        <is>
          <t>Abarrotes</t>
        </is>
      </c>
      <c r="S526" t="inlineStr">
        <is>
          <t>Granos del Pacífico</t>
        </is>
      </c>
      <c r="T526" t="inlineStr">
        <is>
          <t>2234-8890</t>
        </is>
      </c>
      <c r="U526" t="n">
        <v>3.1</v>
      </c>
      <c r="V526" t="n">
        <v>-1</v>
      </c>
      <c r="W526" t="n">
        <v>0</v>
      </c>
      <c r="X526">
        <f>IFERROR(U526*V526*(1-W526/100),"")</f>
        <v/>
      </c>
      <c r="Y526">
        <f>IFERROR(ROUND(X526*0.13,2),"")</f>
        <v/>
      </c>
      <c r="Z526">
        <f>IFERROR(X526+Y526,"")</f>
        <v/>
      </c>
      <c r="AA526" t="inlineStr">
        <is>
          <t>Tarjeta</t>
        </is>
      </c>
      <c r="AB526" t="inlineStr"/>
    </row>
    <row r="527">
      <c r="A527" t="inlineStr">
        <is>
          <t>F-10883</t>
        </is>
      </c>
      <c r="B527" s="3" t="n">
        <v>46245</v>
      </c>
      <c r="C527" t="inlineStr">
        <is>
          <t>factura</t>
        </is>
      </c>
      <c r="D527" t="inlineStr">
        <is>
          <t>SS01</t>
        </is>
      </c>
      <c r="E527" t="inlineStr">
        <is>
          <t>San Salvador Centro</t>
        </is>
      </c>
      <c r="F527" t="inlineStr">
        <is>
          <t>4a Calle Poniente #215</t>
        </is>
      </c>
      <c r="G527" t="inlineStr">
        <is>
          <t>San Salvador</t>
        </is>
      </c>
      <c r="H527" t="inlineStr">
        <is>
          <t>San Salvador</t>
        </is>
      </c>
      <c r="I527" t="inlineStr">
        <is>
          <t>Roberto Alfaro</t>
        </is>
      </c>
      <c r="J527" t="inlineStr">
        <is>
          <t>2221-4580</t>
        </is>
      </c>
      <c r="K527" t="inlineStr">
        <is>
          <t>Daniela Orellana</t>
        </is>
      </c>
      <c r="L527" t="inlineStr">
        <is>
          <t>Edwin Rivera Guevara</t>
        </is>
      </c>
      <c r="M527" t="inlineStr">
        <is>
          <t>03840762-1</t>
        </is>
      </c>
      <c r="N527" t="inlineStr">
        <is>
          <t>7817-8484</t>
        </is>
      </c>
      <c r="O527" t="inlineStr">
        <is>
          <t>Consumidor final</t>
        </is>
      </c>
      <c r="P527" t="inlineStr">
        <is>
          <t>HIG-002</t>
        </is>
      </c>
      <c r="Q527" t="inlineStr">
        <is>
          <t>Papel higiénico 4 rollos</t>
        </is>
      </c>
      <c r="R527" t="inlineStr">
        <is>
          <t>Higiene</t>
        </is>
      </c>
      <c r="S527" t="inlineStr">
        <is>
          <t>Higiene Total C.A.</t>
        </is>
      </c>
      <c r="T527" t="inlineStr">
        <is>
          <t>2207-5566</t>
        </is>
      </c>
      <c r="U527" t="n">
        <v>2.15</v>
      </c>
      <c r="V527" t="n">
        <v>2</v>
      </c>
      <c r="W527" t="n">
        <v>0</v>
      </c>
      <c r="X527">
        <f>IFERROR(U527*V527*(1-W527/100),"")</f>
        <v/>
      </c>
      <c r="Y527">
        <f>IFERROR(ROUND(X527*0.13,2),"")</f>
        <v/>
      </c>
      <c r="Z527">
        <f>IFERROR(X527+Y527,"")</f>
        <v/>
      </c>
      <c r="AA527" t="inlineStr">
        <is>
          <t>Tarjeta</t>
        </is>
      </c>
      <c r="AB527" t="inlineStr"/>
    </row>
    <row r="528">
      <c r="A528" t="inlineStr">
        <is>
          <t>F-10883</t>
        </is>
      </c>
      <c r="B528" s="3" t="n">
        <v>46245</v>
      </c>
      <c r="C528" t="inlineStr">
        <is>
          <t>factura</t>
        </is>
      </c>
      <c r="D528" t="inlineStr">
        <is>
          <t>SS01</t>
        </is>
      </c>
      <c r="E528" t="inlineStr">
        <is>
          <t>San Salvador Centro</t>
        </is>
      </c>
      <c r="F528" t="inlineStr">
        <is>
          <t>4a Calle Poniente #215</t>
        </is>
      </c>
      <c r="G528" t="inlineStr">
        <is>
          <t>San Salvador</t>
        </is>
      </c>
      <c r="H528" t="inlineStr">
        <is>
          <t>San Salvador</t>
        </is>
      </c>
      <c r="I528" t="inlineStr">
        <is>
          <t>Roberto Alfaro</t>
        </is>
      </c>
      <c r="J528" t="inlineStr">
        <is>
          <t>2221-4580</t>
        </is>
      </c>
      <c r="K528" t="inlineStr">
        <is>
          <t>Daniela Orellana</t>
        </is>
      </c>
      <c r="L528" t="inlineStr">
        <is>
          <t>Edwin Rivera Guevara</t>
        </is>
      </c>
      <c r="M528" t="inlineStr">
        <is>
          <t>03840762-1</t>
        </is>
      </c>
      <c r="N528" t="inlineStr">
        <is>
          <t>7817-8484</t>
        </is>
      </c>
      <c r="O528" t="inlineStr">
        <is>
          <t>Consumidor final</t>
        </is>
      </c>
      <c r="P528" t="inlineStr">
        <is>
          <t>CAF-001</t>
        </is>
      </c>
      <c r="Q528" t="inlineStr">
        <is>
          <t>Café molido 400g</t>
        </is>
      </c>
      <c r="R528" t="inlineStr">
        <is>
          <t>ABARROTES</t>
        </is>
      </c>
      <c r="S528" t="inlineStr">
        <is>
          <t>Café Volcán S.A.</t>
        </is>
      </c>
      <c r="T528" t="inlineStr">
        <is>
          <t>2510-3344</t>
        </is>
      </c>
      <c r="U528" t="inlineStr">
        <is>
          <t>4,25</t>
        </is>
      </c>
      <c r="V528" t="n">
        <v>2</v>
      </c>
      <c r="W528" t="n">
        <v>0</v>
      </c>
      <c r="X528">
        <f>IFERROR(U528*V528*(1-W528/100),"")</f>
        <v/>
      </c>
      <c r="Y528">
        <f>IFERROR(ROUND(X528*0.13,2),"")</f>
        <v/>
      </c>
      <c r="Z528">
        <f>IFERROR(X528+Y528,"")</f>
        <v/>
      </c>
      <c r="AA528" t="inlineStr">
        <is>
          <t>Tarjeta</t>
        </is>
      </c>
      <c r="AB528" t="inlineStr"/>
    </row>
    <row r="529">
      <c r="A529" t="inlineStr">
        <is>
          <t>F-10885</t>
        </is>
      </c>
      <c r="B529" s="3" t="n">
        <v>46275</v>
      </c>
      <c r="C529" t="inlineStr">
        <is>
          <t>FCF</t>
        </is>
      </c>
      <c r="D529" t="inlineStr">
        <is>
          <t>SA01</t>
        </is>
      </c>
      <c r="E529" t="inlineStr">
        <is>
          <t>Santa Ana</t>
        </is>
      </c>
      <c r="F529" t="inlineStr">
        <is>
          <t>Av. Independencia Sur #12</t>
        </is>
      </c>
      <c r="G529" t="inlineStr">
        <is>
          <t>Santa Ana</t>
        </is>
      </c>
      <c r="H529" t="inlineStr">
        <is>
          <t>Santa Ana</t>
        </is>
      </c>
      <c r="I529" t="inlineStr">
        <is>
          <t>Verónica Sandoval</t>
        </is>
      </c>
      <c r="J529" t="inlineStr">
        <is>
          <t>2440-9921</t>
        </is>
      </c>
      <c r="K529" t="inlineStr">
        <is>
          <t>Sofía Cáceres</t>
        </is>
      </c>
      <c r="L529" t="inlineStr">
        <is>
          <t>Patricia Guevara Quintanilla</t>
        </is>
      </c>
      <c r="M529" t="inlineStr">
        <is>
          <t>07265655-3</t>
        </is>
      </c>
      <c r="N529" t="inlineStr">
        <is>
          <t>6951-5407</t>
        </is>
      </c>
      <c r="O529" t="inlineStr">
        <is>
          <t>Consumidor final</t>
        </is>
      </c>
      <c r="P529" t="inlineStr">
        <is>
          <t>PAN-002</t>
        </is>
      </c>
      <c r="Q529" t="inlineStr">
        <is>
          <t>Semita alta</t>
        </is>
      </c>
      <c r="R529" t="inlineStr">
        <is>
          <t>Panadería</t>
        </is>
      </c>
      <c r="S529" t="inlineStr">
        <is>
          <t>Panificadora Ilopango</t>
        </is>
      </c>
      <c r="T529" t="inlineStr">
        <is>
          <t>2295-0081</t>
        </is>
      </c>
      <c r="U529" t="n">
        <v>1.75</v>
      </c>
      <c r="V529" t="n">
        <v>-6</v>
      </c>
      <c r="W529" t="n">
        <v>0</v>
      </c>
      <c r="X529">
        <f>IFERROR(U529*V529*(1-W529/100),"")</f>
        <v/>
      </c>
      <c r="Y529">
        <f>IFERROR(ROUND(X529*0.13,2),"")</f>
        <v/>
      </c>
      <c r="Z529">
        <f>IFERROR(X529+Y529,"")</f>
        <v/>
      </c>
      <c r="AA529" t="inlineStr">
        <is>
          <t>Tarjeta</t>
        </is>
      </c>
      <c r="AB529" t="inlineStr">
        <is>
          <t>entregar en bodega</t>
        </is>
      </c>
    </row>
    <row r="530">
      <c r="A530" t="inlineStr">
        <is>
          <t>F-10885</t>
        </is>
      </c>
      <c r="B530" s="3" t="n">
        <v>46275</v>
      </c>
      <c r="C530" t="inlineStr">
        <is>
          <t>FCF</t>
        </is>
      </c>
      <c r="D530" t="inlineStr">
        <is>
          <t>SA01</t>
        </is>
      </c>
      <c r="E530" t="inlineStr">
        <is>
          <t>Santa  Ana</t>
        </is>
      </c>
      <c r="F530" t="inlineStr">
        <is>
          <t>Av. Independencia Sur #12</t>
        </is>
      </c>
      <c r="G530" t="inlineStr">
        <is>
          <t>Santa Ana</t>
        </is>
      </c>
      <c r="H530" t="inlineStr">
        <is>
          <t>Santa Ana</t>
        </is>
      </c>
      <c r="I530" t="inlineStr">
        <is>
          <t>Verónica Sandoval</t>
        </is>
      </c>
      <c r="J530" t="inlineStr">
        <is>
          <t>2440-9921</t>
        </is>
      </c>
      <c r="K530" t="inlineStr">
        <is>
          <t>Sofía Cáceres</t>
        </is>
      </c>
      <c r="L530" t="inlineStr">
        <is>
          <t>Patricia Guevara Quintanilla</t>
        </is>
      </c>
      <c r="M530" t="inlineStr">
        <is>
          <t>07265655-3</t>
        </is>
      </c>
      <c r="N530" t="inlineStr">
        <is>
          <t>6951-5407</t>
        </is>
      </c>
      <c r="O530" t="inlineStr">
        <is>
          <t>Consumidor final</t>
        </is>
      </c>
      <c r="P530" t="inlineStr">
        <is>
          <t>LAC-002</t>
        </is>
      </c>
      <c r="Q530" t="inlineStr">
        <is>
          <t>Crema 500ml</t>
        </is>
      </c>
      <c r="R530" t="inlineStr">
        <is>
          <t>Lácteos</t>
        </is>
      </c>
      <c r="S530" t="inlineStr">
        <is>
          <t>Lácteos Chalate</t>
        </is>
      </c>
      <c r="T530" t="inlineStr">
        <is>
          <t>2335-1020</t>
        </is>
      </c>
      <c r="U530" t="n">
        <v>2.25</v>
      </c>
      <c r="V530" t="n">
        <v>-1</v>
      </c>
      <c r="W530" t="n">
        <v>0</v>
      </c>
      <c r="X530">
        <f>IFERROR(U530*V530*(1-W530/100),"")</f>
        <v/>
      </c>
      <c r="Y530">
        <f>IFERROR(ROUND(X530*0.13,2),"")</f>
        <v/>
      </c>
      <c r="Z530">
        <f>IFERROR(X530+Y530,"")</f>
        <v/>
      </c>
      <c r="AA530" t="inlineStr">
        <is>
          <t>Tarjeta</t>
        </is>
      </c>
      <c r="AB530" t="inlineStr"/>
    </row>
    <row r="531">
      <c r="A531" t="inlineStr">
        <is>
          <t>F-10886</t>
        </is>
      </c>
      <c r="B531" s="3" t="n">
        <v>46279</v>
      </c>
      <c r="C531" t="inlineStr">
        <is>
          <t>factura</t>
        </is>
      </c>
      <c r="D531" t="inlineStr">
        <is>
          <t>SS03</t>
        </is>
      </c>
      <c r="E531" t="inlineStr">
        <is>
          <t>soyapango</t>
        </is>
      </c>
      <c r="F531" t="inlineStr">
        <is>
          <t>Blvd. del Ejército km 4</t>
        </is>
      </c>
      <c r="G531" t="inlineStr">
        <is>
          <t>Soyapango</t>
        </is>
      </c>
      <c r="H531" t="inlineStr">
        <is>
          <t>San Salvador</t>
        </is>
      </c>
      <c r="I531" t="inlineStr">
        <is>
          <t>Karla Henríquez</t>
        </is>
      </c>
      <c r="J531" t="inlineStr">
        <is>
          <t>2277-3402</t>
        </is>
      </c>
      <c r="K531" t="inlineStr">
        <is>
          <t>Marta Gómez</t>
        </is>
      </c>
      <c r="L531" t="inlineStr">
        <is>
          <t>Carmen Quintanilla Mejía</t>
        </is>
      </c>
      <c r="M531" t="inlineStr">
        <is>
          <t>05832730-5</t>
        </is>
      </c>
      <c r="N531" t="inlineStr">
        <is>
          <t>6863-9414</t>
        </is>
      </c>
      <c r="O531" t="inlineStr">
        <is>
          <t>Consumidor final</t>
        </is>
      </c>
      <c r="P531" t="inlineStr">
        <is>
          <t>LAC-002</t>
        </is>
      </c>
      <c r="Q531" t="inlineStr">
        <is>
          <t>Crema 500ml</t>
        </is>
      </c>
      <c r="R531" t="inlineStr">
        <is>
          <t>Lacteos</t>
        </is>
      </c>
      <c r="S531" t="inlineStr">
        <is>
          <t>Lácteos Chalate</t>
        </is>
      </c>
      <c r="T531" t="inlineStr">
        <is>
          <t>7120-4455</t>
        </is>
      </c>
      <c r="U531" t="n">
        <v>2.25</v>
      </c>
      <c r="V531" t="n">
        <v>3</v>
      </c>
      <c r="W531" t="n">
        <v>0</v>
      </c>
      <c r="X531">
        <f>IFERROR(U531*V531*(1-W531/100),"")</f>
        <v/>
      </c>
      <c r="Y531">
        <f>IFERROR(ROUND(X531*0.13,2),"")</f>
        <v/>
      </c>
      <c r="Z531">
        <f>IFERROR(X531+Y531,"")</f>
        <v/>
      </c>
      <c r="AA531" t="inlineStr">
        <is>
          <t>Efectivo</t>
        </is>
      </c>
      <c r="AB531" t="inlineStr"/>
    </row>
    <row r="532">
      <c r="A532" t="inlineStr">
        <is>
          <t>F-10887</t>
        </is>
      </c>
      <c r="B532" s="3" t="n">
        <v>46261</v>
      </c>
      <c r="C532" t="inlineStr">
        <is>
          <t>factura</t>
        </is>
      </c>
      <c r="D532" t="inlineStr">
        <is>
          <t>LL01</t>
        </is>
      </c>
      <c r="E532" t="inlineStr">
        <is>
          <t>Sta. Tecla</t>
        </is>
      </c>
      <c r="F532" t="inlineStr">
        <is>
          <t>Calle Daniel Hernández #18</t>
        </is>
      </c>
      <c r="G532" t="inlineStr">
        <is>
          <t>Santa Tecla</t>
        </is>
      </c>
      <c r="H532" t="inlineStr">
        <is>
          <t>La Libertad</t>
        </is>
      </c>
      <c r="I532" t="inlineStr">
        <is>
          <t>Óscar Rivas</t>
        </is>
      </c>
      <c r="J532" t="inlineStr">
        <is>
          <t>2228-7731</t>
        </is>
      </c>
      <c r="K532" t="inlineStr">
        <is>
          <t>Andrea Pineda</t>
        </is>
      </c>
      <c r="L532" t="inlineStr">
        <is>
          <t>Carmen Quintanilla Mejía</t>
        </is>
      </c>
      <c r="M532" t="inlineStr">
        <is>
          <t>05832730-5</t>
        </is>
      </c>
      <c r="N532" t="inlineStr">
        <is>
          <t>6863-9414</t>
        </is>
      </c>
      <c r="O532" t="inlineStr">
        <is>
          <t>Consumidor final</t>
        </is>
      </c>
      <c r="P532" t="inlineStr">
        <is>
          <t>PAN-001</t>
        </is>
      </c>
      <c r="Q532" t="inlineStr">
        <is>
          <t>Pan francés bolsa 10u</t>
        </is>
      </c>
      <c r="R532" t="inlineStr">
        <is>
          <t>Panadería</t>
        </is>
      </c>
      <c r="S532" t="inlineStr">
        <is>
          <t>Panificadora Ilopango</t>
        </is>
      </c>
      <c r="T532" t="inlineStr">
        <is>
          <t>2295-0081</t>
        </is>
      </c>
      <c r="U532" t="n">
        <v>1</v>
      </c>
      <c r="V532" t="n">
        <v>1</v>
      </c>
      <c r="W532" t="n">
        <v>0</v>
      </c>
      <c r="X532">
        <f>IFERROR(U532*V532*(1-W532/100),"")</f>
        <v/>
      </c>
      <c r="Y532">
        <f>IFERROR(ROUND(X532*0.13,2),"")</f>
        <v/>
      </c>
      <c r="Z532">
        <f>IFERROR(X532+Y532,"")</f>
        <v/>
      </c>
      <c r="AA532" t="inlineStr">
        <is>
          <t>Efectivo</t>
        </is>
      </c>
      <c r="AB532" t="inlineStr"/>
    </row>
    <row r="533">
      <c r="A533" t="inlineStr">
        <is>
          <t>F-10887</t>
        </is>
      </c>
      <c r="B533" s="3" t="n">
        <v>46261</v>
      </c>
      <c r="C533" t="inlineStr">
        <is>
          <t>factura</t>
        </is>
      </c>
      <c r="D533" t="inlineStr"/>
      <c r="E533" t="inlineStr">
        <is>
          <t>Sta. Tecla</t>
        </is>
      </c>
      <c r="F533" t="inlineStr">
        <is>
          <t>Calle Daniel Hernández #18</t>
        </is>
      </c>
      <c r="G533" t="inlineStr">
        <is>
          <t>Santa Tecla</t>
        </is>
      </c>
      <c r="H533" t="inlineStr">
        <is>
          <t>La Libertad</t>
        </is>
      </c>
      <c r="I533" t="inlineStr">
        <is>
          <t>Óscar Rivas</t>
        </is>
      </c>
      <c r="J533" t="inlineStr">
        <is>
          <t>2228-7731</t>
        </is>
      </c>
      <c r="K533" t="inlineStr">
        <is>
          <t>Andrea Pineda</t>
        </is>
      </c>
      <c r="L533" t="inlineStr">
        <is>
          <t>Carmen Quintanilla Mejía</t>
        </is>
      </c>
      <c r="M533" t="inlineStr">
        <is>
          <t>05832730-5</t>
        </is>
      </c>
      <c r="N533" t="inlineStr">
        <is>
          <t>6863-9414</t>
        </is>
      </c>
      <c r="O533" t="inlineStr">
        <is>
          <t>Consumidor final</t>
        </is>
      </c>
      <c r="P533" t="inlineStr">
        <is>
          <t>HIG-001</t>
        </is>
      </c>
      <c r="Q533" t="inlineStr">
        <is>
          <t>Detergente 1kg</t>
        </is>
      </c>
      <c r="R533" t="inlineStr">
        <is>
          <t>Higiene</t>
        </is>
      </c>
      <c r="S533" t="inlineStr">
        <is>
          <t>Higiene Total C.A.</t>
        </is>
      </c>
      <c r="T533" t="inlineStr">
        <is>
          <t>2207-5566</t>
        </is>
      </c>
      <c r="U533" t="n">
        <v>3.45</v>
      </c>
      <c r="V533" t="n">
        <v>1</v>
      </c>
      <c r="W533" t="n">
        <v>0</v>
      </c>
      <c r="X533">
        <f>IFERROR(U533*V533*(1-W533/100),"")</f>
        <v/>
      </c>
      <c r="Y533">
        <f>IFERROR(ROUND(X533*0.13,2),"")</f>
        <v/>
      </c>
      <c r="Z533">
        <f>IFERROR(X533+Y533,"")</f>
        <v/>
      </c>
      <c r="AA533" t="inlineStr">
        <is>
          <t>Efectivo</t>
        </is>
      </c>
      <c r="AB533" t="inlineStr"/>
    </row>
    <row r="534">
      <c r="A534" t="inlineStr">
        <is>
          <t>F-10887</t>
        </is>
      </c>
      <c r="B534" s="3" t="n">
        <v>46261</v>
      </c>
      <c r="C534" t="inlineStr">
        <is>
          <t>factura</t>
        </is>
      </c>
      <c r="D534" t="inlineStr">
        <is>
          <t>LL01</t>
        </is>
      </c>
      <c r="E534" t="inlineStr">
        <is>
          <t>Sta. Tecla</t>
        </is>
      </c>
      <c r="F534" t="inlineStr">
        <is>
          <t>Calle Daniel Hernández #18</t>
        </is>
      </c>
      <c r="G534" t="inlineStr">
        <is>
          <t>Santa Tecla</t>
        </is>
      </c>
      <c r="H534" t="inlineStr">
        <is>
          <t>La Libertad</t>
        </is>
      </c>
      <c r="I534" t="inlineStr">
        <is>
          <t>Óscar Rivas</t>
        </is>
      </c>
      <c r="J534" t="inlineStr">
        <is>
          <t>2228-7731</t>
        </is>
      </c>
      <c r="K534" t="inlineStr">
        <is>
          <t>Andrea Pineda</t>
        </is>
      </c>
      <c r="L534" t="inlineStr">
        <is>
          <t>Carmen Quintanilla Mejía</t>
        </is>
      </c>
      <c r="M534" t="inlineStr">
        <is>
          <t>05832730-5</t>
        </is>
      </c>
      <c r="N534" t="inlineStr">
        <is>
          <t>6863-9414</t>
        </is>
      </c>
      <c r="O534" t="inlineStr">
        <is>
          <t>Consumidor final</t>
        </is>
      </c>
      <c r="P534" t="inlineStr">
        <is>
          <t>BEB-001</t>
        </is>
      </c>
      <c r="Q534" t="inlineStr">
        <is>
          <t>Gaseosa 2.5L</t>
        </is>
      </c>
      <c r="R534" t="inlineStr">
        <is>
          <t>Bebidas</t>
        </is>
      </c>
      <c r="S534" t="inlineStr">
        <is>
          <t>Bebidas Izalco</t>
        </is>
      </c>
      <c r="T534" t="inlineStr">
        <is>
          <t>2450-7700</t>
        </is>
      </c>
      <c r="U534" t="n">
        <v>1.95</v>
      </c>
      <c r="V534" t="n">
        <v>2</v>
      </c>
      <c r="W534" t="n">
        <v>0</v>
      </c>
      <c r="X534">
        <f>IFERROR(U534*V534*(1-W534/100),"")</f>
        <v/>
      </c>
      <c r="Y534">
        <f>IFERROR(ROUND(X534*0.13,2),"")</f>
        <v/>
      </c>
      <c r="Z534">
        <f>IFERROR(X534+Y534,"")</f>
        <v/>
      </c>
      <c r="AA534" t="inlineStr">
        <is>
          <t>Efectivo</t>
        </is>
      </c>
      <c r="AB534" t="inlineStr">
        <is>
          <t>precio especial autorizado por gerente</t>
        </is>
      </c>
    </row>
    <row r="535">
      <c r="A535" t="inlineStr">
        <is>
          <t>F-10887</t>
        </is>
      </c>
      <c r="B535" t="inlineStr">
        <is>
          <t>27/08/2026</t>
        </is>
      </c>
      <c r="C535" t="inlineStr">
        <is>
          <t>factura</t>
        </is>
      </c>
      <c r="D535" t="inlineStr">
        <is>
          <t>LL01</t>
        </is>
      </c>
      <c r="E535" t="inlineStr">
        <is>
          <t>SANTA TECLA</t>
        </is>
      </c>
      <c r="F535" t="inlineStr">
        <is>
          <t>Calle Daniel Hernández #18</t>
        </is>
      </c>
      <c r="G535" t="inlineStr">
        <is>
          <t>Santa Tecla</t>
        </is>
      </c>
      <c r="H535" t="inlineStr">
        <is>
          <t>La Libertad</t>
        </is>
      </c>
      <c r="I535" t="inlineStr">
        <is>
          <t>Óscar Rivas</t>
        </is>
      </c>
      <c r="J535" t="inlineStr">
        <is>
          <t>2228-7731</t>
        </is>
      </c>
      <c r="K535" t="inlineStr">
        <is>
          <t>Andrea Pineda</t>
        </is>
      </c>
      <c r="L535" t="inlineStr">
        <is>
          <t>Carmen Quintanilla Mejía</t>
        </is>
      </c>
      <c r="M535" t="inlineStr">
        <is>
          <t>05832730-5</t>
        </is>
      </c>
      <c r="N535" t="inlineStr">
        <is>
          <t>6863-9414</t>
        </is>
      </c>
      <c r="O535" t="inlineStr">
        <is>
          <t>Consumidor final</t>
        </is>
      </c>
      <c r="P535" t="inlineStr">
        <is>
          <t>HIG-003</t>
        </is>
      </c>
      <c r="Q535" t="inlineStr">
        <is>
          <t>Jabón de lavar barra</t>
        </is>
      </c>
      <c r="R535" t="inlineStr">
        <is>
          <t>Limpieza</t>
        </is>
      </c>
      <c r="S535" t="inlineStr">
        <is>
          <t>Higiene Total C.A.</t>
        </is>
      </c>
      <c r="T535" t="inlineStr">
        <is>
          <t>2207-5566</t>
        </is>
      </c>
      <c r="U535" t="n">
        <v>0.75</v>
      </c>
      <c r="V535" t="n">
        <v>2</v>
      </c>
      <c r="W535" t="n">
        <v>0</v>
      </c>
      <c r="X535">
        <f>IFERROR(U535*V535*(1-W535/100),"")</f>
        <v/>
      </c>
      <c r="Y535">
        <f>IFERROR(ROUND(X535*0.13,2),"")</f>
        <v/>
      </c>
      <c r="Z535">
        <f>IFERROR(X535+Y535,"")</f>
        <v/>
      </c>
      <c r="AA535" t="inlineStr">
        <is>
          <t>Efectivo</t>
        </is>
      </c>
      <c r="AB535" t="inlineStr"/>
    </row>
    <row r="536">
      <c r="A536" t="inlineStr">
        <is>
          <t>F-10889</t>
        </is>
      </c>
      <c r="B536" s="3" t="n">
        <v>46261</v>
      </c>
      <c r="C536" t="inlineStr">
        <is>
          <t>CCF</t>
        </is>
      </c>
      <c r="D536" t="inlineStr">
        <is>
          <t>SS03</t>
        </is>
      </c>
      <c r="E536" t="inlineStr">
        <is>
          <t xml:space="preserve">SOYAPANGO </t>
        </is>
      </c>
      <c r="F536" t="inlineStr">
        <is>
          <t>Blvd. del Ejército km 4</t>
        </is>
      </c>
      <c r="G536" t="inlineStr">
        <is>
          <t>Soyapango</t>
        </is>
      </c>
      <c r="H536" t="inlineStr">
        <is>
          <t>San Salvador</t>
        </is>
      </c>
      <c r="I536" t="inlineStr">
        <is>
          <t>Karla Henríquez</t>
        </is>
      </c>
      <c r="J536" t="inlineStr">
        <is>
          <t>2277-3402</t>
        </is>
      </c>
      <c r="K536" t="inlineStr">
        <is>
          <t>Carlos Molina</t>
        </is>
      </c>
      <c r="L536" t="inlineStr">
        <is>
          <t>Hotel Brisas del Mar</t>
        </is>
      </c>
      <c r="M536" t="inlineStr">
        <is>
          <t>280004-0</t>
        </is>
      </c>
      <c r="N536" t="inlineStr">
        <is>
          <t>2129-2911</t>
        </is>
      </c>
      <c r="O536" t="inlineStr">
        <is>
          <t>Contribuyente</t>
        </is>
      </c>
      <c r="P536" t="inlineStr">
        <is>
          <t>HIG-003</t>
        </is>
      </c>
      <c r="Q536" t="inlineStr">
        <is>
          <t>Jabón de lavar barra</t>
        </is>
      </c>
      <c r="R536" t="inlineStr">
        <is>
          <t>Limpieza</t>
        </is>
      </c>
      <c r="S536" t="inlineStr">
        <is>
          <t>Higiene Total C.A.</t>
        </is>
      </c>
      <c r="T536" t="inlineStr">
        <is>
          <t>2207-5566</t>
        </is>
      </c>
      <c r="U536" t="n">
        <v>0.75</v>
      </c>
      <c r="V536" t="n">
        <v>24</v>
      </c>
      <c r="W536" t="n">
        <v>0</v>
      </c>
      <c r="X536">
        <f>IFERROR(U536*V536*(1-W536/100),"")</f>
        <v/>
      </c>
      <c r="Y536">
        <f>IFERROR(ROUND(X536*0.13,2),"")</f>
        <v/>
      </c>
      <c r="Z536">
        <f>IFERROR(X536+Y536,"")</f>
        <v/>
      </c>
      <c r="AA536" t="inlineStr">
        <is>
          <t>Tarjeta</t>
        </is>
      </c>
      <c r="AB536" t="inlineStr">
        <is>
          <t>Llamar al 7788-1234 antes de entregar</t>
        </is>
      </c>
    </row>
    <row r="537">
      <c r="A537" t="inlineStr">
        <is>
          <t>F-10892</t>
        </is>
      </c>
      <c r="B537" t="inlineStr">
        <is>
          <t>28/08/2026</t>
        </is>
      </c>
      <c r="C537" t="inlineStr">
        <is>
          <t>Factura</t>
        </is>
      </c>
      <c r="D537" t="inlineStr">
        <is>
          <t>SA01</t>
        </is>
      </c>
      <c r="E537" t="inlineStr">
        <is>
          <t>Santa  Ana</t>
        </is>
      </c>
      <c r="F537" t="inlineStr">
        <is>
          <t>Av. Independencia Sur #12</t>
        </is>
      </c>
      <c r="G537" t="inlineStr">
        <is>
          <t>Santa Ana</t>
        </is>
      </c>
      <c r="H537" t="inlineStr">
        <is>
          <t>Santa Ana</t>
        </is>
      </c>
      <c r="I537" t="inlineStr">
        <is>
          <t>Mauricio Linares</t>
        </is>
      </c>
      <c r="J537" t="inlineStr">
        <is>
          <t>2440-9921</t>
        </is>
      </c>
      <c r="K537" t="inlineStr">
        <is>
          <t>Sofía Cáceres</t>
        </is>
      </c>
      <c r="L537" t="inlineStr">
        <is>
          <t>Silvia Argueta Mejía</t>
        </is>
      </c>
      <c r="M537" t="inlineStr">
        <is>
          <t>07045862-9</t>
        </is>
      </c>
      <c r="N537" t="inlineStr">
        <is>
          <t>6625-9486</t>
        </is>
      </c>
      <c r="O537" t="inlineStr">
        <is>
          <t>Consumidor final</t>
        </is>
      </c>
      <c r="P537" t="inlineStr">
        <is>
          <t>HIG-001</t>
        </is>
      </c>
      <c r="Q537" t="inlineStr">
        <is>
          <t>Detergente 1kg</t>
        </is>
      </c>
      <c r="R537" t="inlineStr">
        <is>
          <t>Limpieza</t>
        </is>
      </c>
      <c r="S537" t="inlineStr">
        <is>
          <t>Higiene Total C.A.</t>
        </is>
      </c>
      <c r="T537" t="inlineStr">
        <is>
          <t>2207-5566</t>
        </is>
      </c>
      <c r="U537" t="n">
        <v>3.45</v>
      </c>
      <c r="V537" t="n">
        <v>1</v>
      </c>
      <c r="W537" t="n">
        <v>0</v>
      </c>
      <c r="X537">
        <f>IFERROR(U537*V537*(1-W537/100),"")</f>
        <v/>
      </c>
      <c r="Y537">
        <f>IFERROR(ROUND(X537*0.13,2),"")</f>
        <v/>
      </c>
      <c r="Z537">
        <f>IFERROR(X537+Y537,"")</f>
        <v/>
      </c>
      <c r="AA537" t="inlineStr">
        <is>
          <t>efectivo</t>
        </is>
      </c>
      <c r="AB537" t="inlineStr">
        <is>
          <t>Cliente frecuente</t>
        </is>
      </c>
    </row>
    <row r="538">
      <c r="A538" t="inlineStr">
        <is>
          <t>F-10892</t>
        </is>
      </c>
      <c r="B538" s="3" t="n">
        <v>46262</v>
      </c>
      <c r="C538" t="inlineStr">
        <is>
          <t>Factura</t>
        </is>
      </c>
      <c r="D538" t="inlineStr">
        <is>
          <t>SA01</t>
        </is>
      </c>
      <c r="E538" t="inlineStr">
        <is>
          <t>STA ANA</t>
        </is>
      </c>
      <c r="F538" t="inlineStr">
        <is>
          <t>Av. Independencia Sur #12</t>
        </is>
      </c>
      <c r="G538" t="inlineStr">
        <is>
          <t>Santa Ana</t>
        </is>
      </c>
      <c r="H538" t="inlineStr">
        <is>
          <t>Santa Ana</t>
        </is>
      </c>
      <c r="I538" t="inlineStr">
        <is>
          <t>Mauricio Linares</t>
        </is>
      </c>
      <c r="J538" t="inlineStr">
        <is>
          <t>2440-9921</t>
        </is>
      </c>
      <c r="K538" t="inlineStr">
        <is>
          <t>Sofía Cáceres</t>
        </is>
      </c>
      <c r="L538" t="inlineStr">
        <is>
          <t>Silvia Argueta Mejía</t>
        </is>
      </c>
      <c r="M538" t="inlineStr">
        <is>
          <t>07045862-9</t>
        </is>
      </c>
      <c r="N538" t="inlineStr">
        <is>
          <t>6625-9486</t>
        </is>
      </c>
      <c r="O538" t="inlineStr">
        <is>
          <t>Consumidor final</t>
        </is>
      </c>
      <c r="P538" t="inlineStr">
        <is>
          <t>BEB-002</t>
        </is>
      </c>
      <c r="Q538" t="inlineStr">
        <is>
          <t>Agua purificada 1 galón</t>
        </is>
      </c>
      <c r="R538" t="inlineStr">
        <is>
          <t>Bebidas</t>
        </is>
      </c>
      <c r="S538" t="inlineStr">
        <is>
          <t>Bebidas Izalco</t>
        </is>
      </c>
      <c r="T538" t="inlineStr">
        <is>
          <t>2450-7700</t>
        </is>
      </c>
      <c r="U538" t="n">
        <v>1.1</v>
      </c>
      <c r="V538" t="n">
        <v>2</v>
      </c>
      <c r="W538" t="n">
        <v>0</v>
      </c>
      <c r="X538">
        <f>IFERROR(U538*V538*(1-W538/100),"")</f>
        <v/>
      </c>
      <c r="Y538">
        <f>IFERROR(ROUND(X538*0.13,2),"")</f>
        <v/>
      </c>
      <c r="Z538">
        <f>IFERROR(X538+Y538,"")</f>
        <v/>
      </c>
      <c r="AA538" t="inlineStr">
        <is>
          <t>efectivo</t>
        </is>
      </c>
      <c r="AB538" t="inlineStr">
        <is>
          <t>entregar en bodega</t>
        </is>
      </c>
    </row>
    <row r="539">
      <c r="A539" t="inlineStr">
        <is>
          <t>F-10895</t>
        </is>
      </c>
      <c r="B539" s="3" t="n">
        <v>46277</v>
      </c>
      <c r="C539" t="inlineStr">
        <is>
          <t>Factura</t>
        </is>
      </c>
      <c r="D539" t="inlineStr">
        <is>
          <t>LL01</t>
        </is>
      </c>
      <c r="E539" t="inlineStr">
        <is>
          <t>Sta. Tecla</t>
        </is>
      </c>
      <c r="F539" t="inlineStr">
        <is>
          <t>Calle Daniel Hernández #18</t>
        </is>
      </c>
      <c r="G539" t="inlineStr">
        <is>
          <t>Santa Tecla</t>
        </is>
      </c>
      <c r="H539" t="inlineStr">
        <is>
          <t>La Libertad</t>
        </is>
      </c>
      <c r="I539" t="inlineStr">
        <is>
          <t>Óscar Rivas</t>
        </is>
      </c>
      <c r="J539" t="inlineStr">
        <is>
          <t>2228-7731</t>
        </is>
      </c>
      <c r="K539" t="inlineStr">
        <is>
          <t>Andrea Pineda</t>
        </is>
      </c>
      <c r="L539" t="inlineStr">
        <is>
          <t>Rosa Flores Cornejo</t>
        </is>
      </c>
      <c r="M539" t="inlineStr">
        <is>
          <t>00476760-8</t>
        </is>
      </c>
      <c r="N539" t="inlineStr">
        <is>
          <t>7668-7502</t>
        </is>
      </c>
      <c r="O539" t="inlineStr">
        <is>
          <t>Consumidor final</t>
        </is>
      </c>
      <c r="P539" t="inlineStr">
        <is>
          <t>HIG-003</t>
        </is>
      </c>
      <c r="Q539" t="inlineStr">
        <is>
          <t>Jabón de lavar barra</t>
        </is>
      </c>
      <c r="R539" t="inlineStr">
        <is>
          <t>Limpieza</t>
        </is>
      </c>
      <c r="S539" t="inlineStr">
        <is>
          <t>Higiene Total C.A.</t>
        </is>
      </c>
      <c r="T539" t="inlineStr">
        <is>
          <t>2207-5566</t>
        </is>
      </c>
      <c r="U539" t="n">
        <v>0.75</v>
      </c>
      <c r="V539" t="n">
        <v>-2</v>
      </c>
      <c r="W539" t="n">
        <v>0</v>
      </c>
      <c r="X539">
        <f>IFERROR(U539*V539*(1-W539/100),"")</f>
        <v/>
      </c>
      <c r="Y539">
        <f>IFERROR(ROUND(X539*0.13,2),"")</f>
        <v/>
      </c>
      <c r="Z539">
        <f>IFERROR(X539+Y539,"")</f>
        <v/>
      </c>
      <c r="AA539" t="inlineStr">
        <is>
          <t>Tarjeta</t>
        </is>
      </c>
      <c r="AB539" t="inlineStr">
        <is>
          <t>pagó con billete de $100</t>
        </is>
      </c>
    </row>
    <row r="540">
      <c r="A540" t="inlineStr">
        <is>
          <t>F-10895</t>
        </is>
      </c>
      <c r="B540" s="3" t="n">
        <v>46277</v>
      </c>
      <c r="C540" t="inlineStr">
        <is>
          <t>Factura</t>
        </is>
      </c>
      <c r="D540" t="inlineStr">
        <is>
          <t>LL01</t>
        </is>
      </c>
      <c r="E540" t="inlineStr">
        <is>
          <t>Santa Tecla</t>
        </is>
      </c>
      <c r="F540" t="inlineStr">
        <is>
          <t>Calle Daniel Hernández #18</t>
        </is>
      </c>
      <c r="G540" t="inlineStr">
        <is>
          <t>Santa Tecla</t>
        </is>
      </c>
      <c r="H540" t="inlineStr">
        <is>
          <t>La Libertad</t>
        </is>
      </c>
      <c r="I540" t="inlineStr">
        <is>
          <t>Óscar Rivas</t>
        </is>
      </c>
      <c r="J540" t="inlineStr">
        <is>
          <t>2228-7731</t>
        </is>
      </c>
      <c r="K540" t="inlineStr">
        <is>
          <t>Andrea Pineda</t>
        </is>
      </c>
      <c r="L540" t="inlineStr">
        <is>
          <t>Rosa Flores Cornejo</t>
        </is>
      </c>
      <c r="M540" t="inlineStr">
        <is>
          <t>00476760-8</t>
        </is>
      </c>
      <c r="N540" t="inlineStr">
        <is>
          <t>7668-7502</t>
        </is>
      </c>
      <c r="O540" t="inlineStr">
        <is>
          <t>Consumidor final</t>
        </is>
      </c>
      <c r="P540" t="inlineStr">
        <is>
          <t>BEB-002</t>
        </is>
      </c>
      <c r="Q540" t="inlineStr">
        <is>
          <t>Agua purificada 1 galón</t>
        </is>
      </c>
      <c r="R540" t="inlineStr">
        <is>
          <t>Bebidas</t>
        </is>
      </c>
      <c r="S540" t="inlineStr">
        <is>
          <t>Bebidas Izalco</t>
        </is>
      </c>
      <c r="T540" t="inlineStr">
        <is>
          <t>2450-7700</t>
        </is>
      </c>
      <c r="U540" t="n">
        <v>1.1</v>
      </c>
      <c r="V540" t="n">
        <v>4</v>
      </c>
      <c r="W540" t="n">
        <v>0</v>
      </c>
      <c r="X540">
        <f>IFERROR(U540*V540*(1-W540/100),"")</f>
        <v/>
      </c>
      <c r="Y540">
        <f>IFERROR(ROUND(X540*0.13,2),"")</f>
        <v/>
      </c>
      <c r="Z540">
        <f>IFERROR(X540+Y540,"")</f>
        <v/>
      </c>
      <c r="AA540" t="inlineStr">
        <is>
          <t>Tarjeta</t>
        </is>
      </c>
      <c r="AB540" t="inlineStr">
        <is>
          <t>pagó con billete de $100</t>
        </is>
      </c>
    </row>
    <row r="541">
      <c r="A541" t="inlineStr">
        <is>
          <t>F-10897</t>
        </is>
      </c>
      <c r="B541" s="3" t="n">
        <v>46262</v>
      </c>
      <c r="C541" t="inlineStr">
        <is>
          <t>Factura</t>
        </is>
      </c>
      <c r="D541" t="inlineStr">
        <is>
          <t>SS02</t>
        </is>
      </c>
      <c r="E541" t="inlineStr">
        <is>
          <t>Col. Escalón</t>
        </is>
      </c>
      <c r="F541" t="inlineStr">
        <is>
          <t>Paseo General Escalón #3910</t>
        </is>
      </c>
      <c r="G541" t="inlineStr">
        <is>
          <t>San Salvador</t>
        </is>
      </c>
      <c r="H541" t="inlineStr">
        <is>
          <t>San Salvador</t>
        </is>
      </c>
      <c r="I541" t="inlineStr">
        <is>
          <t>Claudia Menjívar</t>
        </is>
      </c>
      <c r="J541" t="inlineStr">
        <is>
          <t>2264-1190</t>
        </is>
      </c>
      <c r="K541" t="inlineStr">
        <is>
          <t>Kevin Benítez</t>
        </is>
      </c>
      <c r="L541" t="inlineStr">
        <is>
          <t>Walter García Alvarado</t>
        </is>
      </c>
      <c r="M541" t="inlineStr">
        <is>
          <t>08409777-4</t>
        </is>
      </c>
      <c r="N541" t="inlineStr">
        <is>
          <t>6398-6837</t>
        </is>
      </c>
      <c r="O541" t="inlineStr">
        <is>
          <t>Consumidor final</t>
        </is>
      </c>
      <c r="P541" t="inlineStr">
        <is>
          <t>LAC-001</t>
        </is>
      </c>
      <c r="Q541" t="inlineStr">
        <is>
          <t>Quesillo 1lb</t>
        </is>
      </c>
      <c r="R541" t="inlineStr">
        <is>
          <t>Lácteos</t>
        </is>
      </c>
      <c r="S541" t="inlineStr">
        <is>
          <t>Lácteos Chalate</t>
        </is>
      </c>
      <c r="T541" t="inlineStr">
        <is>
          <t>2335-1020</t>
        </is>
      </c>
      <c r="U541" t="n">
        <v>3.5</v>
      </c>
      <c r="V541" t="n">
        <v>1</v>
      </c>
      <c r="W541" t="n">
        <v>0</v>
      </c>
      <c r="X541">
        <f>IFERROR(U541*V541*(1-W541/100),"")</f>
        <v/>
      </c>
      <c r="Y541">
        <f>IFERROR(ROUND(X541*0.13,2),"")</f>
        <v/>
      </c>
      <c r="Z541">
        <f>IFERROR(X541+Y541,"")</f>
        <v/>
      </c>
      <c r="AA541" t="inlineStr">
        <is>
          <t>Tarjeta</t>
        </is>
      </c>
      <c r="AB541" t="inlineStr">
        <is>
          <t>Llamar al 7788-1234 antes de entregar</t>
        </is>
      </c>
    </row>
    <row r="542">
      <c r="A542" t="inlineStr">
        <is>
          <t>F-10897</t>
        </is>
      </c>
      <c r="B542" s="3" t="n">
        <v>46262</v>
      </c>
      <c r="C542" t="inlineStr">
        <is>
          <t>Factura</t>
        </is>
      </c>
      <c r="D542" t="inlineStr">
        <is>
          <t>SS02</t>
        </is>
      </c>
      <c r="E542" t="inlineStr">
        <is>
          <t>ESCALON</t>
        </is>
      </c>
      <c r="F542" t="inlineStr">
        <is>
          <t>Paseo General Escalón #3910</t>
        </is>
      </c>
      <c r="G542" t="inlineStr">
        <is>
          <t>San Salvador</t>
        </is>
      </c>
      <c r="H542" t="inlineStr">
        <is>
          <t>San Salvador</t>
        </is>
      </c>
      <c r="I542" t="inlineStr">
        <is>
          <t>Claudia Menjívar</t>
        </is>
      </c>
      <c r="J542" t="inlineStr">
        <is>
          <t>2264-1190</t>
        </is>
      </c>
      <c r="K542" t="inlineStr">
        <is>
          <t>Kevin Benítez</t>
        </is>
      </c>
      <c r="L542" t="inlineStr">
        <is>
          <t>Walter García Alvarado</t>
        </is>
      </c>
      <c r="M542" t="inlineStr">
        <is>
          <t>08409777-4</t>
        </is>
      </c>
      <c r="N542" t="inlineStr">
        <is>
          <t>6398-6837</t>
        </is>
      </c>
      <c r="O542" t="inlineStr">
        <is>
          <t>Consumidor final</t>
        </is>
      </c>
      <c r="P542" t="inlineStr">
        <is>
          <t>PAN-003</t>
        </is>
      </c>
      <c r="Q542" t="inlineStr">
        <is>
          <t>Quesadilla salvadoreña</t>
        </is>
      </c>
      <c r="R542" t="inlineStr">
        <is>
          <t>Panadería</t>
        </is>
      </c>
      <c r="S542" t="inlineStr">
        <is>
          <t>Panificadora Ilopango</t>
        </is>
      </c>
      <c r="T542" t="inlineStr">
        <is>
          <t>2295-0081</t>
        </is>
      </c>
      <c r="U542" t="inlineStr">
        <is>
          <t>$2.50</t>
        </is>
      </c>
      <c r="V542" t="n">
        <v>12</v>
      </c>
      <c r="W542" t="n">
        <v>0</v>
      </c>
      <c r="X542">
        <f>IFERROR(U542*V542*(1-W542/100),"")</f>
        <v/>
      </c>
      <c r="Y542">
        <f>IFERROR(ROUND(X542*0.13,2),"")</f>
        <v/>
      </c>
      <c r="Z542">
        <f>IFERROR(X542+Y542,"")</f>
        <v/>
      </c>
      <c r="AA542" t="inlineStr">
        <is>
          <t>Tarjeta</t>
        </is>
      </c>
      <c r="AB542" t="inlineStr">
        <is>
          <t>Cliente frecuente</t>
        </is>
      </c>
    </row>
    <row r="543">
      <c r="A543" t="inlineStr">
        <is>
          <t>F-10899</t>
        </is>
      </c>
      <c r="B543" t="inlineStr">
        <is>
          <t>06-Aug-26</t>
        </is>
      </c>
      <c r="C543" t="inlineStr">
        <is>
          <t>factura</t>
        </is>
      </c>
      <c r="D543" t="inlineStr">
        <is>
          <t>SM01</t>
        </is>
      </c>
      <c r="E543" t="inlineStr">
        <is>
          <t>San Miguel</t>
        </is>
      </c>
      <c r="F543" t="inlineStr">
        <is>
          <t>Av. Roosevelt Sur #7</t>
        </is>
      </c>
      <c r="G543" t="inlineStr">
        <is>
          <t>San Miguel</t>
        </is>
      </c>
      <c r="H543" t="inlineStr">
        <is>
          <t>San Miguel</t>
        </is>
      </c>
      <c r="I543" t="inlineStr">
        <is>
          <t>Iris Portillo</t>
        </is>
      </c>
      <c r="J543" t="inlineStr">
        <is>
          <t>2661-5076</t>
        </is>
      </c>
      <c r="K543" t="inlineStr">
        <is>
          <t>Paola Cruz</t>
        </is>
      </c>
      <c r="L543" t="inlineStr">
        <is>
          <t>Silvia Mejía Sorto</t>
        </is>
      </c>
      <c r="M543" t="inlineStr">
        <is>
          <t>08942439-6</t>
        </is>
      </c>
      <c r="N543" t="inlineStr">
        <is>
          <t>2492-5995</t>
        </is>
      </c>
      <c r="O543" t="inlineStr">
        <is>
          <t>Consumidor final</t>
        </is>
      </c>
      <c r="P543" t="inlineStr">
        <is>
          <t>CAF-001</t>
        </is>
      </c>
      <c r="Q543" t="inlineStr">
        <is>
          <t>Café molido 400g</t>
        </is>
      </c>
      <c r="R543" t="inlineStr">
        <is>
          <t>abarrotes</t>
        </is>
      </c>
      <c r="S543" t="inlineStr">
        <is>
          <t>Café Volcán S.A.</t>
        </is>
      </c>
      <c r="T543" t="inlineStr">
        <is>
          <t>2510-3344</t>
        </is>
      </c>
      <c r="U543" t="n">
        <v>4.25</v>
      </c>
      <c r="V543" t="n">
        <v>1</v>
      </c>
      <c r="W543" t="n">
        <v>0</v>
      </c>
      <c r="X543">
        <f>IFERROR(U543*V543*(1-W543/100),"")</f>
        <v/>
      </c>
      <c r="Y543">
        <f>IFERROR(ROUND(X543*0.13,2),"")</f>
        <v/>
      </c>
      <c r="Z543">
        <f>IFERROR(X543+Y543,"")</f>
        <v/>
      </c>
      <c r="AA543" t="inlineStr">
        <is>
          <t>Transferencia</t>
        </is>
      </c>
      <c r="AB543" t="inlineStr">
        <is>
          <t>entregar en bodega</t>
        </is>
      </c>
    </row>
    <row r="544">
      <c r="A544" t="inlineStr">
        <is>
          <t>F-10899</t>
        </is>
      </c>
      <c r="B544" s="3" t="n">
        <v>46240</v>
      </c>
      <c r="C544" t="inlineStr">
        <is>
          <t>factura</t>
        </is>
      </c>
      <c r="D544" t="inlineStr">
        <is>
          <t>SM01</t>
        </is>
      </c>
      <c r="E544" t="inlineStr">
        <is>
          <t>S. Miguel</t>
        </is>
      </c>
      <c r="F544" t="inlineStr">
        <is>
          <t>Av. Roosevelt Sur #7</t>
        </is>
      </c>
      <c r="G544" t="inlineStr">
        <is>
          <t>San Miguel</t>
        </is>
      </c>
      <c r="H544" t="inlineStr">
        <is>
          <t>San Miguel</t>
        </is>
      </c>
      <c r="I544" t="inlineStr">
        <is>
          <t>Iris Portillo</t>
        </is>
      </c>
      <c r="J544" t="inlineStr">
        <is>
          <t>2661-5076</t>
        </is>
      </c>
      <c r="K544" t="inlineStr">
        <is>
          <t>Paola Cruz</t>
        </is>
      </c>
      <c r="L544" t="inlineStr">
        <is>
          <t>Silvia Mejía Sorto</t>
        </is>
      </c>
      <c r="M544" t="inlineStr">
        <is>
          <t>08942439-6</t>
        </is>
      </c>
      <c r="N544" t="inlineStr">
        <is>
          <t>2492-5995</t>
        </is>
      </c>
      <c r="O544" t="inlineStr">
        <is>
          <t>Consumidor final</t>
        </is>
      </c>
      <c r="P544" t="inlineStr">
        <is>
          <t>BEB-001</t>
        </is>
      </c>
      <c r="Q544" t="inlineStr">
        <is>
          <t>Gaseosa 2.5L</t>
        </is>
      </c>
      <c r="R544" t="inlineStr">
        <is>
          <t>bebidas</t>
        </is>
      </c>
      <c r="S544" t="inlineStr">
        <is>
          <t>Bebidas Izalco</t>
        </is>
      </c>
      <c r="T544" t="inlineStr">
        <is>
          <t>2450-7700</t>
        </is>
      </c>
      <c r="U544" t="n">
        <v>1.95</v>
      </c>
      <c r="V544" t="n">
        <v>2</v>
      </c>
      <c r="W544" t="n">
        <v>0</v>
      </c>
      <c r="X544">
        <f>IFERROR(U544*V544*(1-W544/100),"")</f>
        <v/>
      </c>
      <c r="Y544">
        <f>IFERROR(ROUND(X544*0.13,2),"")</f>
        <v/>
      </c>
      <c r="Z544">
        <f>IFERROR(X544+Y544,"")</f>
        <v/>
      </c>
      <c r="AA544" t="inlineStr">
        <is>
          <t>Transferencia</t>
        </is>
      </c>
      <c r="AB544" t="inlineStr">
        <is>
          <t>Llamar al 7788-1234 antes de entregar</t>
        </is>
      </c>
    </row>
    <row r="545">
      <c r="A545" t="inlineStr">
        <is>
          <t>F-10901</t>
        </is>
      </c>
      <c r="B545" s="3" t="n">
        <v>46254</v>
      </c>
      <c r="C545" t="inlineStr">
        <is>
          <t>Factura</t>
        </is>
      </c>
      <c r="D545" t="inlineStr">
        <is>
          <t>SS01</t>
        </is>
      </c>
      <c r="E545" t="inlineStr">
        <is>
          <t xml:space="preserve">san salvador centro </t>
        </is>
      </c>
      <c r="F545" t="inlineStr">
        <is>
          <t>4a Calle Poniente #215</t>
        </is>
      </c>
      <c r="G545" t="inlineStr">
        <is>
          <t>San Salvador</t>
        </is>
      </c>
      <c r="H545" t="inlineStr">
        <is>
          <t>San Salvador</t>
        </is>
      </c>
      <c r="I545" t="inlineStr">
        <is>
          <t>Roberto Alfaro</t>
        </is>
      </c>
      <c r="J545" t="inlineStr">
        <is>
          <t>2221-4580</t>
        </is>
      </c>
      <c r="K545" t="inlineStr">
        <is>
          <t>José Martínez</t>
        </is>
      </c>
      <c r="L545" t="inlineStr">
        <is>
          <t>Patricia Guevara Quintanilla</t>
        </is>
      </c>
      <c r="M545" t="inlineStr">
        <is>
          <t>07265655-3</t>
        </is>
      </c>
      <c r="N545" t="inlineStr">
        <is>
          <t>6951-5407</t>
        </is>
      </c>
      <c r="O545" t="inlineStr">
        <is>
          <t>Consumidor final</t>
        </is>
      </c>
      <c r="P545" t="inlineStr">
        <is>
          <t>PAN-003</t>
        </is>
      </c>
      <c r="Q545" t="inlineStr">
        <is>
          <t>Quesadilla salvadoreña</t>
        </is>
      </c>
      <c r="R545" t="inlineStr">
        <is>
          <t>Panadería</t>
        </is>
      </c>
      <c r="S545" t="inlineStr">
        <is>
          <t>Panificadora Ilopango</t>
        </is>
      </c>
      <c r="T545" t="inlineStr">
        <is>
          <t>2295-0081</t>
        </is>
      </c>
      <c r="U545" t="n">
        <v>2.5</v>
      </c>
      <c r="V545" t="n">
        <v>1</v>
      </c>
      <c r="W545" t="n">
        <v>0</v>
      </c>
      <c r="X545">
        <f>IFERROR(U545*V545*(1-W545/100),"")</f>
        <v/>
      </c>
      <c r="Y545">
        <f>IFERROR(ROUND(X545*0.13,2),"")</f>
        <v/>
      </c>
      <c r="Z545">
        <f>IFERROR(X545+Y545,"")</f>
        <v/>
      </c>
      <c r="AA545" t="inlineStr">
        <is>
          <t>Efectivo</t>
        </is>
      </c>
      <c r="AB545" t="inlineStr">
        <is>
          <t>entregar en bodega</t>
        </is>
      </c>
    </row>
    <row r="546">
      <c r="A546" t="inlineStr">
        <is>
          <t>F-10901</t>
        </is>
      </c>
      <c r="B546" s="3" t="n">
        <v>46254</v>
      </c>
      <c r="C546" t="inlineStr">
        <is>
          <t>Factura</t>
        </is>
      </c>
      <c r="D546" t="inlineStr">
        <is>
          <t>SS01</t>
        </is>
      </c>
      <c r="E546" t="inlineStr">
        <is>
          <t>San Salvador Centro</t>
        </is>
      </c>
      <c r="F546" t="inlineStr">
        <is>
          <t>4a Calle Poniente #215</t>
        </is>
      </c>
      <c r="G546" t="inlineStr">
        <is>
          <t>San Salvador</t>
        </is>
      </c>
      <c r="H546" t="inlineStr">
        <is>
          <t>San Salvador</t>
        </is>
      </c>
      <c r="I546" t="inlineStr">
        <is>
          <t>Roberto Alfaro</t>
        </is>
      </c>
      <c r="J546" t="inlineStr">
        <is>
          <t>2221-4580</t>
        </is>
      </c>
      <c r="K546" t="inlineStr">
        <is>
          <t>José Martínez</t>
        </is>
      </c>
      <c r="L546" t="inlineStr">
        <is>
          <t>Patricia Guevara Quintanilla</t>
        </is>
      </c>
      <c r="M546" t="inlineStr">
        <is>
          <t>07265655-3</t>
        </is>
      </c>
      <c r="N546" t="inlineStr">
        <is>
          <t>6951-5407</t>
        </is>
      </c>
      <c r="O546" t="inlineStr">
        <is>
          <t>Consumidor final</t>
        </is>
      </c>
      <c r="P546" t="inlineStr">
        <is>
          <t>HAR-001</t>
        </is>
      </c>
      <c r="Q546" t="inlineStr">
        <is>
          <t>Harina de maíz 2lb</t>
        </is>
      </c>
      <c r="R546" t="inlineStr">
        <is>
          <t>Abarrotes</t>
        </is>
      </c>
      <c r="S546" t="inlineStr">
        <is>
          <t>Granos del Pacífico</t>
        </is>
      </c>
      <c r="T546" t="inlineStr">
        <is>
          <t>2234-8890</t>
        </is>
      </c>
      <c r="U546" t="n">
        <v>1.35</v>
      </c>
      <c r="V546" t="n">
        <v>4</v>
      </c>
      <c r="W546" t="n">
        <v>0</v>
      </c>
      <c r="X546">
        <f>IFERROR(U546*V546*(1-W546/100),"")</f>
        <v/>
      </c>
      <c r="Y546">
        <f>IFERROR(ROUND(X546*0.13,2),"")</f>
        <v/>
      </c>
      <c r="Z546">
        <f>IFERROR(X546+Y546,"")</f>
        <v/>
      </c>
      <c r="AA546" t="inlineStr">
        <is>
          <t>Efectivo</t>
        </is>
      </c>
      <c r="AB546" t="inlineStr"/>
    </row>
    <row r="547">
      <c r="A547" t="inlineStr">
        <is>
          <t>F-10901</t>
        </is>
      </c>
      <c r="B547" s="3" t="n">
        <v>46254</v>
      </c>
      <c r="C547" t="inlineStr">
        <is>
          <t>Factura</t>
        </is>
      </c>
      <c r="D547" t="inlineStr">
        <is>
          <t>SS01</t>
        </is>
      </c>
      <c r="E547" t="inlineStr">
        <is>
          <t>SAN SALVADOR CENTRO</t>
        </is>
      </c>
      <c r="F547" t="inlineStr">
        <is>
          <t>4a Calle Poniente #215</t>
        </is>
      </c>
      <c r="G547" t="inlineStr">
        <is>
          <t>San Salvador</t>
        </is>
      </c>
      <c r="H547" t="inlineStr">
        <is>
          <t>San Salvador</t>
        </is>
      </c>
      <c r="I547" t="inlineStr">
        <is>
          <t>Roberto Alfaro</t>
        </is>
      </c>
      <c r="J547" t="inlineStr">
        <is>
          <t>2221-4580</t>
        </is>
      </c>
      <c r="K547" t="inlineStr">
        <is>
          <t>José Martínez</t>
        </is>
      </c>
      <c r="L547" t="inlineStr">
        <is>
          <t>Patricia Guevara Quintanilla</t>
        </is>
      </c>
      <c r="M547" t="inlineStr">
        <is>
          <t>07265655-3</t>
        </is>
      </c>
      <c r="N547" t="inlineStr">
        <is>
          <t>6951-5407</t>
        </is>
      </c>
      <c r="O547" t="inlineStr">
        <is>
          <t>Consumidor final</t>
        </is>
      </c>
      <c r="P547" t="inlineStr">
        <is>
          <t>CAF-002</t>
        </is>
      </c>
      <c r="Q547" t="inlineStr">
        <is>
          <t>Café en grano 1lb</t>
        </is>
      </c>
      <c r="R547" t="inlineStr">
        <is>
          <t>Abarrotes</t>
        </is>
      </c>
      <c r="S547" t="inlineStr">
        <is>
          <t>Café Volcán S.A.</t>
        </is>
      </c>
      <c r="T547" t="inlineStr">
        <is>
          <t>2510-3344</t>
        </is>
      </c>
      <c r="U547" t="inlineStr">
        <is>
          <t>$6.75</t>
        </is>
      </c>
      <c r="V547" t="n">
        <v>1</v>
      </c>
      <c r="W547" t="n">
        <v>0</v>
      </c>
      <c r="X547">
        <f>IFERROR(U547*V547*(1-W547/100),"")</f>
        <v/>
      </c>
      <c r="Y547">
        <f>IFERROR(ROUND(X547*0.13,2),"")</f>
        <v/>
      </c>
      <c r="Z547">
        <f>IFERROR(X547+Y547,"")</f>
        <v/>
      </c>
      <c r="AA547" t="inlineStr">
        <is>
          <t>Efectivo</t>
        </is>
      </c>
      <c r="AB547" t="inlineStr"/>
    </row>
    <row r="548">
      <c r="A548" t="inlineStr">
        <is>
          <t>F-10901</t>
        </is>
      </c>
      <c r="B548" t="inlineStr">
        <is>
          <t>20/08/2026</t>
        </is>
      </c>
      <c r="C548" t="inlineStr">
        <is>
          <t>Factura</t>
        </is>
      </c>
      <c r="D548" t="inlineStr">
        <is>
          <t>SS01</t>
        </is>
      </c>
      <c r="E548" t="inlineStr">
        <is>
          <t>S.S. Centro</t>
        </is>
      </c>
      <c r="F548" t="inlineStr">
        <is>
          <t>4a Calle Poniente #215</t>
        </is>
      </c>
      <c r="G548" t="inlineStr">
        <is>
          <t>San Salvador</t>
        </is>
      </c>
      <c r="H548" t="inlineStr">
        <is>
          <t>San Salvador</t>
        </is>
      </c>
      <c r="I548" t="inlineStr">
        <is>
          <t>Roberto Alfaro</t>
        </is>
      </c>
      <c r="J548" t="inlineStr">
        <is>
          <t>2221-4580</t>
        </is>
      </c>
      <c r="K548" t="inlineStr">
        <is>
          <t>José Martínez</t>
        </is>
      </c>
      <c r="L548" t="inlineStr">
        <is>
          <t>Patricia Guevara Quintanilla</t>
        </is>
      </c>
      <c r="M548" t="inlineStr">
        <is>
          <t>07265655-3</t>
        </is>
      </c>
      <c r="N548" t="inlineStr">
        <is>
          <t>6951-5407</t>
        </is>
      </c>
      <c r="O548" t="inlineStr">
        <is>
          <t>Consumidor final</t>
        </is>
      </c>
      <c r="P548" t="inlineStr">
        <is>
          <t>PAN-002</t>
        </is>
      </c>
      <c r="Q548" t="inlineStr">
        <is>
          <t>Semita alta</t>
        </is>
      </c>
      <c r="R548" t="inlineStr">
        <is>
          <t>Panadería</t>
        </is>
      </c>
      <c r="S548" t="inlineStr">
        <is>
          <t>Panificadora Ilopango</t>
        </is>
      </c>
      <c r="T548" t="inlineStr">
        <is>
          <t>2295-0081</t>
        </is>
      </c>
      <c r="U548" t="n">
        <v>1.75</v>
      </c>
      <c r="V548" t="n">
        <v>1</v>
      </c>
      <c r="W548" t="n">
        <v>0</v>
      </c>
      <c r="X548">
        <f>IFERROR(U548*V548*(1-W548/100),"")</f>
        <v/>
      </c>
      <c r="Y548">
        <f>IFERROR(ROUND(X548*0.13,2),"")</f>
        <v/>
      </c>
      <c r="Z548">
        <f>IFERROR(X548+Y548,"")</f>
        <v/>
      </c>
      <c r="AA548" t="inlineStr">
        <is>
          <t>Efectivo</t>
        </is>
      </c>
      <c r="AB548" t="inlineStr">
        <is>
          <t>entregar en bodega</t>
        </is>
      </c>
    </row>
    <row r="549">
      <c r="A549" t="inlineStr">
        <is>
          <t>F-10903</t>
        </is>
      </c>
      <c r="B549" s="3" t="n">
        <v>46204</v>
      </c>
      <c r="C549" t="inlineStr">
        <is>
          <t>FCF</t>
        </is>
      </c>
      <c r="D549" t="inlineStr">
        <is>
          <t>SA01</t>
        </is>
      </c>
      <c r="E549" t="inlineStr">
        <is>
          <t>STA ANA</t>
        </is>
      </c>
      <c r="F549" t="inlineStr">
        <is>
          <t>Av. Independencia Sur #12</t>
        </is>
      </c>
      <c r="G549" t="inlineStr">
        <is>
          <t>Santa Ana</t>
        </is>
      </c>
      <c r="H549" t="inlineStr">
        <is>
          <t>Santa Ana</t>
        </is>
      </c>
      <c r="I549" t="inlineStr">
        <is>
          <t>Mauricio Linares</t>
        </is>
      </c>
      <c r="J549" t="inlineStr">
        <is>
          <t>2440-9921</t>
        </is>
      </c>
      <c r="K549" t="inlineStr">
        <is>
          <t>Diego Zelaya</t>
        </is>
      </c>
      <c r="L549" t="inlineStr">
        <is>
          <t>Sandra Sorto López</t>
        </is>
      </c>
      <c r="M549" t="inlineStr">
        <is>
          <t>00961529-1</t>
        </is>
      </c>
      <c r="N549" t="inlineStr">
        <is>
          <t>2123-6077</t>
        </is>
      </c>
      <c r="O549" t="inlineStr">
        <is>
          <t>Consumidor final</t>
        </is>
      </c>
      <c r="P549" t="inlineStr">
        <is>
          <t>ARR-001</t>
        </is>
      </c>
      <c r="Q549" t="inlineStr">
        <is>
          <t>Arroz blanco 5lb</t>
        </is>
      </c>
      <c r="R549" t="inlineStr">
        <is>
          <t>Granos básicos</t>
        </is>
      </c>
      <c r="S549" t="inlineStr">
        <is>
          <t>Granos del Pacífico</t>
        </is>
      </c>
      <c r="T549" t="inlineStr">
        <is>
          <t>2234-8890</t>
        </is>
      </c>
      <c r="U549" t="n">
        <v>3.95</v>
      </c>
      <c r="V549" t="n">
        <v>1</v>
      </c>
      <c r="W549" t="n">
        <v>0</v>
      </c>
      <c r="X549">
        <f>IFERROR(U549*V549*(1-W549/100),"")</f>
        <v/>
      </c>
      <c r="Y549">
        <f>IFERROR(ROUND(X549*0.13,2),"")</f>
        <v/>
      </c>
      <c r="Z549">
        <f>IFERROR(X549+Y549,"")</f>
        <v/>
      </c>
      <c r="AA549" t="inlineStr">
        <is>
          <t>Efectivo</t>
        </is>
      </c>
      <c r="AB549" t="inlineStr">
        <is>
          <t>Cliente frecuente</t>
        </is>
      </c>
    </row>
    <row r="550">
      <c r="A550" t="inlineStr">
        <is>
          <t>F-10903</t>
        </is>
      </c>
      <c r="B550" s="3" t="n">
        <v>46204</v>
      </c>
      <c r="C550" t="inlineStr">
        <is>
          <t>FCF</t>
        </is>
      </c>
      <c r="D550" t="inlineStr">
        <is>
          <t>SA01</t>
        </is>
      </c>
      <c r="E550" t="inlineStr">
        <is>
          <t>Santa Ana</t>
        </is>
      </c>
      <c r="F550" t="inlineStr">
        <is>
          <t>Av. Independencia Sur #12</t>
        </is>
      </c>
      <c r="G550" t="inlineStr">
        <is>
          <t>Santa Ana</t>
        </is>
      </c>
      <c r="H550" t="inlineStr">
        <is>
          <t>Santa Ana</t>
        </is>
      </c>
      <c r="I550" t="inlineStr">
        <is>
          <t>Mauricio Linares</t>
        </is>
      </c>
      <c r="J550" t="inlineStr">
        <is>
          <t>2440-9921</t>
        </is>
      </c>
      <c r="K550" t="inlineStr">
        <is>
          <t>Diego Zelaya</t>
        </is>
      </c>
      <c r="L550" t="inlineStr">
        <is>
          <t>Sandra Sorto López</t>
        </is>
      </c>
      <c r="M550" t="inlineStr">
        <is>
          <t>00961529-1</t>
        </is>
      </c>
      <c r="N550" t="inlineStr">
        <is>
          <t>2123-6077</t>
        </is>
      </c>
      <c r="O550" t="inlineStr">
        <is>
          <t>Consumidor final</t>
        </is>
      </c>
      <c r="P550" t="inlineStr">
        <is>
          <t>HIG-002</t>
        </is>
      </c>
      <c r="Q550" t="inlineStr">
        <is>
          <t>Papel higiénico 4 rollos</t>
        </is>
      </c>
      <c r="R550" t="inlineStr">
        <is>
          <t>Limpieza</t>
        </is>
      </c>
      <c r="S550" t="inlineStr">
        <is>
          <t>Higiene Total C.A.</t>
        </is>
      </c>
      <c r="T550" t="inlineStr">
        <is>
          <t>2207-5566</t>
        </is>
      </c>
      <c r="U550" t="n">
        <v>2.15</v>
      </c>
      <c r="V550" t="n">
        <v>1</v>
      </c>
      <c r="W550" t="n">
        <v>0</v>
      </c>
      <c r="X550">
        <f>IFERROR(U550*V550*(1-W550/100),"")</f>
        <v/>
      </c>
      <c r="Y550">
        <f>IFERROR(ROUND(X550*0.13,2),"")</f>
        <v/>
      </c>
      <c r="Z550">
        <f>IFERROR(X550+Y550,"")</f>
        <v/>
      </c>
      <c r="AA550" t="inlineStr">
        <is>
          <t>Efectivo</t>
        </is>
      </c>
      <c r="AB550" t="inlineStr">
        <is>
          <t>precio especial autorizado por gerente</t>
        </is>
      </c>
    </row>
    <row r="551">
      <c r="A551" t="inlineStr">
        <is>
          <t>F-10906</t>
        </is>
      </c>
      <c r="B551" s="3" t="n">
        <v>46268</v>
      </c>
      <c r="C551" t="inlineStr">
        <is>
          <t>FCF</t>
        </is>
      </c>
      <c r="D551" t="inlineStr">
        <is>
          <t>SS03</t>
        </is>
      </c>
      <c r="E551" t="inlineStr">
        <is>
          <t>Soyapango</t>
        </is>
      </c>
      <c r="F551" t="inlineStr">
        <is>
          <t>Blvd. del Ejército km 4</t>
        </is>
      </c>
      <c r="G551" t="inlineStr">
        <is>
          <t>Soyapango</t>
        </is>
      </c>
      <c r="H551" t="inlineStr">
        <is>
          <t>San Salvador</t>
        </is>
      </c>
      <c r="I551" t="inlineStr">
        <is>
          <t>Karla Henríquez</t>
        </is>
      </c>
      <c r="J551" t="inlineStr">
        <is>
          <t>2277-3402</t>
        </is>
      </c>
      <c r="K551" t="inlineStr">
        <is>
          <t>Marta Gómez</t>
        </is>
      </c>
      <c r="L551" t="inlineStr">
        <is>
          <t>Patricia García Martínez</t>
        </is>
      </c>
      <c r="M551" t="inlineStr">
        <is>
          <t>02380558-6</t>
        </is>
      </c>
      <c r="N551" t="inlineStr">
        <is>
          <t>6660-5283</t>
        </is>
      </c>
      <c r="O551" t="inlineStr">
        <is>
          <t>Consumidor final</t>
        </is>
      </c>
      <c r="P551" t="inlineStr">
        <is>
          <t>FRI-001</t>
        </is>
      </c>
      <c r="Q551" t="inlineStr">
        <is>
          <t>Frijol rojo de seda 2lb</t>
        </is>
      </c>
      <c r="R551" t="inlineStr">
        <is>
          <t>Granos básicos</t>
        </is>
      </c>
      <c r="S551" t="inlineStr">
        <is>
          <t>Granos del Pacífico</t>
        </is>
      </c>
      <c r="T551" t="inlineStr">
        <is>
          <t>2234-8890</t>
        </is>
      </c>
      <c r="U551" t="n">
        <v>2.4</v>
      </c>
      <c r="V551" t="n">
        <v>12</v>
      </c>
      <c r="W551" t="n">
        <v>0</v>
      </c>
      <c r="X551">
        <f>IFERROR(U551*V551*(1-W551/100),"")</f>
        <v/>
      </c>
      <c r="Y551">
        <f>IFERROR(ROUND(X551*0.13,2),"")</f>
        <v/>
      </c>
      <c r="Z551">
        <f>IFERROR(X551+Y551,"")</f>
        <v/>
      </c>
      <c r="AA551" t="inlineStr">
        <is>
          <t>Efectivo</t>
        </is>
      </c>
      <c r="AB551" t="inlineStr"/>
    </row>
    <row r="552">
      <c r="A552" t="inlineStr">
        <is>
          <t>F-10906</t>
        </is>
      </c>
      <c r="B552" s="3" t="n">
        <v>46268</v>
      </c>
      <c r="C552" t="inlineStr">
        <is>
          <t>FCF</t>
        </is>
      </c>
      <c r="D552" t="inlineStr">
        <is>
          <t>SS03</t>
        </is>
      </c>
      <c r="E552" t="inlineStr">
        <is>
          <t>soyapango</t>
        </is>
      </c>
      <c r="F552" t="inlineStr">
        <is>
          <t>Blvd. del Ejército km 4</t>
        </is>
      </c>
      <c r="G552" t="inlineStr">
        <is>
          <t>Soyapango</t>
        </is>
      </c>
      <c r="H552" t="inlineStr">
        <is>
          <t>San Salvador</t>
        </is>
      </c>
      <c r="I552" t="inlineStr">
        <is>
          <t>Karla Henríquez</t>
        </is>
      </c>
      <c r="J552" t="inlineStr">
        <is>
          <t>2277-3402</t>
        </is>
      </c>
      <c r="K552" t="inlineStr">
        <is>
          <t>Marta Gómez</t>
        </is>
      </c>
      <c r="L552" t="inlineStr">
        <is>
          <t>Patricia García Martínez</t>
        </is>
      </c>
      <c r="M552" t="inlineStr">
        <is>
          <t>02380558-6</t>
        </is>
      </c>
      <c r="N552" t="inlineStr">
        <is>
          <t>6660-5283</t>
        </is>
      </c>
      <c r="O552" t="inlineStr">
        <is>
          <t>Consumidor final</t>
        </is>
      </c>
      <c r="P552" t="inlineStr">
        <is>
          <t>HIG-003</t>
        </is>
      </c>
      <c r="Q552" t="inlineStr">
        <is>
          <t>Jabón de lavar barra</t>
        </is>
      </c>
      <c r="R552" t="inlineStr">
        <is>
          <t>Limpieza</t>
        </is>
      </c>
      <c r="S552" t="inlineStr">
        <is>
          <t>Higiene Total C.A.</t>
        </is>
      </c>
      <c r="T552" t="inlineStr">
        <is>
          <t>2207-5566</t>
        </is>
      </c>
      <c r="U552" t="n">
        <v>0.75</v>
      </c>
      <c r="V552" t="n">
        <v>1</v>
      </c>
      <c r="W552" t="n">
        <v>0</v>
      </c>
      <c r="X552">
        <f>IFERROR(U552*V552*(1-W552/100),"")</f>
        <v/>
      </c>
      <c r="Y552">
        <f>IFERROR(ROUND(X552*0.13,2),"")</f>
        <v/>
      </c>
      <c r="Z552">
        <f>IFERROR(X552+Y552,"")</f>
        <v/>
      </c>
      <c r="AA552" t="inlineStr">
        <is>
          <t>Efectivo</t>
        </is>
      </c>
      <c r="AB552" t="inlineStr">
        <is>
          <t>Cliente frecuente</t>
        </is>
      </c>
    </row>
    <row r="553">
      <c r="A553" t="inlineStr">
        <is>
          <t>F-10907</t>
        </is>
      </c>
      <c r="B553" s="3" t="n">
        <v>46257</v>
      </c>
      <c r="C553" t="inlineStr">
        <is>
          <t>Factura</t>
        </is>
      </c>
      <c r="D553" t="inlineStr">
        <is>
          <t>SM01</t>
        </is>
      </c>
      <c r="E553" t="inlineStr">
        <is>
          <t>San Miguel</t>
        </is>
      </c>
      <c r="F553" t="inlineStr">
        <is>
          <t>Av. Roosevelt Sur #7</t>
        </is>
      </c>
      <c r="G553" t="inlineStr">
        <is>
          <t>San Miguel</t>
        </is>
      </c>
      <c r="H553" t="inlineStr">
        <is>
          <t>San Miguel</t>
        </is>
      </c>
      <c r="I553" t="inlineStr">
        <is>
          <t>Iris Portillo</t>
        </is>
      </c>
      <c r="J553" t="inlineStr">
        <is>
          <t>2661-5076</t>
        </is>
      </c>
      <c r="K553" t="inlineStr">
        <is>
          <t>Jorge Villalta</t>
        </is>
      </c>
      <c r="L553" t="inlineStr">
        <is>
          <t>Mario Sorto Castillo</t>
        </is>
      </c>
      <c r="M553" t="inlineStr">
        <is>
          <t>09824839-0</t>
        </is>
      </c>
      <c r="N553" t="inlineStr">
        <is>
          <t>7450-4234</t>
        </is>
      </c>
      <c r="O553" t="inlineStr">
        <is>
          <t>Consumidor final</t>
        </is>
      </c>
      <c r="P553" t="inlineStr">
        <is>
          <t>HAR-001</t>
        </is>
      </c>
      <c r="Q553" t="inlineStr">
        <is>
          <t>Harina de maíz 2lb</t>
        </is>
      </c>
      <c r="R553" t="inlineStr">
        <is>
          <t>Abarrotes</t>
        </is>
      </c>
      <c r="S553" t="inlineStr">
        <is>
          <t>Granos del Pacífico</t>
        </is>
      </c>
      <c r="T553" t="inlineStr">
        <is>
          <t>2234-8890</t>
        </is>
      </c>
      <c r="U553" t="n">
        <v>1.35</v>
      </c>
      <c r="V553" t="n">
        <v>2</v>
      </c>
      <c r="W553" t="n">
        <v>0</v>
      </c>
      <c r="X553">
        <f>IFERROR(U553*V553*(1-W553/100),"")</f>
        <v/>
      </c>
      <c r="Y553">
        <f>IFERROR(ROUND(X553*0.13,2),"")</f>
        <v/>
      </c>
      <c r="Z553">
        <f>IFERROR(X553+Y553,"")</f>
        <v/>
      </c>
      <c r="AA553" t="inlineStr">
        <is>
          <t>efectivo</t>
        </is>
      </c>
      <c r="AB553" t="inlineStr">
        <is>
          <t>Llamar al 7788-1234 antes de entregar</t>
        </is>
      </c>
    </row>
    <row r="554">
      <c r="A554" t="inlineStr">
        <is>
          <t>10907</t>
        </is>
      </c>
      <c r="B554" t="inlineStr">
        <is>
          <t>2026-08-23</t>
        </is>
      </c>
      <c r="C554" t="inlineStr">
        <is>
          <t>Factura</t>
        </is>
      </c>
      <c r="D554" t="inlineStr">
        <is>
          <t>SM01</t>
        </is>
      </c>
      <c r="E554" t="inlineStr">
        <is>
          <t>S. Miguel</t>
        </is>
      </c>
      <c r="F554" t="inlineStr">
        <is>
          <t>Av. Roosevelt Sur #7</t>
        </is>
      </c>
      <c r="G554" t="inlineStr">
        <is>
          <t>San Miguel</t>
        </is>
      </c>
      <c r="H554" t="inlineStr">
        <is>
          <t>San Miguel</t>
        </is>
      </c>
      <c r="I554" t="inlineStr">
        <is>
          <t>Iris Portillo</t>
        </is>
      </c>
      <c r="J554" t="inlineStr">
        <is>
          <t>2661-5076</t>
        </is>
      </c>
      <c r="K554" t="inlineStr">
        <is>
          <t>Jorge Villalta</t>
        </is>
      </c>
      <c r="L554" t="inlineStr">
        <is>
          <t>Mario Sorto Castillo</t>
        </is>
      </c>
      <c r="M554" t="inlineStr">
        <is>
          <t>09824839-0</t>
        </is>
      </c>
      <c r="N554" t="inlineStr">
        <is>
          <t>7450-4234</t>
        </is>
      </c>
      <c r="O554" t="inlineStr">
        <is>
          <t>Consumidor final</t>
        </is>
      </c>
      <c r="P554" t="inlineStr">
        <is>
          <t>BEB-003</t>
        </is>
      </c>
      <c r="Q554" t="inlineStr">
        <is>
          <t>Horchata en polvo 400g</t>
        </is>
      </c>
      <c r="R554" t="inlineStr">
        <is>
          <t>Abarrotes</t>
        </is>
      </c>
      <c r="S554" t="inlineStr">
        <is>
          <t>Bebidas Izalco</t>
        </is>
      </c>
      <c r="T554" t="inlineStr">
        <is>
          <t>2450-7700</t>
        </is>
      </c>
      <c r="U554" t="n">
        <v>2.6</v>
      </c>
      <c r="V554" t="n">
        <v>1</v>
      </c>
      <c r="W554" t="n">
        <v>0</v>
      </c>
      <c r="X554">
        <f>IFERROR(U554*V554*(1-W554/100),"")</f>
        <v/>
      </c>
      <c r="Y554">
        <f>IFERROR(ROUND(X554*0.13,2),"")</f>
        <v/>
      </c>
      <c r="Z554">
        <f>IFERROR(X554+Y554,"")</f>
        <v/>
      </c>
      <c r="AA554" t="inlineStr">
        <is>
          <t>efectivo</t>
        </is>
      </c>
      <c r="AB554" t="inlineStr"/>
    </row>
    <row r="555">
      <c r="A555" t="inlineStr">
        <is>
          <t>F-10907</t>
        </is>
      </c>
      <c r="B555" s="3" t="n">
        <v>46257</v>
      </c>
      <c r="C555" t="inlineStr">
        <is>
          <t>Factura</t>
        </is>
      </c>
      <c r="D555" t="inlineStr">
        <is>
          <t>SM01</t>
        </is>
      </c>
      <c r="E555" t="inlineStr">
        <is>
          <t>San Miguel</t>
        </is>
      </c>
      <c r="F555" t="inlineStr">
        <is>
          <t>Av. Roosevelt Sur #7</t>
        </is>
      </c>
      <c r="G555" t="inlineStr">
        <is>
          <t>San Miguel</t>
        </is>
      </c>
      <c r="H555" t="inlineStr">
        <is>
          <t>San Miguel</t>
        </is>
      </c>
      <c r="I555" t="inlineStr">
        <is>
          <t>Iris Portillo</t>
        </is>
      </c>
      <c r="J555" t="inlineStr">
        <is>
          <t>2661-5076</t>
        </is>
      </c>
      <c r="K555" t="inlineStr">
        <is>
          <t>Jorge Villalta</t>
        </is>
      </c>
      <c r="L555" t="inlineStr">
        <is>
          <t>Mario Sorto Castillo</t>
        </is>
      </c>
      <c r="M555" t="inlineStr">
        <is>
          <t>09824839-0</t>
        </is>
      </c>
      <c r="N555" t="inlineStr">
        <is>
          <t>7450-4234</t>
        </is>
      </c>
      <c r="O555" t="inlineStr">
        <is>
          <t>Consumidor final</t>
        </is>
      </c>
      <c r="P555" t="inlineStr">
        <is>
          <t>PAN-002</t>
        </is>
      </c>
      <c r="Q555" t="inlineStr">
        <is>
          <t>Semita alta</t>
        </is>
      </c>
      <c r="R555" t="inlineStr">
        <is>
          <t>Panadería</t>
        </is>
      </c>
      <c r="S555" t="inlineStr">
        <is>
          <t>Panificadora Ilopango</t>
        </is>
      </c>
      <c r="T555" t="inlineStr">
        <is>
          <t>2295-0081</t>
        </is>
      </c>
      <c r="U555" t="inlineStr">
        <is>
          <t>1,75</t>
        </is>
      </c>
      <c r="V555" t="n">
        <v>24</v>
      </c>
      <c r="W555" t="n">
        <v>0</v>
      </c>
      <c r="X555">
        <f>IFERROR(U555*V555*(1-W555/100),"")</f>
        <v/>
      </c>
      <c r="Y555">
        <f>IFERROR(ROUND(X555*0.13,2),"")</f>
        <v/>
      </c>
      <c r="Z555">
        <f>IFERROR(X555+Y555,"")</f>
        <v/>
      </c>
      <c r="AA555" t="inlineStr">
        <is>
          <t>efectivo</t>
        </is>
      </c>
      <c r="AB555" t="inlineStr">
        <is>
          <t>entregar en bodega</t>
        </is>
      </c>
    </row>
    <row r="556">
      <c r="A556" t="inlineStr">
        <is>
          <t>F-10907</t>
        </is>
      </c>
      <c r="B556" s="3" t="n">
        <v>46257</v>
      </c>
      <c r="C556" t="inlineStr">
        <is>
          <t>Factura</t>
        </is>
      </c>
      <c r="D556" t="inlineStr">
        <is>
          <t>SM01</t>
        </is>
      </c>
      <c r="E556" t="inlineStr">
        <is>
          <t>SAN MIGUEL</t>
        </is>
      </c>
      <c r="F556" t="inlineStr">
        <is>
          <t>Av. Roosevelt Sur #7</t>
        </is>
      </c>
      <c r="G556" t="inlineStr">
        <is>
          <t>San Miguel</t>
        </is>
      </c>
      <c r="H556" t="inlineStr">
        <is>
          <t>San Miguel</t>
        </is>
      </c>
      <c r="I556" t="inlineStr">
        <is>
          <t>Iris Portillo</t>
        </is>
      </c>
      <c r="J556" t="inlineStr">
        <is>
          <t>2661-5076</t>
        </is>
      </c>
      <c r="K556" t="inlineStr">
        <is>
          <t>Jorge Villalta</t>
        </is>
      </c>
      <c r="L556" t="inlineStr">
        <is>
          <t>Mario Sorto Castillo</t>
        </is>
      </c>
      <c r="M556" t="inlineStr">
        <is>
          <t>09824839-0</t>
        </is>
      </c>
      <c r="N556" t="inlineStr">
        <is>
          <t>7450-4234</t>
        </is>
      </c>
      <c r="O556" t="inlineStr">
        <is>
          <t>Consumidor final</t>
        </is>
      </c>
      <c r="P556" t="inlineStr">
        <is>
          <t>BEB-002</t>
        </is>
      </c>
      <c r="Q556" t="inlineStr">
        <is>
          <t>Agua purificada 1 galón</t>
        </is>
      </c>
      <c r="R556" t="inlineStr">
        <is>
          <t>Bebidas</t>
        </is>
      </c>
      <c r="S556" t="inlineStr">
        <is>
          <t>Bebidas Izalco</t>
        </is>
      </c>
      <c r="T556" t="inlineStr">
        <is>
          <t>2450-7700</t>
        </is>
      </c>
      <c r="U556" t="n">
        <v>1.1</v>
      </c>
      <c r="V556" t="n">
        <v>6</v>
      </c>
      <c r="W556" t="n">
        <v>0</v>
      </c>
      <c r="X556">
        <f>IFERROR(U556*V556*(1-W556/100),"")</f>
        <v/>
      </c>
      <c r="Y556">
        <f>IFERROR(ROUND(X556*0.13,2),"")</f>
        <v/>
      </c>
      <c r="Z556">
        <f>IFERROR(X556+Y556,"")</f>
        <v/>
      </c>
      <c r="AA556" t="inlineStr">
        <is>
          <t>efectivo</t>
        </is>
      </c>
      <c r="AB556" t="inlineStr"/>
    </row>
    <row r="557">
      <c r="A557" t="inlineStr">
        <is>
          <t>F-10909</t>
        </is>
      </c>
      <c r="B557" s="3" t="n">
        <v>46290</v>
      </c>
      <c r="C557" t="inlineStr">
        <is>
          <t>factura</t>
        </is>
      </c>
      <c r="D557" t="inlineStr">
        <is>
          <t>LL01</t>
        </is>
      </c>
      <c r="E557" t="inlineStr">
        <is>
          <t>Santa Tecla</t>
        </is>
      </c>
      <c r="F557" t="inlineStr">
        <is>
          <t>Calle Daniel Hernández #18</t>
        </is>
      </c>
      <c r="G557" t="inlineStr">
        <is>
          <t>Santa Tecla</t>
        </is>
      </c>
      <c r="H557" t="inlineStr">
        <is>
          <t>La Libertad</t>
        </is>
      </c>
      <c r="I557" t="inlineStr">
        <is>
          <t>Óscar Rivas</t>
        </is>
      </c>
      <c r="J557" t="inlineStr">
        <is>
          <t>2228-7731</t>
        </is>
      </c>
      <c r="K557" t="inlineStr">
        <is>
          <t>Luis Escobar</t>
        </is>
      </c>
      <c r="L557" t="inlineStr">
        <is>
          <t>Mario Castillo Lemus</t>
        </is>
      </c>
      <c r="M557" t="inlineStr">
        <is>
          <t>01650441-7</t>
        </is>
      </c>
      <c r="N557" t="inlineStr">
        <is>
          <t>7833-9440</t>
        </is>
      </c>
      <c r="O557" t="inlineStr">
        <is>
          <t>Consumidor final</t>
        </is>
      </c>
      <c r="P557" t="inlineStr">
        <is>
          <t>HIG-002</t>
        </is>
      </c>
      <c r="Q557" t="inlineStr">
        <is>
          <t>Papel higiénico 4 rollos</t>
        </is>
      </c>
      <c r="R557" t="inlineStr">
        <is>
          <t>Limpieza</t>
        </is>
      </c>
      <c r="S557" t="inlineStr">
        <is>
          <t>Higiene Total C.A.</t>
        </is>
      </c>
      <c r="T557" t="inlineStr">
        <is>
          <t>2207-5566</t>
        </is>
      </c>
      <c r="U557" t="n">
        <v>2.15</v>
      </c>
      <c r="V557" t="n">
        <v>4</v>
      </c>
      <c r="W557" t="n">
        <v>0</v>
      </c>
      <c r="X557">
        <f>IFERROR(U557*V557*(1-W557/100),"")</f>
        <v/>
      </c>
      <c r="Y557">
        <f>IFERROR(ROUND(X557*0.13,2),"")</f>
        <v/>
      </c>
      <c r="Z557">
        <f>IFERROR(X557+Y557,"")</f>
        <v/>
      </c>
      <c r="AA557" t="inlineStr">
        <is>
          <t>Transferencia</t>
        </is>
      </c>
      <c r="AB557" t="inlineStr">
        <is>
          <t>Llamar al 7788-1234 antes de entregar</t>
        </is>
      </c>
    </row>
    <row r="558">
      <c r="A558" t="inlineStr">
        <is>
          <t>F-10909</t>
        </is>
      </c>
      <c r="B558" s="3" t="n">
        <v>46290</v>
      </c>
      <c r="C558" t="inlineStr">
        <is>
          <t>factura</t>
        </is>
      </c>
      <c r="D558" t="inlineStr">
        <is>
          <t>LL01</t>
        </is>
      </c>
      <c r="E558" t="inlineStr">
        <is>
          <t>Sta. Tecla</t>
        </is>
      </c>
      <c r="F558" t="inlineStr">
        <is>
          <t>Calle Daniel Hernández #18</t>
        </is>
      </c>
      <c r="G558" t="inlineStr">
        <is>
          <t>Santa Tecla</t>
        </is>
      </c>
      <c r="H558" t="inlineStr">
        <is>
          <t>La Libertad</t>
        </is>
      </c>
      <c r="I558" t="inlineStr">
        <is>
          <t>Óscar Rivas</t>
        </is>
      </c>
      <c r="J558" t="inlineStr">
        <is>
          <t>2228-7731</t>
        </is>
      </c>
      <c r="K558" t="inlineStr">
        <is>
          <t>Luis Escobar</t>
        </is>
      </c>
      <c r="L558" t="inlineStr">
        <is>
          <t>Mario Castillo Lemus</t>
        </is>
      </c>
      <c r="M558" t="inlineStr"/>
      <c r="N558" t="inlineStr">
        <is>
          <t>7833-9440</t>
        </is>
      </c>
      <c r="O558" t="inlineStr">
        <is>
          <t>Consumidor final</t>
        </is>
      </c>
      <c r="P558" t="inlineStr">
        <is>
          <t>CAF-002</t>
        </is>
      </c>
      <c r="Q558" t="inlineStr">
        <is>
          <t>Café en grano 1lb</t>
        </is>
      </c>
      <c r="R558" t="inlineStr">
        <is>
          <t>Abarrotes</t>
        </is>
      </c>
      <c r="S558" t="inlineStr">
        <is>
          <t>Café Volcán S.A.</t>
        </is>
      </c>
      <c r="T558" t="inlineStr">
        <is>
          <t>2510-3344</t>
        </is>
      </c>
      <c r="U558" t="inlineStr">
        <is>
          <t>6,75</t>
        </is>
      </c>
      <c r="V558" t="n">
        <v>1</v>
      </c>
      <c r="W558" t="n">
        <v>0</v>
      </c>
      <c r="X558">
        <f>IFERROR(U558*V558*(1-W558/100),"")</f>
        <v/>
      </c>
      <c r="Y558">
        <f>IFERROR(ROUND(X558*0.13,2),"")</f>
        <v/>
      </c>
      <c r="Z558">
        <f>IFERROR(X558+Y558,"")</f>
        <v/>
      </c>
      <c r="AA558" t="inlineStr">
        <is>
          <t>Transferencia</t>
        </is>
      </c>
      <c r="AB558" t="inlineStr">
        <is>
          <t>Cliente frecuente</t>
        </is>
      </c>
    </row>
    <row r="559">
      <c r="A559" t="inlineStr">
        <is>
          <t>F-10910</t>
        </is>
      </c>
      <c r="B559" t="inlineStr">
        <is>
          <t>2026-07-11</t>
        </is>
      </c>
      <c r="C559" t="inlineStr">
        <is>
          <t>factura</t>
        </is>
      </c>
      <c r="D559" t="inlineStr">
        <is>
          <t>SS01</t>
        </is>
      </c>
      <c r="E559" t="inlineStr">
        <is>
          <t>S.S. Centro</t>
        </is>
      </c>
      <c r="F559" t="inlineStr">
        <is>
          <t>4a Calle Poniente #215</t>
        </is>
      </c>
      <c r="G559" t="inlineStr">
        <is>
          <t>San Salvador</t>
        </is>
      </c>
      <c r="H559" t="inlineStr">
        <is>
          <t>San Salvador</t>
        </is>
      </c>
      <c r="I559" t="inlineStr">
        <is>
          <t>Roberto Alfaro</t>
        </is>
      </c>
      <c r="J559" t="inlineStr">
        <is>
          <t>2221-4580</t>
        </is>
      </c>
      <c r="K559" t="inlineStr">
        <is>
          <t>Daniela Orellana</t>
        </is>
      </c>
      <c r="L559" t="inlineStr">
        <is>
          <t>Walter Quintanilla Rivera</t>
        </is>
      </c>
      <c r="M559" t="inlineStr">
        <is>
          <t>08724671-3</t>
        </is>
      </c>
      <c r="N559" t="inlineStr">
        <is>
          <t>6114-2738</t>
        </is>
      </c>
      <c r="O559" t="inlineStr">
        <is>
          <t>Consumidor final</t>
        </is>
      </c>
      <c r="P559" t="inlineStr">
        <is>
          <t>HIG-003</t>
        </is>
      </c>
      <c r="Q559" t="inlineStr">
        <is>
          <t>Jabón de lavar barra</t>
        </is>
      </c>
      <c r="R559" t="inlineStr">
        <is>
          <t>Limpieza</t>
        </is>
      </c>
      <c r="S559" t="inlineStr">
        <is>
          <t>Higiene Total C.A.</t>
        </is>
      </c>
      <c r="T559" t="inlineStr">
        <is>
          <t>2207-5566</t>
        </is>
      </c>
      <c r="U559" t="n">
        <v>0.75</v>
      </c>
      <c r="V559" t="n">
        <v>4</v>
      </c>
      <c r="W559" t="n">
        <v>0</v>
      </c>
      <c r="X559">
        <f>IFERROR(U559*V559*(1-W559/100),"")</f>
        <v/>
      </c>
      <c r="Y559">
        <f>IFERROR(ROUND(X559*0.13,2),"")</f>
        <v/>
      </c>
      <c r="Z559">
        <f>IFERROR(X559+Y559,"")</f>
        <v/>
      </c>
      <c r="AA559" t="inlineStr">
        <is>
          <t>TARJETA</t>
        </is>
      </c>
      <c r="AB559" t="inlineStr"/>
    </row>
    <row r="560">
      <c r="A560" t="inlineStr">
        <is>
          <t>F-10910</t>
        </is>
      </c>
      <c r="B560" s="3" t="n">
        <v>46214</v>
      </c>
      <c r="C560" t="inlineStr">
        <is>
          <t>factura</t>
        </is>
      </c>
      <c r="D560" t="inlineStr">
        <is>
          <t>SS01</t>
        </is>
      </c>
      <c r="E560" t="inlineStr">
        <is>
          <t>San Salvador Centro</t>
        </is>
      </c>
      <c r="F560" t="inlineStr">
        <is>
          <t>4a Calle Poniente #215</t>
        </is>
      </c>
      <c r="G560" t="inlineStr">
        <is>
          <t>San Salvador</t>
        </is>
      </c>
      <c r="H560" t="inlineStr">
        <is>
          <t>San Salvador</t>
        </is>
      </c>
      <c r="I560" t="inlineStr">
        <is>
          <t>Roberto Alfaro</t>
        </is>
      </c>
      <c r="J560" t="inlineStr">
        <is>
          <t>2221-4580</t>
        </is>
      </c>
      <c r="K560" t="inlineStr">
        <is>
          <t>Daniela Orellana</t>
        </is>
      </c>
      <c r="L560" t="inlineStr">
        <is>
          <t>Walter Quintanilla Rivera</t>
        </is>
      </c>
      <c r="M560" t="inlineStr">
        <is>
          <t>08724671-3</t>
        </is>
      </c>
      <c r="N560" t="inlineStr">
        <is>
          <t>6114-2738</t>
        </is>
      </c>
      <c r="O560" t="inlineStr">
        <is>
          <t>Consumidor final</t>
        </is>
      </c>
      <c r="P560" t="inlineStr">
        <is>
          <t>LAC-001</t>
        </is>
      </c>
      <c r="Q560" t="inlineStr">
        <is>
          <t>Quesillo 1lb</t>
        </is>
      </c>
      <c r="R560" t="inlineStr">
        <is>
          <t>Lácteos</t>
        </is>
      </c>
      <c r="S560" t="inlineStr">
        <is>
          <t>Lácteos Chalate</t>
        </is>
      </c>
      <c r="T560" t="inlineStr">
        <is>
          <t>2335-1020</t>
        </is>
      </c>
      <c r="U560" t="n">
        <v>3.5</v>
      </c>
      <c r="V560" t="n">
        <v>6</v>
      </c>
      <c r="W560" t="n">
        <v>0</v>
      </c>
      <c r="X560">
        <f>IFERROR(U560*V560*(1-W560/100),"")</f>
        <v/>
      </c>
      <c r="Y560">
        <f>IFERROR(ROUND(X560*0.13,2),"")</f>
        <v/>
      </c>
      <c r="Z560">
        <f>IFERROR(X560+Y560,"")</f>
        <v/>
      </c>
      <c r="AA560" t="inlineStr">
        <is>
          <t>TARJETA</t>
        </is>
      </c>
      <c r="AB560" t="inlineStr">
        <is>
          <t>pagó con billete de $100</t>
        </is>
      </c>
    </row>
    <row r="561">
      <c r="A561" t="inlineStr">
        <is>
          <t>F-10910</t>
        </is>
      </c>
      <c r="B561" t="inlineStr">
        <is>
          <t>11-Jul-26</t>
        </is>
      </c>
      <c r="C561" t="inlineStr">
        <is>
          <t>factura</t>
        </is>
      </c>
      <c r="D561" t="inlineStr">
        <is>
          <t>SS01</t>
        </is>
      </c>
      <c r="E561" t="inlineStr">
        <is>
          <t>S.S. Centro</t>
        </is>
      </c>
      <c r="F561" t="inlineStr">
        <is>
          <t>4a Calle Poniente #215</t>
        </is>
      </c>
      <c r="G561" t="inlineStr">
        <is>
          <t>San Salvador</t>
        </is>
      </c>
      <c r="H561" t="inlineStr">
        <is>
          <t>San Salvador</t>
        </is>
      </c>
      <c r="I561" t="inlineStr">
        <is>
          <t>Roberto Alfaro</t>
        </is>
      </c>
      <c r="J561" t="inlineStr">
        <is>
          <t>2221-4580</t>
        </is>
      </c>
      <c r="K561" t="inlineStr">
        <is>
          <t>Daniela Orellana</t>
        </is>
      </c>
      <c r="L561" t="inlineStr">
        <is>
          <t>Walter Quintanilla Rivera</t>
        </is>
      </c>
      <c r="M561" t="inlineStr">
        <is>
          <t>08724671-3</t>
        </is>
      </c>
      <c r="N561" t="inlineStr">
        <is>
          <t>6114-2738</t>
        </is>
      </c>
      <c r="O561" t="inlineStr">
        <is>
          <t>Consumidor final</t>
        </is>
      </c>
      <c r="P561" t="inlineStr">
        <is>
          <t>HIG-002</t>
        </is>
      </c>
      <c r="Q561" t="inlineStr">
        <is>
          <t>Papel higiénico 4 rollos</t>
        </is>
      </c>
      <c r="R561" t="inlineStr">
        <is>
          <t>Limpieza</t>
        </is>
      </c>
      <c r="S561" t="inlineStr">
        <is>
          <t>Higiene Total C.A.</t>
        </is>
      </c>
      <c r="T561" t="inlineStr">
        <is>
          <t>2207-5566</t>
        </is>
      </c>
      <c r="U561" t="n">
        <v>2.15</v>
      </c>
      <c r="V561" t="n">
        <v>4</v>
      </c>
      <c r="W561" t="n">
        <v>0</v>
      </c>
      <c r="X561">
        <f>IFERROR(U561*V561*(1-W561/100),"")</f>
        <v/>
      </c>
      <c r="Y561">
        <f>IFERROR(ROUND(X561*0.13,2),"")</f>
        <v/>
      </c>
      <c r="Z561">
        <f>IFERROR(X561+Y561,"")</f>
        <v/>
      </c>
      <c r="AA561" t="inlineStr">
        <is>
          <t>TARJETA</t>
        </is>
      </c>
      <c r="AB561" t="inlineStr"/>
    </row>
    <row r="562">
      <c r="A562" t="inlineStr">
        <is>
          <t>F-10910</t>
        </is>
      </c>
      <c r="B562" t="inlineStr">
        <is>
          <t>11/07/2026</t>
        </is>
      </c>
      <c r="C562" t="inlineStr">
        <is>
          <t>factura</t>
        </is>
      </c>
      <c r="D562" t="inlineStr">
        <is>
          <t>SS01</t>
        </is>
      </c>
      <c r="E562" t="inlineStr">
        <is>
          <t>San Salvador Centro</t>
        </is>
      </c>
      <c r="F562" t="inlineStr">
        <is>
          <t>4a Calle Poniente #215</t>
        </is>
      </c>
      <c r="G562" t="inlineStr">
        <is>
          <t>San Salvador</t>
        </is>
      </c>
      <c r="H562" t="inlineStr">
        <is>
          <t>San Salvador</t>
        </is>
      </c>
      <c r="I562" t="inlineStr">
        <is>
          <t>Roberto Alfaro</t>
        </is>
      </c>
      <c r="J562" t="inlineStr">
        <is>
          <t>2221-4580</t>
        </is>
      </c>
      <c r="K562" t="inlineStr">
        <is>
          <t>Daniela Orellana</t>
        </is>
      </c>
      <c r="L562" t="inlineStr">
        <is>
          <t>Walter Quintanilla Rivera</t>
        </is>
      </c>
      <c r="M562" t="inlineStr"/>
      <c r="N562" t="inlineStr">
        <is>
          <t>6114-2738</t>
        </is>
      </c>
      <c r="O562" t="inlineStr">
        <is>
          <t>Consumidor final</t>
        </is>
      </c>
      <c r="P562" t="inlineStr">
        <is>
          <t>LAC-002</t>
        </is>
      </c>
      <c r="Q562" t="inlineStr">
        <is>
          <t>Crema 500ml</t>
        </is>
      </c>
      <c r="R562" t="inlineStr">
        <is>
          <t>Lacteos</t>
        </is>
      </c>
      <c r="S562" t="inlineStr">
        <is>
          <t>Lácteos Chalate</t>
        </is>
      </c>
      <c r="T562" t="inlineStr">
        <is>
          <t>2335-1020</t>
        </is>
      </c>
      <c r="U562" t="n">
        <v>2.25</v>
      </c>
      <c r="V562" t="n">
        <v>24</v>
      </c>
      <c r="W562" t="n">
        <v>0</v>
      </c>
      <c r="X562">
        <f>IFERROR(U562*V562*(1-W562/100),"")</f>
        <v/>
      </c>
      <c r="Y562">
        <f>IFERROR(ROUND(X562*0.13,2),"")</f>
        <v/>
      </c>
      <c r="Z562">
        <f>IFERROR(X562+Y562,"")</f>
        <v/>
      </c>
      <c r="AA562" t="inlineStr">
        <is>
          <t>TARJETA</t>
        </is>
      </c>
      <c r="AB562" t="inlineStr">
        <is>
          <t>Cliente frecuente</t>
        </is>
      </c>
    </row>
    <row r="563">
      <c r="A563" t="inlineStr">
        <is>
          <t>F-10913</t>
        </is>
      </c>
      <c r="B563" t="inlineStr">
        <is>
          <t>24/08/2026</t>
        </is>
      </c>
      <c r="C563" t="inlineStr">
        <is>
          <t>FCF</t>
        </is>
      </c>
      <c r="D563" t="inlineStr">
        <is>
          <t>LL01</t>
        </is>
      </c>
      <c r="E563" t="inlineStr">
        <is>
          <t>SANTA TECLA</t>
        </is>
      </c>
      <c r="F563" t="inlineStr">
        <is>
          <t>Calle Daniel Hernández #18</t>
        </is>
      </c>
      <c r="G563" t="inlineStr">
        <is>
          <t>Santa Tecla</t>
        </is>
      </c>
      <c r="H563" t="inlineStr">
        <is>
          <t>La Libertad</t>
        </is>
      </c>
      <c r="I563" t="inlineStr">
        <is>
          <t>Óscar Rivas</t>
        </is>
      </c>
      <c r="J563" t="inlineStr">
        <is>
          <t>2228-7731</t>
        </is>
      </c>
      <c r="K563" t="inlineStr">
        <is>
          <t>Luis Escobar</t>
        </is>
      </c>
      <c r="L563" t="inlineStr">
        <is>
          <t>RENÉ ALVARADO LEMUS</t>
        </is>
      </c>
      <c r="M563" t="inlineStr">
        <is>
          <t>07676586-8</t>
        </is>
      </c>
      <c r="N563" t="inlineStr">
        <is>
          <t>6907-6114</t>
        </is>
      </c>
      <c r="O563" t="inlineStr">
        <is>
          <t>Consumidor final</t>
        </is>
      </c>
      <c r="P563" t="inlineStr">
        <is>
          <t>PAN-001</t>
        </is>
      </c>
      <c r="Q563" t="inlineStr">
        <is>
          <t>Pan francés bolsa 10u</t>
        </is>
      </c>
      <c r="R563" t="inlineStr">
        <is>
          <t>Panaderia</t>
        </is>
      </c>
      <c r="S563" t="inlineStr">
        <is>
          <t>Panificadora Ilopango</t>
        </is>
      </c>
      <c r="T563" t="inlineStr">
        <is>
          <t>2295-0081</t>
        </is>
      </c>
      <c r="U563" t="inlineStr">
        <is>
          <t>1,00</t>
        </is>
      </c>
      <c r="V563" t="n">
        <v>2</v>
      </c>
      <c r="W563" t="n">
        <v>0</v>
      </c>
      <c r="X563">
        <f>IFERROR(U563*V563*(1-W563/100),"")</f>
        <v/>
      </c>
      <c r="Y563">
        <f>IFERROR(ROUND(X563*0.13,2),"")</f>
        <v/>
      </c>
      <c r="Z563">
        <f>IFERROR(X563+Y563,"")</f>
        <v/>
      </c>
      <c r="AA563" t="inlineStr">
        <is>
          <t>Efectivo</t>
        </is>
      </c>
      <c r="AB563" t="inlineStr">
        <is>
          <t>Cliente frecuente</t>
        </is>
      </c>
    </row>
    <row r="564">
      <c r="A564" t="inlineStr">
        <is>
          <t>F-10913</t>
        </is>
      </c>
      <c r="B564" t="inlineStr">
        <is>
          <t>24-Aug-26</t>
        </is>
      </c>
      <c r="C564" t="inlineStr">
        <is>
          <t>FCF</t>
        </is>
      </c>
      <c r="D564" t="inlineStr">
        <is>
          <t>LL01</t>
        </is>
      </c>
      <c r="E564" t="inlineStr">
        <is>
          <t>Santa Tecla</t>
        </is>
      </c>
      <c r="F564" t="inlineStr">
        <is>
          <t>Calle Daniel Hernández #18</t>
        </is>
      </c>
      <c r="G564" t="inlineStr">
        <is>
          <t>Santa Tecla</t>
        </is>
      </c>
      <c r="H564" t="inlineStr">
        <is>
          <t>La Libertad</t>
        </is>
      </c>
      <c r="I564" t="inlineStr">
        <is>
          <t>Óscar Rivas</t>
        </is>
      </c>
      <c r="J564" t="inlineStr">
        <is>
          <t>2228-7731</t>
        </is>
      </c>
      <c r="K564" t="inlineStr">
        <is>
          <t>Luis Escobar</t>
        </is>
      </c>
      <c r="L564" t="inlineStr">
        <is>
          <t>René Alvarado Lemus</t>
        </is>
      </c>
      <c r="M564" t="inlineStr">
        <is>
          <t>07676586-8</t>
        </is>
      </c>
      <c r="N564" t="inlineStr">
        <is>
          <t>6907-6114</t>
        </is>
      </c>
      <c r="O564" t="inlineStr">
        <is>
          <t>Consumidor final</t>
        </is>
      </c>
      <c r="P564" t="inlineStr">
        <is>
          <t>LAC-001</t>
        </is>
      </c>
      <c r="Q564" t="inlineStr">
        <is>
          <t>Quesillo 1lb</t>
        </is>
      </c>
      <c r="R564" t="inlineStr">
        <is>
          <t>Lacteos</t>
        </is>
      </c>
      <c r="S564" t="inlineStr">
        <is>
          <t>Lácteos Chalate</t>
        </is>
      </c>
      <c r="T564" t="inlineStr">
        <is>
          <t>2335-1020</t>
        </is>
      </c>
      <c r="U564" t="n">
        <v>3.8</v>
      </c>
      <c r="V564" t="n">
        <v>2</v>
      </c>
      <c r="W564" t="n">
        <v>0</v>
      </c>
      <c r="X564">
        <f>IFERROR(U564*V564*(1-W564/100),"")</f>
        <v/>
      </c>
      <c r="Y564">
        <f>IFERROR(ROUND(X564*0.13,2),"")</f>
        <v/>
      </c>
      <c r="Z564">
        <f>IFERROR(X564+Y564,"")</f>
        <v/>
      </c>
      <c r="AA564" t="inlineStr">
        <is>
          <t>Efectivo</t>
        </is>
      </c>
      <c r="AB564" t="inlineStr"/>
    </row>
    <row r="565">
      <c r="A565" t="inlineStr">
        <is>
          <t>F-10913</t>
        </is>
      </c>
      <c r="B565" s="3" t="n">
        <v>46258</v>
      </c>
      <c r="C565" t="inlineStr">
        <is>
          <t>FCF</t>
        </is>
      </c>
      <c r="D565" t="inlineStr">
        <is>
          <t>LL01</t>
        </is>
      </c>
      <c r="E565" t="inlineStr">
        <is>
          <t>Santa Tecla</t>
        </is>
      </c>
      <c r="F565" t="inlineStr">
        <is>
          <t>Calle Daniel Hernández #18</t>
        </is>
      </c>
      <c r="G565" t="inlineStr">
        <is>
          <t>Santa Tecla</t>
        </is>
      </c>
      <c r="H565" t="inlineStr">
        <is>
          <t>La Libertad</t>
        </is>
      </c>
      <c r="I565" t="inlineStr">
        <is>
          <t>Óscar Rivas</t>
        </is>
      </c>
      <c r="J565" t="inlineStr">
        <is>
          <t>2228-7731</t>
        </is>
      </c>
      <c r="K565" t="inlineStr">
        <is>
          <t>Luis Escobar</t>
        </is>
      </c>
      <c r="L565" t="inlineStr">
        <is>
          <t>René Alvarado Lemus</t>
        </is>
      </c>
      <c r="M565" t="inlineStr">
        <is>
          <t>07676586-8</t>
        </is>
      </c>
      <c r="N565" t="inlineStr">
        <is>
          <t>6907-6114</t>
        </is>
      </c>
      <c r="O565" t="inlineStr">
        <is>
          <t>Consumidor final</t>
        </is>
      </c>
      <c r="P565" t="inlineStr">
        <is>
          <t>FRI-001</t>
        </is>
      </c>
      <c r="Q565" t="inlineStr">
        <is>
          <t>Frijol rojo de seda 2lb</t>
        </is>
      </c>
      <c r="R565" t="inlineStr">
        <is>
          <t>Granos básicos</t>
        </is>
      </c>
      <c r="S565" t="inlineStr">
        <is>
          <t>Granos del Pacífico</t>
        </is>
      </c>
      <c r="T565" t="inlineStr">
        <is>
          <t>2234-8890</t>
        </is>
      </c>
      <c r="U565" t="inlineStr">
        <is>
          <t>$2.40</t>
        </is>
      </c>
      <c r="V565" t="n">
        <v>6</v>
      </c>
      <c r="W565" t="n">
        <v>0</v>
      </c>
      <c r="X565">
        <f>IFERROR(U565*V565*(1-W565/100),"")</f>
        <v/>
      </c>
      <c r="Y565">
        <f>IFERROR(ROUND(X565*0.13,2),"")</f>
        <v/>
      </c>
      <c r="Z565">
        <f>IFERROR(X565+Y565,"")</f>
        <v/>
      </c>
      <c r="AA565" t="inlineStr">
        <is>
          <t>Efectivo</t>
        </is>
      </c>
      <c r="AB565" t="inlineStr">
        <is>
          <t>entregar en bodega</t>
        </is>
      </c>
    </row>
    <row r="566">
      <c r="A566" t="inlineStr">
        <is>
          <t>F-10913</t>
        </is>
      </c>
      <c r="B566" s="3" t="n">
        <v>46258</v>
      </c>
      <c r="C566" t="inlineStr">
        <is>
          <t>FCF</t>
        </is>
      </c>
      <c r="D566" t="inlineStr">
        <is>
          <t>LL01</t>
        </is>
      </c>
      <c r="E566" t="inlineStr">
        <is>
          <t>Santa Tecla</t>
        </is>
      </c>
      <c r="F566" t="inlineStr">
        <is>
          <t>Calle Daniel Hernández #18</t>
        </is>
      </c>
      <c r="G566" t="inlineStr">
        <is>
          <t>Santa Tecla</t>
        </is>
      </c>
      <c r="H566" t="inlineStr">
        <is>
          <t>La Libertad</t>
        </is>
      </c>
      <c r="I566" t="inlineStr">
        <is>
          <t>Óscar Rivas</t>
        </is>
      </c>
      <c r="J566" t="inlineStr">
        <is>
          <t>2228-7731</t>
        </is>
      </c>
      <c r="K566" t="inlineStr">
        <is>
          <t>Luis Escobar</t>
        </is>
      </c>
      <c r="L566" t="inlineStr">
        <is>
          <t>René Alvarado Lemus</t>
        </is>
      </c>
      <c r="M566" t="inlineStr">
        <is>
          <t>07676586-8</t>
        </is>
      </c>
      <c r="N566" t="inlineStr">
        <is>
          <t>6907-6114</t>
        </is>
      </c>
      <c r="O566" t="inlineStr">
        <is>
          <t>Consumidor final</t>
        </is>
      </c>
      <c r="P566" t="inlineStr">
        <is>
          <t>PAN-002</t>
        </is>
      </c>
      <c r="Q566" t="inlineStr">
        <is>
          <t>Semita alta</t>
        </is>
      </c>
      <c r="R566" t="inlineStr">
        <is>
          <t>Panadería</t>
        </is>
      </c>
      <c r="S566" t="inlineStr">
        <is>
          <t>Panificadora Ilopango</t>
        </is>
      </c>
      <c r="T566" t="inlineStr">
        <is>
          <t>2295-0081</t>
        </is>
      </c>
      <c r="U566" t="n">
        <v>1.75</v>
      </c>
      <c r="V566" t="n">
        <v>6</v>
      </c>
      <c r="W566" t="n">
        <v>0</v>
      </c>
      <c r="X566">
        <f>IFERROR(U566*V566*(1-W566/100),"")</f>
        <v/>
      </c>
      <c r="Y566">
        <f>IFERROR(ROUND(X566*0.13,2),"")</f>
        <v/>
      </c>
      <c r="Z566">
        <f>IFERROR(X566+Y566,"")</f>
        <v/>
      </c>
      <c r="AA566" t="inlineStr">
        <is>
          <t>Efectivo</t>
        </is>
      </c>
      <c r="AB566" t="inlineStr">
        <is>
          <t>Llamar al 7788-1234 antes de entregar</t>
        </is>
      </c>
    </row>
    <row r="567">
      <c r="A567" t="inlineStr">
        <is>
          <t>F-10915</t>
        </is>
      </c>
      <c r="B567" s="3" t="n">
        <v>46273</v>
      </c>
      <c r="C567" t="inlineStr">
        <is>
          <t>FCF</t>
        </is>
      </c>
      <c r="D567" t="inlineStr">
        <is>
          <t>SS03</t>
        </is>
      </c>
      <c r="E567" t="inlineStr">
        <is>
          <t>Soyapango</t>
        </is>
      </c>
      <c r="F567" t="inlineStr">
        <is>
          <t>Blvd. del Ejército km 4</t>
        </is>
      </c>
      <c r="G567" t="inlineStr">
        <is>
          <t>Soyapango</t>
        </is>
      </c>
      <c r="H567" t="inlineStr">
        <is>
          <t>San Salvador</t>
        </is>
      </c>
      <c r="I567" t="inlineStr">
        <is>
          <t>Karla Henríquez</t>
        </is>
      </c>
      <c r="J567" t="inlineStr">
        <is>
          <t>2277-3402</t>
        </is>
      </c>
      <c r="K567" t="inlineStr">
        <is>
          <t>Marta Gómez</t>
        </is>
      </c>
      <c r="L567" t="inlineStr">
        <is>
          <t>Ana Hernández Rivera</t>
        </is>
      </c>
      <c r="M567" t="inlineStr">
        <is>
          <t>07687780-8</t>
        </is>
      </c>
      <c r="N567" t="inlineStr">
        <is>
          <t>6468-4274</t>
        </is>
      </c>
      <c r="O567" t="inlineStr">
        <is>
          <t>Consumidor final</t>
        </is>
      </c>
      <c r="P567" t="inlineStr">
        <is>
          <t>LAC-001</t>
        </is>
      </c>
      <c r="Q567" t="inlineStr">
        <is>
          <t>Quesillo 1lb</t>
        </is>
      </c>
      <c r="R567" t="inlineStr">
        <is>
          <t>LACTEOS</t>
        </is>
      </c>
      <c r="S567" t="inlineStr">
        <is>
          <t>Lácteos Chalate</t>
        </is>
      </c>
      <c r="T567" t="inlineStr">
        <is>
          <t>2335-1020</t>
        </is>
      </c>
      <c r="U567" t="n">
        <v>3.8</v>
      </c>
      <c r="V567" t="n">
        <v>3</v>
      </c>
      <c r="W567" t="n">
        <v>0</v>
      </c>
      <c r="X567">
        <f>IFERROR(U567*V567*(1-W567/100),"")</f>
        <v/>
      </c>
      <c r="Y567">
        <f>IFERROR(ROUND(X567*0.13,2),"")</f>
        <v/>
      </c>
      <c r="Z567">
        <f>IFERROR(X567+Y567,"")</f>
        <v/>
      </c>
      <c r="AA567" t="inlineStr">
        <is>
          <t>Chivo</t>
        </is>
      </c>
      <c r="AB567" t="inlineStr">
        <is>
          <t>Cliente frecuente</t>
        </is>
      </c>
    </row>
    <row r="568">
      <c r="A568" t="inlineStr">
        <is>
          <t>F-10918</t>
        </is>
      </c>
      <c r="B568" s="3" t="n">
        <v>46264</v>
      </c>
      <c r="C568" t="inlineStr">
        <is>
          <t>Factura</t>
        </is>
      </c>
      <c r="D568" t="inlineStr">
        <is>
          <t>SS03</t>
        </is>
      </c>
      <c r="E568" t="inlineStr">
        <is>
          <t>Soyapango</t>
        </is>
      </c>
      <c r="F568" t="inlineStr">
        <is>
          <t>Blvd. del Ejército km 4</t>
        </is>
      </c>
      <c r="G568" t="inlineStr">
        <is>
          <t>Soyapango</t>
        </is>
      </c>
      <c r="H568" t="inlineStr">
        <is>
          <t>San Salvador</t>
        </is>
      </c>
      <c r="I568" t="inlineStr">
        <is>
          <t>Karla Henríquez</t>
        </is>
      </c>
      <c r="J568" t="inlineStr">
        <is>
          <t>2277-3402</t>
        </is>
      </c>
      <c r="K568" t="inlineStr">
        <is>
          <t>Marta Gómez</t>
        </is>
      </c>
      <c r="L568" t="inlineStr">
        <is>
          <t>Patricia García Martínez</t>
        </is>
      </c>
      <c r="M568" t="inlineStr"/>
      <c r="N568" t="inlineStr">
        <is>
          <t>6660-5283</t>
        </is>
      </c>
      <c r="O568" t="inlineStr">
        <is>
          <t>Consumidor final</t>
        </is>
      </c>
      <c r="P568" t="inlineStr">
        <is>
          <t>BEB-001</t>
        </is>
      </c>
      <c r="Q568" t="inlineStr">
        <is>
          <t>Gaseosa 2.5L</t>
        </is>
      </c>
      <c r="R568" t="inlineStr">
        <is>
          <t>bebidas</t>
        </is>
      </c>
      <c r="S568" t="inlineStr">
        <is>
          <t>Bebidas Izalco</t>
        </is>
      </c>
      <c r="T568" t="inlineStr">
        <is>
          <t>2450-7700</t>
        </is>
      </c>
      <c r="U568" t="inlineStr">
        <is>
          <t>$1.95</t>
        </is>
      </c>
      <c r="V568" t="n">
        <v>3</v>
      </c>
      <c r="W568" t="n">
        <v>0</v>
      </c>
      <c r="X568">
        <f>IFERROR(U568*V568*(1-W568/100),"")</f>
        <v/>
      </c>
      <c r="Y568">
        <f>IFERROR(ROUND(X568*0.13,2),"")</f>
        <v/>
      </c>
      <c r="Z568">
        <f>IFERROR(X568+Y568,"")</f>
        <v/>
      </c>
      <c r="AA568" t="inlineStr">
        <is>
          <t>efectivo</t>
        </is>
      </c>
      <c r="AB568" t="inlineStr">
        <is>
          <t>Cliente frecuente</t>
        </is>
      </c>
    </row>
    <row r="569">
      <c r="A569" t="inlineStr">
        <is>
          <t>F-10918</t>
        </is>
      </c>
      <c r="B569" s="3" t="n">
        <v>46264</v>
      </c>
      <c r="C569" t="inlineStr">
        <is>
          <t>Factura</t>
        </is>
      </c>
      <c r="D569" t="inlineStr">
        <is>
          <t>SS03</t>
        </is>
      </c>
      <c r="E569" t="inlineStr">
        <is>
          <t xml:space="preserve">SOYAPANGO </t>
        </is>
      </c>
      <c r="F569" t="inlineStr">
        <is>
          <t>Blvd. del Ejército km 4</t>
        </is>
      </c>
      <c r="G569" t="inlineStr">
        <is>
          <t>Soyapango</t>
        </is>
      </c>
      <c r="H569" t="inlineStr">
        <is>
          <t>San Salvador</t>
        </is>
      </c>
      <c r="I569" t="inlineStr">
        <is>
          <t>Karla Henríquez</t>
        </is>
      </c>
      <c r="J569" t="inlineStr">
        <is>
          <t>2277-3402</t>
        </is>
      </c>
      <c r="K569" t="inlineStr">
        <is>
          <t>Marta Gómez</t>
        </is>
      </c>
      <c r="L569" t="inlineStr">
        <is>
          <t>Patricia García Martínez</t>
        </is>
      </c>
      <c r="M569" t="inlineStr">
        <is>
          <t>02380558-6</t>
        </is>
      </c>
      <c r="N569" t="inlineStr">
        <is>
          <t>6660-5283</t>
        </is>
      </c>
      <c r="O569" t="inlineStr">
        <is>
          <t>Consumidor final</t>
        </is>
      </c>
      <c r="P569" t="inlineStr">
        <is>
          <t>BEB-003</t>
        </is>
      </c>
      <c r="Q569" t="inlineStr">
        <is>
          <t>Horchata en polvo 400g</t>
        </is>
      </c>
      <c r="R569" t="inlineStr">
        <is>
          <t>Bebidas</t>
        </is>
      </c>
      <c r="S569" t="inlineStr">
        <is>
          <t>Bebidas Izalco</t>
        </is>
      </c>
      <c r="T569" t="inlineStr">
        <is>
          <t>2450-7700</t>
        </is>
      </c>
      <c r="U569" t="n">
        <v>2.6</v>
      </c>
      <c r="V569" t="n">
        <v>2</v>
      </c>
      <c r="W569" t="n">
        <v>0</v>
      </c>
      <c r="X569">
        <f>IFERROR(U569*V569*(1-W569/100),"")</f>
        <v/>
      </c>
      <c r="Y569">
        <f>IFERROR(ROUND(X569*0.13,2),"")</f>
        <v/>
      </c>
      <c r="Z569">
        <f>IFERROR(X569+Y569,"")</f>
        <v/>
      </c>
      <c r="AA569" t="inlineStr">
        <is>
          <t>efectivo</t>
        </is>
      </c>
      <c r="AB569" t="inlineStr"/>
    </row>
    <row r="570">
      <c r="A570" t="inlineStr">
        <is>
          <t>F-10921</t>
        </is>
      </c>
      <c r="B570" t="inlineStr">
        <is>
          <t>21-Sep-26</t>
        </is>
      </c>
      <c r="C570" t="inlineStr">
        <is>
          <t>Factura</t>
        </is>
      </c>
      <c r="D570" t="inlineStr">
        <is>
          <t>SA01</t>
        </is>
      </c>
      <c r="E570" t="inlineStr">
        <is>
          <t>Santa  Ana</t>
        </is>
      </c>
      <c r="F570" t="inlineStr">
        <is>
          <t>Av. Independencia Sur #12</t>
        </is>
      </c>
      <c r="G570" t="inlineStr">
        <is>
          <t>Santa Ana</t>
        </is>
      </c>
      <c r="H570" t="inlineStr">
        <is>
          <t>Santa Ana</t>
        </is>
      </c>
      <c r="I570" t="inlineStr">
        <is>
          <t>Mauricio Linares</t>
        </is>
      </c>
      <c r="J570" t="inlineStr">
        <is>
          <t>2440-9921</t>
        </is>
      </c>
      <c r="K570" t="inlineStr">
        <is>
          <t>Sofía Cáceres</t>
        </is>
      </c>
      <c r="L570" t="inlineStr">
        <is>
          <t>Rosa Romero López</t>
        </is>
      </c>
      <c r="M570" t="inlineStr">
        <is>
          <t>06188185-5</t>
        </is>
      </c>
      <c r="N570" t="inlineStr">
        <is>
          <t>6532-2485</t>
        </is>
      </c>
      <c r="O570" t="inlineStr">
        <is>
          <t>Consumidor final</t>
        </is>
      </c>
      <c r="P570" t="inlineStr">
        <is>
          <t>PAN-003</t>
        </is>
      </c>
      <c r="Q570" t="inlineStr">
        <is>
          <t>Quesadilla salvadoreña</t>
        </is>
      </c>
      <c r="R570" t="inlineStr">
        <is>
          <t>PANADERIA</t>
        </is>
      </c>
      <c r="S570" t="inlineStr">
        <is>
          <t>Panificadora Ilopango</t>
        </is>
      </c>
      <c r="T570" t="inlineStr">
        <is>
          <t>2295-0081</t>
        </is>
      </c>
      <c r="U570" t="n">
        <v>2.5</v>
      </c>
      <c r="V570" t="n">
        <v>24</v>
      </c>
      <c r="W570" t="n">
        <v>0</v>
      </c>
      <c r="X570">
        <f>IFERROR(U570*V570*(1-W570/100),"")</f>
        <v/>
      </c>
      <c r="Y570">
        <f>IFERROR(ROUND(X570*0.13,2),"")</f>
        <v/>
      </c>
      <c r="Z570">
        <f>IFERROR(X570+Y570,"")</f>
        <v/>
      </c>
      <c r="AA570" t="inlineStr">
        <is>
          <t>Efectivo</t>
        </is>
      </c>
      <c r="AB570" t="inlineStr"/>
    </row>
    <row r="571">
      <c r="A571" t="inlineStr">
        <is>
          <t>F-10921</t>
        </is>
      </c>
      <c r="B571" s="3" t="n">
        <v>46286</v>
      </c>
      <c r="C571" t="inlineStr">
        <is>
          <t>Factura</t>
        </is>
      </c>
      <c r="D571" t="inlineStr">
        <is>
          <t>SA01</t>
        </is>
      </c>
      <c r="E571" t="inlineStr">
        <is>
          <t>Santa  Ana</t>
        </is>
      </c>
      <c r="F571" t="inlineStr">
        <is>
          <t>Av. Independencia Sur #12</t>
        </is>
      </c>
      <c r="G571" t="inlineStr">
        <is>
          <t>Santa Ana</t>
        </is>
      </c>
      <c r="H571" t="inlineStr">
        <is>
          <t>Santa Ana</t>
        </is>
      </c>
      <c r="I571" t="inlineStr">
        <is>
          <t>Mauricio Linares</t>
        </is>
      </c>
      <c r="J571" t="inlineStr">
        <is>
          <t>2440-9921</t>
        </is>
      </c>
      <c r="K571" t="inlineStr">
        <is>
          <t>Sofía Cáceres</t>
        </is>
      </c>
      <c r="L571" t="inlineStr">
        <is>
          <t>Rosa Romero López</t>
        </is>
      </c>
      <c r="M571" t="inlineStr">
        <is>
          <t>06188185-5</t>
        </is>
      </c>
      <c r="N571" t="inlineStr">
        <is>
          <t>6532-2485</t>
        </is>
      </c>
      <c r="O571" t="inlineStr">
        <is>
          <t>Consumidor final</t>
        </is>
      </c>
      <c r="P571" t="inlineStr">
        <is>
          <t>CAF-001</t>
        </is>
      </c>
      <c r="Q571" t="inlineStr">
        <is>
          <t>Café molido 400g</t>
        </is>
      </c>
      <c r="R571" t="inlineStr">
        <is>
          <t>ABARROTES</t>
        </is>
      </c>
      <c r="S571" t="inlineStr">
        <is>
          <t>Café Volcán S.A.</t>
        </is>
      </c>
      <c r="T571" t="inlineStr">
        <is>
          <t>2510-3344</t>
        </is>
      </c>
      <c r="U571" t="n">
        <v>4.5</v>
      </c>
      <c r="V571" t="n">
        <v>12</v>
      </c>
      <c r="W571" t="n">
        <v>0</v>
      </c>
      <c r="X571">
        <f>IFERROR(U571*V571*(1-W571/100),"")</f>
        <v/>
      </c>
      <c r="Y571">
        <f>IFERROR(ROUND(X571*0.13,2),"")</f>
        <v/>
      </c>
      <c r="Z571">
        <f>IFERROR(X571+Y571,"")</f>
        <v/>
      </c>
      <c r="AA571" t="inlineStr">
        <is>
          <t>Efectivo</t>
        </is>
      </c>
      <c r="AB571" t="inlineStr"/>
    </row>
    <row r="572">
      <c r="A572" t="inlineStr">
        <is>
          <t>F-10921</t>
        </is>
      </c>
      <c r="B572" t="inlineStr">
        <is>
          <t>21/09/2026</t>
        </is>
      </c>
      <c r="C572" t="inlineStr">
        <is>
          <t>Factura</t>
        </is>
      </c>
      <c r="D572" t="inlineStr">
        <is>
          <t>SA01</t>
        </is>
      </c>
      <c r="E572" t="inlineStr">
        <is>
          <t>Santa  Ana</t>
        </is>
      </c>
      <c r="F572" t="inlineStr">
        <is>
          <t>Av. Independencia Sur #12</t>
        </is>
      </c>
      <c r="G572" t="inlineStr">
        <is>
          <t>Santa Ana</t>
        </is>
      </c>
      <c r="H572" t="inlineStr">
        <is>
          <t>Santa Ana</t>
        </is>
      </c>
      <c r="I572" t="inlineStr">
        <is>
          <t>Verónica Sandoval</t>
        </is>
      </c>
      <c r="J572" t="inlineStr">
        <is>
          <t>2440-9921</t>
        </is>
      </c>
      <c r="K572" t="inlineStr">
        <is>
          <t>Sofía Cáceres</t>
        </is>
      </c>
      <c r="L572" t="inlineStr">
        <is>
          <t>Rosa Romero López</t>
        </is>
      </c>
      <c r="M572" t="inlineStr"/>
      <c r="N572" t="inlineStr">
        <is>
          <t>6532-2485</t>
        </is>
      </c>
      <c r="O572" t="inlineStr">
        <is>
          <t>Consumidor final</t>
        </is>
      </c>
      <c r="P572" t="inlineStr">
        <is>
          <t>PAN-001</t>
        </is>
      </c>
      <c r="Q572" t="inlineStr">
        <is>
          <t>Pan francés bolsa 10u</t>
        </is>
      </c>
      <c r="R572" t="inlineStr">
        <is>
          <t>Panadería</t>
        </is>
      </c>
      <c r="S572" t="inlineStr">
        <is>
          <t>Panificadora Ilopango</t>
        </is>
      </c>
      <c r="T572" t="inlineStr">
        <is>
          <t>2295-0081</t>
        </is>
      </c>
      <c r="U572" t="inlineStr">
        <is>
          <t>$1.00</t>
        </is>
      </c>
      <c r="V572" t="n">
        <v>2</v>
      </c>
      <c r="W572" t="n">
        <v>0</v>
      </c>
      <c r="X572">
        <f>IFERROR(U572*V572*(1-W572/100),"")</f>
        <v/>
      </c>
      <c r="Y572">
        <f>IFERROR(ROUND(X572*0.13,2),"")</f>
        <v/>
      </c>
      <c r="Z572">
        <f>IFERROR(X572+Y572,"")</f>
        <v/>
      </c>
      <c r="AA572" t="inlineStr">
        <is>
          <t>Efectivo</t>
        </is>
      </c>
      <c r="AB572" t="inlineStr"/>
    </row>
    <row r="573">
      <c r="A573" t="inlineStr">
        <is>
          <t>F-10924</t>
        </is>
      </c>
      <c r="B573" s="3" t="n">
        <v>46224</v>
      </c>
      <c r="C573" t="inlineStr">
        <is>
          <t>Factura</t>
        </is>
      </c>
      <c r="D573" t="inlineStr">
        <is>
          <t>LL01</t>
        </is>
      </c>
      <c r="E573" t="inlineStr">
        <is>
          <t>SANTA TECLA</t>
        </is>
      </c>
      <c r="F573" t="inlineStr">
        <is>
          <t>Calle Daniel Hernández #18</t>
        </is>
      </c>
      <c r="G573" t="inlineStr">
        <is>
          <t>Santa Tecla</t>
        </is>
      </c>
      <c r="H573" t="inlineStr">
        <is>
          <t>La Libertad</t>
        </is>
      </c>
      <c r="I573" t="inlineStr">
        <is>
          <t>Óscar Rivas</t>
        </is>
      </c>
      <c r="J573" t="inlineStr">
        <is>
          <t>2228-7731</t>
        </is>
      </c>
      <c r="K573" t="inlineStr">
        <is>
          <t>Andrea Pineda</t>
        </is>
      </c>
      <c r="L573" t="inlineStr">
        <is>
          <t>Mario Sorto Castillo</t>
        </is>
      </c>
      <c r="M573" t="inlineStr">
        <is>
          <t>09824839-0</t>
        </is>
      </c>
      <c r="N573" t="inlineStr">
        <is>
          <t>7450-4234</t>
        </is>
      </c>
      <c r="O573" t="inlineStr">
        <is>
          <t>Consumidor final</t>
        </is>
      </c>
      <c r="P573" t="inlineStr">
        <is>
          <t>LAC-003</t>
        </is>
      </c>
      <c r="Q573" t="inlineStr">
        <is>
          <t>Leche entera 1L</t>
        </is>
      </c>
      <c r="R573" t="inlineStr">
        <is>
          <t>Lácteos</t>
        </is>
      </c>
      <c r="S573" t="inlineStr">
        <is>
          <t>Lácteos Chalate</t>
        </is>
      </c>
      <c r="T573" t="inlineStr">
        <is>
          <t>2335-1020</t>
        </is>
      </c>
      <c r="U573" t="n">
        <v>1.2</v>
      </c>
      <c r="V573" t="n">
        <v>24</v>
      </c>
      <c r="W573" t="n">
        <v>0</v>
      </c>
      <c r="X573">
        <f>IFERROR(U573*V573*(1-W573/100),"")</f>
        <v/>
      </c>
      <c r="Y573">
        <f>IFERROR(ROUND(X573*0.13,2),"")</f>
        <v/>
      </c>
      <c r="Z573">
        <f>IFERROR(X573+Y573,"")</f>
        <v/>
      </c>
      <c r="AA573" t="inlineStr">
        <is>
          <t>Efectivo</t>
        </is>
      </c>
      <c r="AB573" t="inlineStr">
        <is>
          <t>Llamar al 7788-1234 antes de entregar</t>
        </is>
      </c>
    </row>
    <row r="574">
      <c r="A574" t="inlineStr">
        <is>
          <t>F-10924</t>
        </is>
      </c>
      <c r="B574" s="3" t="n">
        <v>46224</v>
      </c>
      <c r="C574" t="inlineStr">
        <is>
          <t>Factura</t>
        </is>
      </c>
      <c r="D574" t="inlineStr">
        <is>
          <t>LL01</t>
        </is>
      </c>
      <c r="E574" t="inlineStr">
        <is>
          <t>Santa Tecla</t>
        </is>
      </c>
      <c r="F574" t="inlineStr">
        <is>
          <t>Calle Daniel Hernández #18</t>
        </is>
      </c>
      <c r="G574" t="inlineStr">
        <is>
          <t>Santa Tecla</t>
        </is>
      </c>
      <c r="H574" t="inlineStr">
        <is>
          <t>La Libertad</t>
        </is>
      </c>
      <c r="I574" t="inlineStr">
        <is>
          <t>Óscar Rivas</t>
        </is>
      </c>
      <c r="J574" t="inlineStr">
        <is>
          <t>2228-7731</t>
        </is>
      </c>
      <c r="K574" t="inlineStr">
        <is>
          <t>Andrea Pineda</t>
        </is>
      </c>
      <c r="L574" t="inlineStr">
        <is>
          <t>Mario Sorto Castillo</t>
        </is>
      </c>
      <c r="M574" t="inlineStr">
        <is>
          <t>09824839-0</t>
        </is>
      </c>
      <c r="N574" t="inlineStr">
        <is>
          <t>7450-4234</t>
        </is>
      </c>
      <c r="O574" t="inlineStr">
        <is>
          <t>Consumidor final</t>
        </is>
      </c>
      <c r="P574" t="inlineStr">
        <is>
          <t>BEB-001</t>
        </is>
      </c>
      <c r="Q574" t="inlineStr">
        <is>
          <t>Gaseosa 2.5L</t>
        </is>
      </c>
      <c r="R574" t="inlineStr">
        <is>
          <t>Bebidas</t>
        </is>
      </c>
      <c r="S574" t="inlineStr">
        <is>
          <t>Bebidas Izalco</t>
        </is>
      </c>
      <c r="T574" t="inlineStr">
        <is>
          <t>2450-7700</t>
        </is>
      </c>
      <c r="U574" t="n">
        <v>1.95</v>
      </c>
      <c r="V574" t="n">
        <v>1</v>
      </c>
      <c r="W574" t="n">
        <v>0</v>
      </c>
      <c r="X574">
        <f>IFERROR(U574*V574*(1-W574/100),"")</f>
        <v/>
      </c>
      <c r="Y574">
        <f>IFERROR(ROUND(X574*0.13,2),"")</f>
        <v/>
      </c>
      <c r="Z574">
        <f>IFERROR(X574+Y574,"")</f>
        <v/>
      </c>
      <c r="AA574" t="inlineStr">
        <is>
          <t>Efectivo</t>
        </is>
      </c>
      <c r="AB574" t="inlineStr">
        <is>
          <t>precio especial autorizado por gerente</t>
        </is>
      </c>
    </row>
    <row r="575">
      <c r="A575" t="inlineStr">
        <is>
          <t>F-10924</t>
        </is>
      </c>
      <c r="B575" s="3" t="n">
        <v>46224</v>
      </c>
      <c r="C575" t="inlineStr">
        <is>
          <t>Factura</t>
        </is>
      </c>
      <c r="D575" t="inlineStr">
        <is>
          <t>LL01</t>
        </is>
      </c>
      <c r="E575" t="inlineStr">
        <is>
          <t>Santa Tecla</t>
        </is>
      </c>
      <c r="F575" t="inlineStr">
        <is>
          <t>Calle Daniel Hernández #18</t>
        </is>
      </c>
      <c r="G575" t="inlineStr">
        <is>
          <t>Santa Tecla</t>
        </is>
      </c>
      <c r="H575" t="inlineStr">
        <is>
          <t>La Libertad</t>
        </is>
      </c>
      <c r="I575" t="inlineStr">
        <is>
          <t>Óscar Rivas</t>
        </is>
      </c>
      <c r="J575" t="inlineStr">
        <is>
          <t>2228-7731</t>
        </is>
      </c>
      <c r="K575" t="inlineStr">
        <is>
          <t>Andrea Pineda</t>
        </is>
      </c>
      <c r="L575" t="inlineStr">
        <is>
          <t>Mario Sorto Castillo</t>
        </is>
      </c>
      <c r="M575" t="inlineStr">
        <is>
          <t>09824839-0</t>
        </is>
      </c>
      <c r="N575" t="inlineStr">
        <is>
          <t>7450-4234</t>
        </is>
      </c>
      <c r="O575" t="inlineStr">
        <is>
          <t>Consumidor final</t>
        </is>
      </c>
      <c r="P575" t="inlineStr">
        <is>
          <t>CAF-001</t>
        </is>
      </c>
      <c r="Q575" t="inlineStr">
        <is>
          <t>Café molido 400g</t>
        </is>
      </c>
      <c r="R575" t="inlineStr">
        <is>
          <t>Abarrotes</t>
        </is>
      </c>
      <c r="S575" t="inlineStr">
        <is>
          <t>Café Volcán S.A.</t>
        </is>
      </c>
      <c r="T575" t="inlineStr">
        <is>
          <t>2510-3344</t>
        </is>
      </c>
      <c r="U575" t="n">
        <v>4.25</v>
      </c>
      <c r="V575" t="n">
        <v>1</v>
      </c>
      <c r="W575" t="n">
        <v>0</v>
      </c>
      <c r="X575">
        <f>IFERROR(U575*V575*(1-W575/100),"")</f>
        <v/>
      </c>
      <c r="Y575">
        <f>IFERROR(ROUND(X575*0.13,2),"")</f>
        <v/>
      </c>
      <c r="Z575">
        <f>IFERROR(X575+Y575,"")</f>
        <v/>
      </c>
      <c r="AA575" t="inlineStr">
        <is>
          <t>Efectivo</t>
        </is>
      </c>
      <c r="AB575" t="inlineStr"/>
    </row>
    <row r="576">
      <c r="A576" t="inlineStr">
        <is>
          <t>F-10924</t>
        </is>
      </c>
      <c r="B576" s="3" t="n">
        <v>46224</v>
      </c>
      <c r="C576" t="inlineStr">
        <is>
          <t>Factura</t>
        </is>
      </c>
      <c r="D576" t="inlineStr">
        <is>
          <t>LL01</t>
        </is>
      </c>
      <c r="E576" t="inlineStr">
        <is>
          <t>Santa Tecla</t>
        </is>
      </c>
      <c r="F576" t="inlineStr">
        <is>
          <t>Calle Daniel Hernández #18</t>
        </is>
      </c>
      <c r="G576" t="inlineStr">
        <is>
          <t>Santa Tecla</t>
        </is>
      </c>
      <c r="H576" t="inlineStr">
        <is>
          <t>La Libertad</t>
        </is>
      </c>
      <c r="I576" t="inlineStr">
        <is>
          <t>Óscar Rivas</t>
        </is>
      </c>
      <c r="J576" t="inlineStr">
        <is>
          <t>2228-7731</t>
        </is>
      </c>
      <c r="K576" t="inlineStr">
        <is>
          <t>Andrea Pineda</t>
        </is>
      </c>
      <c r="L576" t="inlineStr">
        <is>
          <t>Mario Sorto Castillo</t>
        </is>
      </c>
      <c r="M576" t="inlineStr">
        <is>
          <t>09824839-0</t>
        </is>
      </c>
      <c r="N576" t="inlineStr">
        <is>
          <t>7450-4234</t>
        </is>
      </c>
      <c r="O576" t="inlineStr">
        <is>
          <t>Consumidor final</t>
        </is>
      </c>
      <c r="P576" t="inlineStr">
        <is>
          <t>FRI-001</t>
        </is>
      </c>
      <c r="Q576" t="inlineStr">
        <is>
          <t>Frijol rojo de seda 2lb</t>
        </is>
      </c>
      <c r="R576" t="inlineStr">
        <is>
          <t>Granos básicos</t>
        </is>
      </c>
      <c r="S576" t="inlineStr">
        <is>
          <t>Granos del Pacífico</t>
        </is>
      </c>
      <c r="T576" t="inlineStr">
        <is>
          <t>2234-8890</t>
        </is>
      </c>
      <c r="U576" t="n">
        <v>2.4</v>
      </c>
      <c r="V576" t="n">
        <v>24</v>
      </c>
      <c r="W576" t="n">
        <v>0</v>
      </c>
      <c r="X576">
        <f>IFERROR(U576*V576*(1-W576/100),"")</f>
        <v/>
      </c>
      <c r="Y576">
        <f>IFERROR(ROUND(X576*0.13,2),"")</f>
        <v/>
      </c>
      <c r="Z576">
        <f>IFERROR(X576+Y576,"")</f>
        <v/>
      </c>
      <c r="AA576" t="inlineStr">
        <is>
          <t>Efectivo</t>
        </is>
      </c>
      <c r="AB576" t="inlineStr"/>
    </row>
    <row r="577">
      <c r="A577" t="inlineStr">
        <is>
          <t>F-10926</t>
        </is>
      </c>
      <c r="B577" t="inlineStr">
        <is>
          <t>22-Jul-26</t>
        </is>
      </c>
      <c r="C577" t="inlineStr">
        <is>
          <t>Factura</t>
        </is>
      </c>
      <c r="D577" t="inlineStr">
        <is>
          <t>SS01</t>
        </is>
      </c>
      <c r="E577" t="inlineStr">
        <is>
          <t>S.S. Centro</t>
        </is>
      </c>
      <c r="F577" t="inlineStr">
        <is>
          <t>4a Calle Poniente #215</t>
        </is>
      </c>
      <c r="G577" t="inlineStr">
        <is>
          <t>San Salvador</t>
        </is>
      </c>
      <c r="H577" t="inlineStr">
        <is>
          <t>San Salvador</t>
        </is>
      </c>
      <c r="I577" t="inlineStr">
        <is>
          <t>Roberto Alfaro</t>
        </is>
      </c>
      <c r="J577" t="inlineStr">
        <is>
          <t>2221-4580</t>
        </is>
      </c>
      <c r="K577" t="inlineStr">
        <is>
          <t>Daniela Orellana</t>
        </is>
      </c>
      <c r="L577" t="inlineStr">
        <is>
          <t>René Alvarado Lemus</t>
        </is>
      </c>
      <c r="M577" t="inlineStr">
        <is>
          <t>07676586-8</t>
        </is>
      </c>
      <c r="N577" t="inlineStr">
        <is>
          <t>6907-6114</t>
        </is>
      </c>
      <c r="O577" t="inlineStr">
        <is>
          <t>Consumidor final</t>
        </is>
      </c>
      <c r="P577" t="inlineStr">
        <is>
          <t>PAN-003</t>
        </is>
      </c>
      <c r="Q577" t="inlineStr">
        <is>
          <t>Quesadilla salvadoreña</t>
        </is>
      </c>
      <c r="R577" t="inlineStr">
        <is>
          <t>PANADERIA</t>
        </is>
      </c>
      <c r="S577" t="inlineStr">
        <is>
          <t>Panificadora Ilopango</t>
        </is>
      </c>
      <c r="T577" t="inlineStr">
        <is>
          <t>2295-0081</t>
        </is>
      </c>
      <c r="U577" t="n">
        <v>2.5</v>
      </c>
      <c r="V577" t="n">
        <v>12</v>
      </c>
      <c r="W577" t="n">
        <v>0</v>
      </c>
      <c r="X577">
        <f>IFERROR(U577*V577*(1-W577/100),"")</f>
        <v/>
      </c>
      <c r="Y577">
        <f>IFERROR(ROUND(X577*0.13,2),"")</f>
        <v/>
      </c>
      <c r="Z577">
        <f>IFERROR(X577+Y577,"")</f>
        <v/>
      </c>
      <c r="AA577" t="inlineStr">
        <is>
          <t>Tarjeta</t>
        </is>
      </c>
      <c r="AB577" t="inlineStr">
        <is>
          <t>entregar en bodega</t>
        </is>
      </c>
    </row>
    <row r="578">
      <c r="A578" t="inlineStr">
        <is>
          <t>F-10926</t>
        </is>
      </c>
      <c r="B578" s="3" t="n">
        <v>46225</v>
      </c>
      <c r="C578" t="inlineStr">
        <is>
          <t>Factura</t>
        </is>
      </c>
      <c r="D578" t="inlineStr">
        <is>
          <t>SS01</t>
        </is>
      </c>
      <c r="E578" t="inlineStr">
        <is>
          <t>San Salvador Centro</t>
        </is>
      </c>
      <c r="F578" t="inlineStr">
        <is>
          <t>4a Calle Poniente #215</t>
        </is>
      </c>
      <c r="G578" t="inlineStr">
        <is>
          <t>San Salvador</t>
        </is>
      </c>
      <c r="H578" t="inlineStr">
        <is>
          <t>San Salvador</t>
        </is>
      </c>
      <c r="I578" t="inlineStr">
        <is>
          <t>Roberto Alfaro</t>
        </is>
      </c>
      <c r="J578" t="inlineStr">
        <is>
          <t>2221-4580</t>
        </is>
      </c>
      <c r="K578" t="inlineStr">
        <is>
          <t>Daniela Orellana</t>
        </is>
      </c>
      <c r="L578" t="inlineStr">
        <is>
          <t>René Alvarado Lemus</t>
        </is>
      </c>
      <c r="M578" t="inlineStr">
        <is>
          <t>07676586-8</t>
        </is>
      </c>
      <c r="N578" t="inlineStr">
        <is>
          <t>6907-6114</t>
        </is>
      </c>
      <c r="O578" t="inlineStr">
        <is>
          <t>Consumidor final</t>
        </is>
      </c>
      <c r="P578" t="inlineStr">
        <is>
          <t>HIG-002</t>
        </is>
      </c>
      <c r="Q578" t="inlineStr">
        <is>
          <t>Papel higiénico 4 rollos</t>
        </is>
      </c>
      <c r="R578" t="inlineStr">
        <is>
          <t>Limpieza</t>
        </is>
      </c>
      <c r="S578" t="inlineStr">
        <is>
          <t>Higiene Total C.A.</t>
        </is>
      </c>
      <c r="T578" t="inlineStr">
        <is>
          <t>2207-5566</t>
        </is>
      </c>
      <c r="U578" t="n">
        <v>2.15</v>
      </c>
      <c r="V578" t="n">
        <v>2</v>
      </c>
      <c r="W578" t="n">
        <v>0</v>
      </c>
      <c r="X578">
        <f>IFERROR(U578*V578*(1-W578/100),"")</f>
        <v/>
      </c>
      <c r="Y578">
        <f>IFERROR(ROUND(X578*0.13,2),"")</f>
        <v/>
      </c>
      <c r="Z578">
        <f>IFERROR(X578+Y578,"")</f>
        <v/>
      </c>
      <c r="AA578" t="inlineStr">
        <is>
          <t>Tarjeta</t>
        </is>
      </c>
      <c r="AB578" t="inlineStr"/>
    </row>
    <row r="579">
      <c r="A579" t="inlineStr">
        <is>
          <t>F-10928</t>
        </is>
      </c>
      <c r="B579" t="inlineStr">
        <is>
          <t>28/07/2026</t>
        </is>
      </c>
      <c r="C579" t="inlineStr">
        <is>
          <t>Factura</t>
        </is>
      </c>
      <c r="D579" t="inlineStr">
        <is>
          <t>LL01</t>
        </is>
      </c>
      <c r="E579" t="inlineStr">
        <is>
          <t>Sta. Tecla</t>
        </is>
      </c>
      <c r="F579" t="inlineStr">
        <is>
          <t>Calle Daniel Hernández #18</t>
        </is>
      </c>
      <c r="G579" t="inlineStr">
        <is>
          <t>Santa Tecla</t>
        </is>
      </c>
      <c r="H579" t="inlineStr">
        <is>
          <t>La Libertad</t>
        </is>
      </c>
      <c r="I579" t="inlineStr">
        <is>
          <t>Óscar Rivas</t>
        </is>
      </c>
      <c r="J579" t="inlineStr">
        <is>
          <t>2228-7731</t>
        </is>
      </c>
      <c r="K579" t="inlineStr">
        <is>
          <t>Luis Escobar</t>
        </is>
      </c>
      <c r="L579" t="inlineStr">
        <is>
          <t>Rosa Romero López</t>
        </is>
      </c>
      <c r="M579" t="inlineStr">
        <is>
          <t>06188185-5</t>
        </is>
      </c>
      <c r="N579" t="inlineStr">
        <is>
          <t>6532-2485</t>
        </is>
      </c>
      <c r="O579" t="inlineStr">
        <is>
          <t>Consumidor final</t>
        </is>
      </c>
      <c r="P579" t="inlineStr">
        <is>
          <t>HIG-002</t>
        </is>
      </c>
      <c r="Q579" t="inlineStr">
        <is>
          <t>Papel higiénico 4 rollos</t>
        </is>
      </c>
      <c r="R579" t="inlineStr">
        <is>
          <t>Limpieza</t>
        </is>
      </c>
      <c r="S579" t="inlineStr">
        <is>
          <t>Higiene Total C.A.</t>
        </is>
      </c>
      <c r="T579" t="inlineStr">
        <is>
          <t>2207-5566</t>
        </is>
      </c>
      <c r="U579" t="n">
        <v>2.15</v>
      </c>
      <c r="V579" t="n">
        <v>1</v>
      </c>
      <c r="W579" t="n">
        <v>0</v>
      </c>
      <c r="X579">
        <f>IFERROR(U579*V579*(1-W579/100),"")</f>
        <v/>
      </c>
      <c r="Y579">
        <f>IFERROR(ROUND(X579*0.13,2),"")</f>
        <v/>
      </c>
      <c r="Z579">
        <f>IFERROR(X579+Y579,"")</f>
        <v/>
      </c>
      <c r="AA579" t="inlineStr">
        <is>
          <t>Efectivo</t>
        </is>
      </c>
      <c r="AB579" t="inlineStr"/>
    </row>
    <row r="580">
      <c r="A580" t="inlineStr">
        <is>
          <t>F-10928</t>
        </is>
      </c>
      <c r="B580" s="3" t="n">
        <v>46231</v>
      </c>
      <c r="C580" t="inlineStr">
        <is>
          <t>Factura</t>
        </is>
      </c>
      <c r="D580" t="inlineStr">
        <is>
          <t>LL01</t>
        </is>
      </c>
      <c r="E580" t="inlineStr">
        <is>
          <t>Sta. Tecla</t>
        </is>
      </c>
      <c r="F580" t="inlineStr">
        <is>
          <t>Calle Daniel Hernández #18</t>
        </is>
      </c>
      <c r="G580" t="inlineStr">
        <is>
          <t>Santa Tecla</t>
        </is>
      </c>
      <c r="H580" t="inlineStr">
        <is>
          <t>La Libertad</t>
        </is>
      </c>
      <c r="I580" t="inlineStr">
        <is>
          <t>Óscar Rivas</t>
        </is>
      </c>
      <c r="J580" t="inlineStr">
        <is>
          <t>2228-7731</t>
        </is>
      </c>
      <c r="K580" t="inlineStr">
        <is>
          <t>Luis Escobar</t>
        </is>
      </c>
      <c r="L580" t="inlineStr">
        <is>
          <t>Rosa Romero López</t>
        </is>
      </c>
      <c r="M580" t="inlineStr">
        <is>
          <t>06188185-5</t>
        </is>
      </c>
      <c r="N580" t="inlineStr">
        <is>
          <t>6532-2485</t>
        </is>
      </c>
      <c r="O580" t="inlineStr">
        <is>
          <t>Consumidor final</t>
        </is>
      </c>
      <c r="P580" t="inlineStr">
        <is>
          <t>FRI-001</t>
        </is>
      </c>
      <c r="Q580" t="inlineStr">
        <is>
          <t>Frijol rojo de seda 2lb</t>
        </is>
      </c>
      <c r="R580" t="inlineStr">
        <is>
          <t>Granos básicos</t>
        </is>
      </c>
      <c r="S580" t="inlineStr">
        <is>
          <t>Granos del Pacífico</t>
        </is>
      </c>
      <c r="T580" t="inlineStr">
        <is>
          <t>2234-8890</t>
        </is>
      </c>
      <c r="U580" t="n">
        <v>2.4</v>
      </c>
      <c r="V580" t="n">
        <v>24</v>
      </c>
      <c r="W580" t="n">
        <v>0</v>
      </c>
      <c r="X580">
        <f>IFERROR(U580*V580*(1-W580/100),"")</f>
        <v/>
      </c>
      <c r="Y580">
        <f>IFERROR(ROUND(X580*0.13,2),"")</f>
        <v/>
      </c>
      <c r="Z580">
        <f>IFERROR(X580+Y580,"")</f>
        <v/>
      </c>
      <c r="AA580" t="inlineStr">
        <is>
          <t>Efectivo</t>
        </is>
      </c>
      <c r="AB580" t="inlineStr">
        <is>
          <t>pagó con billete de $100</t>
        </is>
      </c>
    </row>
    <row r="581">
      <c r="A581" t="inlineStr">
        <is>
          <t>F-10928</t>
        </is>
      </c>
      <c r="B581" t="inlineStr">
        <is>
          <t>28/07/2026</t>
        </is>
      </c>
      <c r="C581" t="inlineStr">
        <is>
          <t>Factura</t>
        </is>
      </c>
      <c r="D581" t="inlineStr">
        <is>
          <t>LL01</t>
        </is>
      </c>
      <c r="E581" t="inlineStr">
        <is>
          <t>SANTA TECLA</t>
        </is>
      </c>
      <c r="F581" t="inlineStr">
        <is>
          <t>Calle Daniel Hernández #18</t>
        </is>
      </c>
      <c r="G581" t="inlineStr">
        <is>
          <t>Santa Tecla</t>
        </is>
      </c>
      <c r="H581" t="inlineStr">
        <is>
          <t>La Libertad</t>
        </is>
      </c>
      <c r="I581" t="inlineStr">
        <is>
          <t>Óscar Rivas</t>
        </is>
      </c>
      <c r="J581" t="inlineStr">
        <is>
          <t>2228-7731</t>
        </is>
      </c>
      <c r="K581" t="inlineStr">
        <is>
          <t>Luis Escobar</t>
        </is>
      </c>
      <c r="L581" t="inlineStr">
        <is>
          <t>Rosa Romero López</t>
        </is>
      </c>
      <c r="M581" t="inlineStr">
        <is>
          <t>06188185-5</t>
        </is>
      </c>
      <c r="N581" t="inlineStr">
        <is>
          <t>6532-2485</t>
        </is>
      </c>
      <c r="O581" t="inlineStr">
        <is>
          <t>Consumidor final</t>
        </is>
      </c>
      <c r="P581" t="inlineStr">
        <is>
          <t>LAC-002</t>
        </is>
      </c>
      <c r="Q581" t="inlineStr">
        <is>
          <t>Crema 500ml</t>
        </is>
      </c>
      <c r="R581" t="inlineStr">
        <is>
          <t>Lácteos</t>
        </is>
      </c>
      <c r="S581" t="inlineStr">
        <is>
          <t>Lácteos Chalate</t>
        </is>
      </c>
      <c r="T581" t="inlineStr">
        <is>
          <t>2335-1020</t>
        </is>
      </c>
      <c r="U581" t="n">
        <v>2.25</v>
      </c>
      <c r="V581" t="n">
        <v>1</v>
      </c>
      <c r="W581" t="n">
        <v>0</v>
      </c>
      <c r="X581">
        <f>IFERROR(U581*V581*(1-W581/100),"")</f>
        <v/>
      </c>
      <c r="Y581">
        <f>IFERROR(ROUND(X581*0.13,2),"")</f>
        <v/>
      </c>
      <c r="Z581">
        <f>IFERROR(X581+Y581,"")</f>
        <v/>
      </c>
      <c r="AA581" t="inlineStr">
        <is>
          <t>Efectivo</t>
        </is>
      </c>
      <c r="AB581" t="inlineStr"/>
    </row>
    <row r="582">
      <c r="A582" t="inlineStr">
        <is>
          <t>F-10928</t>
        </is>
      </c>
      <c r="B582" s="3" t="n">
        <v>46231</v>
      </c>
      <c r="C582" t="inlineStr">
        <is>
          <t>Factura</t>
        </is>
      </c>
      <c r="D582" t="inlineStr">
        <is>
          <t>LL01</t>
        </is>
      </c>
      <c r="E582" t="inlineStr">
        <is>
          <t>Sta. Tecla</t>
        </is>
      </c>
      <c r="F582" t="inlineStr">
        <is>
          <t>Calle Daniel Hernández #18</t>
        </is>
      </c>
      <c r="G582" t="inlineStr">
        <is>
          <t>Santa Tecla</t>
        </is>
      </c>
      <c r="H582" t="inlineStr">
        <is>
          <t>La Libertad</t>
        </is>
      </c>
      <c r="I582" t="inlineStr">
        <is>
          <t>Óscar Rivas</t>
        </is>
      </c>
      <c r="J582" t="inlineStr">
        <is>
          <t>2228-7731</t>
        </is>
      </c>
      <c r="K582" t="inlineStr">
        <is>
          <t>Luis Escobar</t>
        </is>
      </c>
      <c r="L582" t="inlineStr">
        <is>
          <t>Rosa Romero López</t>
        </is>
      </c>
      <c r="M582" t="inlineStr">
        <is>
          <t>06188185-5</t>
        </is>
      </c>
      <c r="N582" t="inlineStr">
        <is>
          <t>6532-2485</t>
        </is>
      </c>
      <c r="O582" t="inlineStr">
        <is>
          <t>Consumidor final</t>
        </is>
      </c>
      <c r="P582" t="inlineStr">
        <is>
          <t>PAN-001</t>
        </is>
      </c>
      <c r="Q582" t="inlineStr">
        <is>
          <t>Pan francés bolsa 10u</t>
        </is>
      </c>
      <c r="R582" t="inlineStr">
        <is>
          <t>Panadería</t>
        </is>
      </c>
      <c r="S582" t="inlineStr">
        <is>
          <t>Panificadora Ilopango</t>
        </is>
      </c>
      <c r="T582" t="inlineStr">
        <is>
          <t>2295-0081</t>
        </is>
      </c>
      <c r="U582" t="n">
        <v>1</v>
      </c>
      <c r="V582" t="n">
        <v>3</v>
      </c>
      <c r="W582" t="n">
        <v>0</v>
      </c>
      <c r="X582">
        <f>IFERROR(U582*V582*(1-W582/100),"")</f>
        <v/>
      </c>
      <c r="Y582">
        <f>IFERROR(ROUND(X582*0.13,2),"")</f>
        <v/>
      </c>
      <c r="Z582">
        <f>IFERROR(X582+Y582,"")</f>
        <v/>
      </c>
      <c r="AA582" t="inlineStr">
        <is>
          <t>Efectivo</t>
        </is>
      </c>
      <c r="AB582" t="inlineStr">
        <is>
          <t>Llamar al 7788-1234 antes de entregar</t>
        </is>
      </c>
    </row>
    <row r="583">
      <c r="A583" t="inlineStr">
        <is>
          <t>F-10930</t>
        </is>
      </c>
      <c r="B583" s="3" t="n">
        <v>46209</v>
      </c>
      <c r="C583" t="inlineStr">
        <is>
          <t>CCF</t>
        </is>
      </c>
      <c r="D583" t="inlineStr">
        <is>
          <t>SS02</t>
        </is>
      </c>
      <c r="E583" t="inlineStr">
        <is>
          <t>Col. Escalón</t>
        </is>
      </c>
      <c r="F583" t="inlineStr">
        <is>
          <t>Paseo General Escalón #3910</t>
        </is>
      </c>
      <c r="G583" t="inlineStr">
        <is>
          <t>San Salvador</t>
        </is>
      </c>
      <c r="H583" t="inlineStr">
        <is>
          <t>San Salvador</t>
        </is>
      </c>
      <c r="I583" t="inlineStr">
        <is>
          <t>Claudia Menjívar</t>
        </is>
      </c>
      <c r="J583" t="inlineStr">
        <is>
          <t>2264-1190</t>
        </is>
      </c>
      <c r="K583" t="inlineStr">
        <is>
          <t>Fátima Rosales</t>
        </is>
      </c>
      <c r="L583" t="inlineStr">
        <is>
          <t>Pupusería El Comal</t>
        </is>
      </c>
      <c r="M583" t="inlineStr">
        <is>
          <t>261664-6</t>
        </is>
      </c>
      <c r="N583" t="inlineStr">
        <is>
          <t>6293-1154</t>
        </is>
      </c>
      <c r="O583" t="inlineStr">
        <is>
          <t>Contribuyente</t>
        </is>
      </c>
      <c r="P583" t="inlineStr">
        <is>
          <t>HIG-001</t>
        </is>
      </c>
      <c r="Q583" t="inlineStr">
        <is>
          <t>Detergente 1kg</t>
        </is>
      </c>
      <c r="R583" t="inlineStr">
        <is>
          <t>limpieza</t>
        </is>
      </c>
      <c r="S583" t="inlineStr">
        <is>
          <t>Higiene Total C.A.</t>
        </is>
      </c>
      <c r="T583" t="inlineStr">
        <is>
          <t>2207-5566</t>
        </is>
      </c>
      <c r="U583" t="inlineStr">
        <is>
          <t>$3.45</t>
        </is>
      </c>
      <c r="V583" t="n">
        <v>3</v>
      </c>
      <c r="W583" t="n">
        <v>10</v>
      </c>
      <c r="X583">
        <f>IFERROR(U583*V583*(1-W583/100),"")</f>
        <v/>
      </c>
      <c r="Y583">
        <f>IFERROR(ROUND(X583*0.13,2),"")</f>
        <v/>
      </c>
      <c r="Z583">
        <f>IFERROR(X583+Y583,"")</f>
        <v/>
      </c>
      <c r="AA583" t="inlineStr">
        <is>
          <t>Efectivo</t>
        </is>
      </c>
      <c r="AB583" t="inlineStr">
        <is>
          <t>Cliente frecuente</t>
        </is>
      </c>
    </row>
    <row r="584">
      <c r="A584" t="inlineStr">
        <is>
          <t>F-10930</t>
        </is>
      </c>
      <c r="B584" s="3" t="n">
        <v>46209</v>
      </c>
      <c r="C584" t="inlineStr">
        <is>
          <t>CCF</t>
        </is>
      </c>
      <c r="D584" t="inlineStr">
        <is>
          <t>SS02</t>
        </is>
      </c>
      <c r="E584" t="inlineStr">
        <is>
          <t>Escalon</t>
        </is>
      </c>
      <c r="F584" t="inlineStr">
        <is>
          <t>Paseo General Escalón #3910</t>
        </is>
      </c>
      <c r="G584" t="inlineStr">
        <is>
          <t>San Salvador</t>
        </is>
      </c>
      <c r="H584" t="inlineStr">
        <is>
          <t>San Salvador</t>
        </is>
      </c>
      <c r="I584" t="inlineStr">
        <is>
          <t>Claudia Menjívar</t>
        </is>
      </c>
      <c r="J584" t="inlineStr">
        <is>
          <t>2264-1190</t>
        </is>
      </c>
      <c r="K584" t="inlineStr">
        <is>
          <t>Fátima Rosales</t>
        </is>
      </c>
      <c r="L584" t="inlineStr">
        <is>
          <t>Pupusería El Comal</t>
        </is>
      </c>
      <c r="M584" t="inlineStr">
        <is>
          <t>261664-6</t>
        </is>
      </c>
      <c r="N584" t="inlineStr">
        <is>
          <t>6293-1154</t>
        </is>
      </c>
      <c r="O584" t="inlineStr">
        <is>
          <t>Contribuyente</t>
        </is>
      </c>
      <c r="P584" t="inlineStr">
        <is>
          <t>HAR-001</t>
        </is>
      </c>
      <c r="Q584" t="inlineStr">
        <is>
          <t>Harina de maíz 2lb</t>
        </is>
      </c>
      <c r="R584" t="inlineStr">
        <is>
          <t>Abarrotes</t>
        </is>
      </c>
      <c r="S584" t="inlineStr">
        <is>
          <t>Granos del Pacífico</t>
        </is>
      </c>
      <c r="T584" t="inlineStr">
        <is>
          <t>2234-8890</t>
        </is>
      </c>
      <c r="U584" t="n">
        <v>1.35</v>
      </c>
      <c r="V584" t="n">
        <v>2</v>
      </c>
      <c r="W584" t="n">
        <v>0</v>
      </c>
      <c r="X584">
        <f>IFERROR(U584*V584*(1-W584/100),"")</f>
        <v/>
      </c>
      <c r="Y584">
        <f>IFERROR(ROUND(X584*0.13,2),"")</f>
        <v/>
      </c>
      <c r="Z584">
        <f>IFERROR(X584+Y584,"")</f>
        <v/>
      </c>
      <c r="AA584" t="inlineStr">
        <is>
          <t>Efectivo</t>
        </is>
      </c>
      <c r="AB584" t="inlineStr"/>
    </row>
    <row r="585">
      <c r="A585" t="inlineStr">
        <is>
          <t>F-10932</t>
        </is>
      </c>
      <c r="B585" t="inlineStr">
        <is>
          <t>2026-09-11</t>
        </is>
      </c>
      <c r="C585" t="inlineStr">
        <is>
          <t>Factura</t>
        </is>
      </c>
      <c r="D585" t="inlineStr">
        <is>
          <t>SS02</t>
        </is>
      </c>
      <c r="E585" t="inlineStr">
        <is>
          <t>ESCALON</t>
        </is>
      </c>
      <c r="F585" t="inlineStr">
        <is>
          <t>Paseo General Escalón #3910</t>
        </is>
      </c>
      <c r="G585" t="inlineStr">
        <is>
          <t>San Salvador</t>
        </is>
      </c>
      <c r="H585" t="inlineStr">
        <is>
          <t>San Salvador</t>
        </is>
      </c>
      <c r="I585" t="inlineStr">
        <is>
          <t>Claudia Menjívar</t>
        </is>
      </c>
      <c r="J585" t="inlineStr">
        <is>
          <t>2264-1190</t>
        </is>
      </c>
      <c r="K585" t="inlineStr">
        <is>
          <t>Kevin Benítez</t>
        </is>
      </c>
      <c r="L585" t="inlineStr">
        <is>
          <t>Rosa García López</t>
        </is>
      </c>
      <c r="M585" t="inlineStr">
        <is>
          <t>08949227-3</t>
        </is>
      </c>
      <c r="N585" t="inlineStr">
        <is>
          <t>7696-6025</t>
        </is>
      </c>
      <c r="O585" t="inlineStr">
        <is>
          <t>Consumidor final</t>
        </is>
      </c>
      <c r="P585" t="inlineStr">
        <is>
          <t>BEB-001</t>
        </is>
      </c>
      <c r="Q585" t="inlineStr">
        <is>
          <t>Gaseosa 2.5L</t>
        </is>
      </c>
      <c r="R585" t="inlineStr">
        <is>
          <t>Bebidas</t>
        </is>
      </c>
      <c r="S585" t="inlineStr">
        <is>
          <t>Bebidas Izalco</t>
        </is>
      </c>
      <c r="T585" t="inlineStr">
        <is>
          <t>2450-7700</t>
        </is>
      </c>
      <c r="U585" t="n">
        <v>1.95</v>
      </c>
      <c r="V585" t="n">
        <v>1</v>
      </c>
      <c r="W585" t="n">
        <v>0</v>
      </c>
      <c r="X585">
        <f>IFERROR(U585*V585*(1-W585/100),"")</f>
        <v/>
      </c>
      <c r="Y585">
        <f>IFERROR(ROUND(X585*0.13,2),"")</f>
        <v/>
      </c>
      <c r="Z585">
        <f>IFERROR(X585+Y585,"")</f>
        <v/>
      </c>
      <c r="AA585" t="inlineStr">
        <is>
          <t>Tarjeta</t>
        </is>
      </c>
      <c r="AB585" t="inlineStr">
        <is>
          <t>entregar en bodega</t>
        </is>
      </c>
    </row>
    <row r="586">
      <c r="A586" t="inlineStr">
        <is>
          <t>F-10932</t>
        </is>
      </c>
      <c r="B586" s="3" t="n">
        <v>46276</v>
      </c>
      <c r="C586" t="inlineStr">
        <is>
          <t>Factura</t>
        </is>
      </c>
      <c r="D586" t="inlineStr">
        <is>
          <t>SS02</t>
        </is>
      </c>
      <c r="E586" t="inlineStr">
        <is>
          <t>Escalón</t>
        </is>
      </c>
      <c r="F586" t="inlineStr">
        <is>
          <t>Paseo General Escalón #3910</t>
        </is>
      </c>
      <c r="G586" t="inlineStr">
        <is>
          <t>San Salvador</t>
        </is>
      </c>
      <c r="H586" t="inlineStr">
        <is>
          <t>San Salvador</t>
        </is>
      </c>
      <c r="I586" t="inlineStr">
        <is>
          <t>Claudia Menjívar</t>
        </is>
      </c>
      <c r="J586" t="inlineStr">
        <is>
          <t>2264-1190</t>
        </is>
      </c>
      <c r="K586" t="inlineStr">
        <is>
          <t>Kevin Benítez</t>
        </is>
      </c>
      <c r="L586" t="inlineStr">
        <is>
          <t>Rosa García López</t>
        </is>
      </c>
      <c r="M586" t="inlineStr"/>
      <c r="N586" t="inlineStr">
        <is>
          <t>7696-6025</t>
        </is>
      </c>
      <c r="O586" t="inlineStr">
        <is>
          <t>Consumidor final</t>
        </is>
      </c>
      <c r="P586" t="inlineStr">
        <is>
          <t>BEB-002</t>
        </is>
      </c>
      <c r="Q586" t="inlineStr">
        <is>
          <t>Agua purificada 1 galón</t>
        </is>
      </c>
      <c r="R586" t="inlineStr">
        <is>
          <t>Bebidas</t>
        </is>
      </c>
      <c r="S586" t="inlineStr">
        <is>
          <t>Bebidas Izalco</t>
        </is>
      </c>
      <c r="T586" t="inlineStr">
        <is>
          <t>2450-7700</t>
        </is>
      </c>
      <c r="U586" t="n">
        <v>1.1</v>
      </c>
      <c r="V586" t="n">
        <v>6</v>
      </c>
      <c r="W586" t="n">
        <v>0</v>
      </c>
      <c r="X586">
        <f>IFERROR(U586*V586*(1-W586/100),"")</f>
        <v/>
      </c>
      <c r="Y586">
        <f>IFERROR(ROUND(X586*0.13,2),"")</f>
        <v/>
      </c>
      <c r="Z586">
        <f>IFERROR(X586+Y586,"")</f>
        <v/>
      </c>
      <c r="AA586" t="inlineStr">
        <is>
          <t>Tarjeta</t>
        </is>
      </c>
      <c r="AB586" t="inlineStr">
        <is>
          <t>Llamar al 7788-1234 antes de entregar</t>
        </is>
      </c>
    </row>
    <row r="587">
      <c r="A587" t="inlineStr">
        <is>
          <t>F-10932</t>
        </is>
      </c>
      <c r="B587" s="3" t="n">
        <v>46276</v>
      </c>
      <c r="C587" t="inlineStr">
        <is>
          <t>Factura</t>
        </is>
      </c>
      <c r="D587" t="inlineStr">
        <is>
          <t>SS02</t>
        </is>
      </c>
      <c r="E587" t="inlineStr">
        <is>
          <t>Escalón</t>
        </is>
      </c>
      <c r="F587" t="inlineStr">
        <is>
          <t>Paseo General Escalón #3910</t>
        </is>
      </c>
      <c r="G587" t="inlineStr">
        <is>
          <t>San Salvador</t>
        </is>
      </c>
      <c r="H587" t="inlineStr">
        <is>
          <t>San Salvador</t>
        </is>
      </c>
      <c r="I587" t="inlineStr">
        <is>
          <t>Claudia Menjívar</t>
        </is>
      </c>
      <c r="J587" t="inlineStr">
        <is>
          <t>2264-1190</t>
        </is>
      </c>
      <c r="K587" t="inlineStr">
        <is>
          <t>Kevin Benítez</t>
        </is>
      </c>
      <c r="L587" t="inlineStr">
        <is>
          <t>Rosa García López</t>
        </is>
      </c>
      <c r="M587" t="inlineStr">
        <is>
          <t>08949227-3</t>
        </is>
      </c>
      <c r="N587" t="inlineStr">
        <is>
          <t>7696-6025</t>
        </is>
      </c>
      <c r="O587" t="inlineStr">
        <is>
          <t>Consumidor final</t>
        </is>
      </c>
      <c r="P587" t="inlineStr">
        <is>
          <t>LAC-003</t>
        </is>
      </c>
      <c r="Q587" t="inlineStr">
        <is>
          <t>Leche entera 1L</t>
        </is>
      </c>
      <c r="R587" t="inlineStr">
        <is>
          <t>Lácteos</t>
        </is>
      </c>
      <c r="S587" t="inlineStr">
        <is>
          <t>Lácteos Chalate</t>
        </is>
      </c>
      <c r="T587" t="inlineStr">
        <is>
          <t>2335-1020</t>
        </is>
      </c>
      <c r="U587" t="n">
        <v>1.2</v>
      </c>
      <c r="V587" t="n">
        <v>24</v>
      </c>
      <c r="W587" t="n">
        <v>0</v>
      </c>
      <c r="X587">
        <f>IFERROR(U587*V587*(1-W587/100),"")</f>
        <v/>
      </c>
      <c r="Y587">
        <f>IFERROR(ROUND(X587*0.13,2),"")</f>
        <v/>
      </c>
      <c r="Z587">
        <f>IFERROR(X587+Y587,"")</f>
        <v/>
      </c>
      <c r="AA587" t="inlineStr">
        <is>
          <t>Tarjeta</t>
        </is>
      </c>
      <c r="AB587" t="inlineStr"/>
    </row>
    <row r="588">
      <c r="A588" t="inlineStr">
        <is>
          <t>F-10932</t>
        </is>
      </c>
      <c r="B588" s="3" t="n">
        <v>46276</v>
      </c>
      <c r="C588" t="inlineStr">
        <is>
          <t>Factura</t>
        </is>
      </c>
      <c r="D588" t="inlineStr">
        <is>
          <t>SS02</t>
        </is>
      </c>
      <c r="E588" t="inlineStr">
        <is>
          <t>Escalon</t>
        </is>
      </c>
      <c r="F588" t="inlineStr">
        <is>
          <t>Paseo General Escalón #3910</t>
        </is>
      </c>
      <c r="G588" t="inlineStr">
        <is>
          <t>San Salvador</t>
        </is>
      </c>
      <c r="H588" t="inlineStr">
        <is>
          <t>San Salvador</t>
        </is>
      </c>
      <c r="I588" t="inlineStr">
        <is>
          <t>Claudia Menjívar</t>
        </is>
      </c>
      <c r="J588" t="inlineStr">
        <is>
          <t>2264-1190</t>
        </is>
      </c>
      <c r="K588" t="inlineStr">
        <is>
          <t>Kevin Benítez</t>
        </is>
      </c>
      <c r="L588" t="inlineStr">
        <is>
          <t>Rosa García López</t>
        </is>
      </c>
      <c r="M588" t="inlineStr"/>
      <c r="N588" t="inlineStr">
        <is>
          <t>7696-6025</t>
        </is>
      </c>
      <c r="O588" t="inlineStr">
        <is>
          <t>Consumidor final</t>
        </is>
      </c>
      <c r="P588" t="inlineStr">
        <is>
          <t>PAN-003</t>
        </is>
      </c>
      <c r="Q588" t="inlineStr">
        <is>
          <t>Quesadilla salvadoreña</t>
        </is>
      </c>
      <c r="R588" t="inlineStr">
        <is>
          <t>Panadería</t>
        </is>
      </c>
      <c r="S588" t="inlineStr">
        <is>
          <t>Panificadora Ilopango</t>
        </is>
      </c>
      <c r="T588" t="inlineStr">
        <is>
          <t>2295-0081</t>
        </is>
      </c>
      <c r="U588" t="n">
        <v>2.5</v>
      </c>
      <c r="V588" t="n">
        <v>12</v>
      </c>
      <c r="W588" t="n">
        <v>0</v>
      </c>
      <c r="X588">
        <f>IFERROR(U588*V588*(1-W588/100),"")</f>
        <v/>
      </c>
      <c r="Y588">
        <f>IFERROR(ROUND(X588*0.13,2),"")</f>
        <v/>
      </c>
      <c r="Z588">
        <f>IFERROR(X588+Y588,"")</f>
        <v/>
      </c>
      <c r="AA588" t="inlineStr">
        <is>
          <t>Tarjeta</t>
        </is>
      </c>
      <c r="AB588" t="inlineStr"/>
    </row>
    <row r="589">
      <c r="A589" t="inlineStr">
        <is>
          <t>F-10935</t>
        </is>
      </c>
      <c r="B589" t="inlineStr">
        <is>
          <t>17/07/2026</t>
        </is>
      </c>
      <c r="C589" t="inlineStr">
        <is>
          <t>Factura</t>
        </is>
      </c>
      <c r="D589" t="inlineStr">
        <is>
          <t>SS03</t>
        </is>
      </c>
      <c r="E589" t="inlineStr">
        <is>
          <t>Soyapango</t>
        </is>
      </c>
      <c r="F589" t="inlineStr">
        <is>
          <t>Blvd. del Ejército km 4</t>
        </is>
      </c>
      <c r="G589" t="inlineStr">
        <is>
          <t>Soyapango</t>
        </is>
      </c>
      <c r="H589" t="inlineStr">
        <is>
          <t>San Salvador</t>
        </is>
      </c>
      <c r="I589" t="inlineStr">
        <is>
          <t>Karla Henríquez</t>
        </is>
      </c>
      <c r="J589" t="inlineStr">
        <is>
          <t>2277-3402</t>
        </is>
      </c>
      <c r="K589" t="inlineStr">
        <is>
          <t>Carlos Molina</t>
        </is>
      </c>
      <c r="L589" t="inlineStr">
        <is>
          <t>Brenda Castillo Sorto</t>
        </is>
      </c>
      <c r="M589" t="inlineStr">
        <is>
          <t>09144591-2</t>
        </is>
      </c>
      <c r="N589" t="inlineStr">
        <is>
          <t>2460-3568</t>
        </is>
      </c>
      <c r="O589" t="inlineStr">
        <is>
          <t>Consumidor final</t>
        </is>
      </c>
      <c r="P589" t="inlineStr">
        <is>
          <t>CAF-001</t>
        </is>
      </c>
      <c r="Q589" t="inlineStr">
        <is>
          <t>Café molido 400g</t>
        </is>
      </c>
      <c r="R589" t="inlineStr">
        <is>
          <t>Abarrotes</t>
        </is>
      </c>
      <c r="S589" t="inlineStr">
        <is>
          <t>Café Volcán S.A.</t>
        </is>
      </c>
      <c r="T589" t="inlineStr">
        <is>
          <t>2510-3344</t>
        </is>
      </c>
      <c r="U589" t="n">
        <v>4.25</v>
      </c>
      <c r="V589" t="n">
        <v>4</v>
      </c>
      <c r="W589" t="n">
        <v>0</v>
      </c>
      <c r="X589">
        <f>IFERROR(U589*V589*(1-W589/100),"")</f>
        <v/>
      </c>
      <c r="Y589">
        <f>IFERROR(ROUND(X589*0.13,2),"")</f>
        <v/>
      </c>
      <c r="Z589">
        <f>IFERROR(X589+Y589,"")</f>
        <v/>
      </c>
      <c r="AA589" t="inlineStr">
        <is>
          <t>Efectivo</t>
        </is>
      </c>
      <c r="AB589" t="inlineStr"/>
    </row>
    <row r="590">
      <c r="A590" t="inlineStr">
        <is>
          <t>F-10935</t>
        </is>
      </c>
      <c r="B590" t="inlineStr">
        <is>
          <t>17/07/2026</t>
        </is>
      </c>
      <c r="C590" t="inlineStr">
        <is>
          <t>Factura</t>
        </is>
      </c>
      <c r="D590" t="inlineStr">
        <is>
          <t>SS03</t>
        </is>
      </c>
      <c r="E590" t="inlineStr">
        <is>
          <t xml:space="preserve">SOYAPANGO </t>
        </is>
      </c>
      <c r="F590" t="inlineStr">
        <is>
          <t>Blvd. del Ejército km 4</t>
        </is>
      </c>
      <c r="G590" t="inlineStr">
        <is>
          <t>Soyapango</t>
        </is>
      </c>
      <c r="H590" t="inlineStr">
        <is>
          <t>San Salvador</t>
        </is>
      </c>
      <c r="I590" t="inlineStr">
        <is>
          <t>Karla Henríquez</t>
        </is>
      </c>
      <c r="J590" t="inlineStr">
        <is>
          <t>2277-3402</t>
        </is>
      </c>
      <c r="K590" t="inlineStr">
        <is>
          <t>Carlos Molina</t>
        </is>
      </c>
      <c r="L590" t="inlineStr">
        <is>
          <t>Brenda Castillo Sorto</t>
        </is>
      </c>
      <c r="M590" t="inlineStr">
        <is>
          <t>09144591-2</t>
        </is>
      </c>
      <c r="N590" t="inlineStr">
        <is>
          <t>2460-3568</t>
        </is>
      </c>
      <c r="O590" t="inlineStr">
        <is>
          <t>Consumidor final</t>
        </is>
      </c>
      <c r="P590" t="inlineStr">
        <is>
          <t>LAC-003</t>
        </is>
      </c>
      <c r="Q590" t="inlineStr">
        <is>
          <t>Leche entera 1L</t>
        </is>
      </c>
      <c r="R590" t="inlineStr">
        <is>
          <t>Lácteos</t>
        </is>
      </c>
      <c r="S590" t="inlineStr">
        <is>
          <t>Lácteos Chalate</t>
        </is>
      </c>
      <c r="T590" t="inlineStr">
        <is>
          <t>2335-1020</t>
        </is>
      </c>
      <c r="U590" t="inlineStr">
        <is>
          <t>$1.20</t>
        </is>
      </c>
      <c r="V590" t="n">
        <v>6</v>
      </c>
      <c r="W590" t="n">
        <v>0</v>
      </c>
      <c r="X590">
        <f>IFERROR(U590*V590*(1-W590/100),"")</f>
        <v/>
      </c>
      <c r="Y590">
        <f>IFERROR(ROUND(X590*0.13,2),"")</f>
        <v/>
      </c>
      <c r="Z590">
        <f>IFERROR(X590+Y590,"")</f>
        <v/>
      </c>
      <c r="AA590" t="inlineStr">
        <is>
          <t>Efectivo</t>
        </is>
      </c>
      <c r="AB590" t="inlineStr">
        <is>
          <t>pagó con billete de $100</t>
        </is>
      </c>
    </row>
    <row r="591">
      <c r="A591" t="inlineStr">
        <is>
          <t>10935</t>
        </is>
      </c>
      <c r="B591" s="3" t="n">
        <v>46220</v>
      </c>
      <c r="C591" t="inlineStr">
        <is>
          <t>Factura</t>
        </is>
      </c>
      <c r="D591" t="inlineStr">
        <is>
          <t>SS03</t>
        </is>
      </c>
      <c r="E591" t="inlineStr">
        <is>
          <t xml:space="preserve">SOYAPANGO </t>
        </is>
      </c>
      <c r="F591" t="inlineStr">
        <is>
          <t>Blvd. del Ejército km 4</t>
        </is>
      </c>
      <c r="G591" t="inlineStr">
        <is>
          <t>Soyapango</t>
        </is>
      </c>
      <c r="H591" t="inlineStr">
        <is>
          <t>San Salvador</t>
        </is>
      </c>
      <c r="I591" t="inlineStr">
        <is>
          <t>Karla Henríquez</t>
        </is>
      </c>
      <c r="J591" t="inlineStr">
        <is>
          <t>2277-3402</t>
        </is>
      </c>
      <c r="K591" t="inlineStr">
        <is>
          <t>Carlos Molina</t>
        </is>
      </c>
      <c r="L591" t="inlineStr">
        <is>
          <t>Brenda Castillo Sorto</t>
        </is>
      </c>
      <c r="M591" t="inlineStr">
        <is>
          <t>09144591-2</t>
        </is>
      </c>
      <c r="N591" t="inlineStr">
        <is>
          <t>2460-3568</t>
        </is>
      </c>
      <c r="O591" t="inlineStr">
        <is>
          <t>Consumidor final</t>
        </is>
      </c>
      <c r="P591" t="inlineStr">
        <is>
          <t>LAC-002</t>
        </is>
      </c>
      <c r="Q591" t="inlineStr">
        <is>
          <t>Crema 500ml</t>
        </is>
      </c>
      <c r="R591" t="inlineStr">
        <is>
          <t>Lacteos</t>
        </is>
      </c>
      <c r="S591" t="inlineStr">
        <is>
          <t>Lácteos Chalate</t>
        </is>
      </c>
      <c r="T591" t="inlineStr">
        <is>
          <t>2335-1020</t>
        </is>
      </c>
      <c r="U591" t="n">
        <v>2.25</v>
      </c>
      <c r="V591" t="n">
        <v>2</v>
      </c>
      <c r="W591" t="n">
        <v>0</v>
      </c>
      <c r="X591">
        <f>IFERROR(U591*V591*(1-W591/100),"")</f>
        <v/>
      </c>
      <c r="Y591">
        <f>IFERROR(ROUND(X591*0.13,2),"")</f>
        <v/>
      </c>
      <c r="Z591">
        <f>IFERROR(X591+Y591,"")</f>
        <v/>
      </c>
      <c r="AA591" t="inlineStr">
        <is>
          <t>Efectivo</t>
        </is>
      </c>
      <c r="AB591" t="inlineStr"/>
    </row>
    <row r="592">
      <c r="A592" t="inlineStr">
        <is>
          <t>10935</t>
        </is>
      </c>
      <c r="B592" s="4" t="n">
        <v>46220</v>
      </c>
      <c r="C592" t="inlineStr">
        <is>
          <t>Factura</t>
        </is>
      </c>
      <c r="D592" t="inlineStr">
        <is>
          <t>SS03</t>
        </is>
      </c>
      <c r="E592" t="inlineStr">
        <is>
          <t xml:space="preserve">SOYAPANGO </t>
        </is>
      </c>
      <c r="F592" t="inlineStr">
        <is>
          <t>Blvd. del Ejército km 4</t>
        </is>
      </c>
      <c r="G592" t="inlineStr">
        <is>
          <t>Soyapango</t>
        </is>
      </c>
      <c r="H592" t="inlineStr">
        <is>
          <t>San Salvador</t>
        </is>
      </c>
      <c r="I592" t="inlineStr">
        <is>
          <t>Karla Henríquez</t>
        </is>
      </c>
      <c r="J592" t="inlineStr">
        <is>
          <t>2277-3402</t>
        </is>
      </c>
      <c r="K592" t="inlineStr">
        <is>
          <t>Carlos Molina</t>
        </is>
      </c>
      <c r="L592" t="inlineStr">
        <is>
          <t>Brenda Castillo Sorto</t>
        </is>
      </c>
      <c r="M592" t="inlineStr">
        <is>
          <t>09144591-2</t>
        </is>
      </c>
      <c r="N592" t="inlineStr">
        <is>
          <t>2460-3568</t>
        </is>
      </c>
      <c r="O592" t="inlineStr">
        <is>
          <t>Consumidor final</t>
        </is>
      </c>
      <c r="P592" t="inlineStr">
        <is>
          <t>LAC-002</t>
        </is>
      </c>
      <c r="Q592" t="inlineStr">
        <is>
          <t>Crema 500ml</t>
        </is>
      </c>
      <c r="R592" t="inlineStr">
        <is>
          <t>Lacteos</t>
        </is>
      </c>
      <c r="S592" t="inlineStr">
        <is>
          <t>Lácteos Chalate</t>
        </is>
      </c>
      <c r="T592" t="inlineStr">
        <is>
          <t>2335-1020</t>
        </is>
      </c>
      <c r="U592" t="n">
        <v>2.25</v>
      </c>
      <c r="V592" t="n">
        <v>2</v>
      </c>
      <c r="W592" t="n">
        <v>0</v>
      </c>
      <c r="X592">
        <f>IFERROR(U592*V592*(1-W592/100),"")</f>
        <v/>
      </c>
      <c r="Y592">
        <f>IFERROR(ROUND(X592*0.13,2),"")</f>
        <v/>
      </c>
      <c r="Z592">
        <f>IFERROR(X592+Y592,"")</f>
        <v/>
      </c>
      <c r="AA592" t="inlineStr">
        <is>
          <t>Efectivo</t>
        </is>
      </c>
      <c r="AB592" t="inlineStr"/>
    </row>
    <row r="593">
      <c r="A593" t="inlineStr">
        <is>
          <t>F-10937</t>
        </is>
      </c>
      <c r="B593" s="3" t="n">
        <v>46214</v>
      </c>
      <c r="C593" t="inlineStr">
        <is>
          <t>factura</t>
        </is>
      </c>
      <c r="D593" t="inlineStr">
        <is>
          <t>LL02</t>
        </is>
      </c>
      <c r="E593" t="inlineStr">
        <is>
          <t>Pto. La Libertad</t>
        </is>
      </c>
      <c r="F593" t="inlineStr">
        <is>
          <t>Calle El Malecón, Local 4</t>
        </is>
      </c>
      <c r="G593" t="inlineStr">
        <is>
          <t>La Libertad</t>
        </is>
      </c>
      <c r="H593" t="inlineStr">
        <is>
          <t>La Libertad</t>
        </is>
      </c>
      <c r="I593" t="inlineStr">
        <is>
          <t>Wendy Aguilar</t>
        </is>
      </c>
      <c r="J593" t="inlineStr">
        <is>
          <t>2335-6140</t>
        </is>
      </c>
      <c r="K593" t="inlineStr">
        <is>
          <t>Gabriela Saravia</t>
        </is>
      </c>
      <c r="L593" t="inlineStr">
        <is>
          <t>Walter Hernández Flores</t>
        </is>
      </c>
      <c r="M593" t="inlineStr">
        <is>
          <t>01412764-4</t>
        </is>
      </c>
      <c r="N593" t="inlineStr">
        <is>
          <t>6659-5342</t>
        </is>
      </c>
      <c r="O593" t="inlineStr">
        <is>
          <t>Consumidor final</t>
        </is>
      </c>
      <c r="P593" t="inlineStr">
        <is>
          <t>LAC-001</t>
        </is>
      </c>
      <c r="Q593" t="inlineStr">
        <is>
          <t>Quesillo 1lb</t>
        </is>
      </c>
      <c r="R593" t="inlineStr">
        <is>
          <t>LACTEOS</t>
        </is>
      </c>
      <c r="S593" t="inlineStr">
        <is>
          <t>Lácteos Chalate</t>
        </is>
      </c>
      <c r="T593" t="inlineStr">
        <is>
          <t>2335-1020</t>
        </is>
      </c>
      <c r="U593" t="n">
        <v>3.8</v>
      </c>
      <c r="V593" t="n">
        <v>6</v>
      </c>
      <c r="W593" t="n">
        <v>0</v>
      </c>
      <c r="X593">
        <f>IFERROR(U593*V593*(1-W593/100),"")</f>
        <v/>
      </c>
      <c r="Y593">
        <f>IFERROR(ROUND(X593*0.13,2),"")</f>
        <v/>
      </c>
      <c r="Z593">
        <f>IFERROR(X593+Y593,"")</f>
        <v/>
      </c>
      <c r="AA593" t="inlineStr">
        <is>
          <t>Efectivo</t>
        </is>
      </c>
      <c r="AB593" t="inlineStr">
        <is>
          <t>entregar en bodega</t>
        </is>
      </c>
    </row>
    <row r="594">
      <c r="A594" t="inlineStr">
        <is>
          <t>F-10937</t>
        </is>
      </c>
      <c r="B594" s="3" t="n">
        <v>46214</v>
      </c>
      <c r="C594" t="inlineStr">
        <is>
          <t>factura</t>
        </is>
      </c>
      <c r="D594" t="inlineStr">
        <is>
          <t>LL02</t>
        </is>
      </c>
      <c r="E594" t="inlineStr">
        <is>
          <t>Pto. La Libertad</t>
        </is>
      </c>
      <c r="F594" t="inlineStr">
        <is>
          <t>Calle El Malecón, Local 4</t>
        </is>
      </c>
      <c r="G594" t="inlineStr">
        <is>
          <t>La Libertad</t>
        </is>
      </c>
      <c r="H594" t="inlineStr">
        <is>
          <t>La Libertad</t>
        </is>
      </c>
      <c r="I594" t="inlineStr">
        <is>
          <t>Wendy Aguilar</t>
        </is>
      </c>
      <c r="J594" t="inlineStr">
        <is>
          <t>2335-6140</t>
        </is>
      </c>
      <c r="K594" t="inlineStr">
        <is>
          <t>Gabriela Saravia</t>
        </is>
      </c>
      <c r="L594" t="inlineStr">
        <is>
          <t>Walter Hernández Flores</t>
        </is>
      </c>
      <c r="M594" t="inlineStr">
        <is>
          <t>01412764-4</t>
        </is>
      </c>
      <c r="N594" t="inlineStr">
        <is>
          <t>6659-5342</t>
        </is>
      </c>
      <c r="O594" t="inlineStr">
        <is>
          <t>Consumidor final</t>
        </is>
      </c>
      <c r="P594" t="inlineStr">
        <is>
          <t>FRI-001</t>
        </is>
      </c>
      <c r="Q594" t="inlineStr">
        <is>
          <t>Frijol rojo de seda 2lb</t>
        </is>
      </c>
      <c r="R594" t="inlineStr">
        <is>
          <t>Granos básicos</t>
        </is>
      </c>
      <c r="S594" t="inlineStr">
        <is>
          <t>Granos del Pacífico</t>
        </is>
      </c>
      <c r="T594" t="inlineStr">
        <is>
          <t>2234-8890</t>
        </is>
      </c>
      <c r="U594" t="n">
        <v>2.4</v>
      </c>
      <c r="V594" t="n">
        <v>1</v>
      </c>
      <c r="W594" t="n">
        <v>0</v>
      </c>
      <c r="X594">
        <f>IFERROR(U594*V594*(1-W594/100),"")</f>
        <v/>
      </c>
      <c r="Y594">
        <f>IFERROR(ROUND(X594*0.13,2),"")</f>
        <v/>
      </c>
      <c r="Z594">
        <f>IFERROR(X594+Y594,"")</f>
        <v/>
      </c>
      <c r="AA594" t="inlineStr">
        <is>
          <t>Efectivo</t>
        </is>
      </c>
      <c r="AB594" t="inlineStr">
        <is>
          <t>Cliente frecuente</t>
        </is>
      </c>
    </row>
    <row r="595">
      <c r="A595" t="inlineStr">
        <is>
          <t>F-10937</t>
        </is>
      </c>
      <c r="B595" s="3" t="n">
        <v>46214</v>
      </c>
      <c r="C595" t="inlineStr">
        <is>
          <t>factura</t>
        </is>
      </c>
      <c r="D595" t="inlineStr"/>
      <c r="E595" t="inlineStr">
        <is>
          <t>Puerto de La Libertad</t>
        </is>
      </c>
      <c r="F595" t="inlineStr">
        <is>
          <t>Calle El Malecón, Local 4</t>
        </is>
      </c>
      <c r="G595" t="inlineStr">
        <is>
          <t>La Libertad</t>
        </is>
      </c>
      <c r="H595" t="inlineStr">
        <is>
          <t>La Libertad</t>
        </is>
      </c>
      <c r="I595" t="inlineStr">
        <is>
          <t>Wendy Aguilar</t>
        </is>
      </c>
      <c r="J595" t="inlineStr">
        <is>
          <t>2335-6140</t>
        </is>
      </c>
      <c r="K595" t="inlineStr">
        <is>
          <t>Gabriela Saravia</t>
        </is>
      </c>
      <c r="L595" t="inlineStr">
        <is>
          <t>Walter Hernández Flores</t>
        </is>
      </c>
      <c r="M595" t="inlineStr">
        <is>
          <t>01412764-4</t>
        </is>
      </c>
      <c r="N595" t="inlineStr">
        <is>
          <t>6659-5342</t>
        </is>
      </c>
      <c r="O595" t="inlineStr">
        <is>
          <t>Consumidor final</t>
        </is>
      </c>
      <c r="P595" t="inlineStr">
        <is>
          <t>HIG-003</t>
        </is>
      </c>
      <c r="Q595" t="inlineStr">
        <is>
          <t>Jabón de lavar barra</t>
        </is>
      </c>
      <c r="R595" t="inlineStr">
        <is>
          <t>Limpieza</t>
        </is>
      </c>
      <c r="S595" t="inlineStr">
        <is>
          <t>Higiene Total C.A.</t>
        </is>
      </c>
      <c r="T595" t="inlineStr">
        <is>
          <t>2207-5566</t>
        </is>
      </c>
      <c r="U595" t="inlineStr">
        <is>
          <t>0,75</t>
        </is>
      </c>
      <c r="V595" t="n">
        <v>1</v>
      </c>
      <c r="W595" t="n">
        <v>0</v>
      </c>
      <c r="X595">
        <f>IFERROR(U595*V595*(1-W595/100),"")</f>
        <v/>
      </c>
      <c r="Y595">
        <f>IFERROR(ROUND(X595*0.13,2),"")</f>
        <v/>
      </c>
      <c r="Z595">
        <f>IFERROR(X595+Y595,"")</f>
        <v/>
      </c>
      <c r="AA595" t="inlineStr">
        <is>
          <t>Efectivo</t>
        </is>
      </c>
      <c r="AB595" t="inlineStr">
        <is>
          <t>precio especial autorizado por gerente</t>
        </is>
      </c>
    </row>
    <row r="596">
      <c r="A596" t="inlineStr">
        <is>
          <t>10938</t>
        </is>
      </c>
      <c r="B596" s="3" t="n">
        <v>46214</v>
      </c>
      <c r="C596" t="inlineStr">
        <is>
          <t>FCF</t>
        </is>
      </c>
      <c r="D596" t="inlineStr">
        <is>
          <t>LL01</t>
        </is>
      </c>
      <c r="E596" t="inlineStr">
        <is>
          <t>SANTA TECLA</t>
        </is>
      </c>
      <c r="F596" t="inlineStr">
        <is>
          <t>Calle Daniel Hernández #18</t>
        </is>
      </c>
      <c r="G596" t="inlineStr">
        <is>
          <t>Santa Tecla</t>
        </is>
      </c>
      <c r="H596" t="inlineStr">
        <is>
          <t>La Libertad</t>
        </is>
      </c>
      <c r="I596" t="inlineStr">
        <is>
          <t>Óscar Rivas</t>
        </is>
      </c>
      <c r="J596" t="inlineStr">
        <is>
          <t>2228-7731</t>
        </is>
      </c>
      <c r="K596" t="inlineStr">
        <is>
          <t>Luis Escobar</t>
        </is>
      </c>
      <c r="L596" t="inlineStr">
        <is>
          <t>Edwin Castillo Romero</t>
        </is>
      </c>
      <c r="M596" t="inlineStr">
        <is>
          <t>07552102-5</t>
        </is>
      </c>
      <c r="N596" t="inlineStr">
        <is>
          <t>2609-8644</t>
        </is>
      </c>
      <c r="O596" t="inlineStr">
        <is>
          <t>Consumidor final</t>
        </is>
      </c>
      <c r="P596" t="inlineStr">
        <is>
          <t>HIG-002</t>
        </is>
      </c>
      <c r="Q596" t="inlineStr">
        <is>
          <t>Papel higiénico 4 rollos</t>
        </is>
      </c>
      <c r="R596" t="inlineStr">
        <is>
          <t>Higiene</t>
        </is>
      </c>
      <c r="S596" t="inlineStr">
        <is>
          <t>Higiene Total C.A.</t>
        </is>
      </c>
      <c r="T596" t="inlineStr">
        <is>
          <t>2207-5566</t>
        </is>
      </c>
      <c r="U596" t="n">
        <v>2.15</v>
      </c>
      <c r="V596" t="n">
        <v>2</v>
      </c>
      <c r="W596" t="n">
        <v>0</v>
      </c>
      <c r="X596">
        <f>IFERROR(U596*V596*(1-W596/100),"")</f>
        <v/>
      </c>
      <c r="Y596">
        <f>IFERROR(ROUND(X596*0.13,2),"")</f>
        <v/>
      </c>
      <c r="Z596">
        <f>IFERROR(X596+Y596,"")</f>
        <v/>
      </c>
      <c r="AA596" t="inlineStr">
        <is>
          <t>Efectivo</t>
        </is>
      </c>
      <c r="AB596" t="inlineStr">
        <is>
          <t>Cliente frecuente</t>
        </is>
      </c>
    </row>
    <row r="597">
      <c r="A597" t="inlineStr">
        <is>
          <t>F-10939</t>
        </is>
      </c>
      <c r="B597" s="3" t="n">
        <v>46213</v>
      </c>
      <c r="C597" t="inlineStr">
        <is>
          <t>FCF</t>
        </is>
      </c>
      <c r="D597" t="inlineStr">
        <is>
          <t>LL02</t>
        </is>
      </c>
      <c r="E597" t="inlineStr">
        <is>
          <t>Puerto de La Libertad</t>
        </is>
      </c>
      <c r="F597" t="inlineStr">
        <is>
          <t>Calle El Malecón, Local 4</t>
        </is>
      </c>
      <c r="G597" t="inlineStr">
        <is>
          <t>La Libertad</t>
        </is>
      </c>
      <c r="H597" t="inlineStr">
        <is>
          <t>La Libertad</t>
        </is>
      </c>
      <c r="I597" t="inlineStr">
        <is>
          <t>Wendy Aguilar</t>
        </is>
      </c>
      <c r="J597" t="inlineStr">
        <is>
          <t>2335-6140</t>
        </is>
      </c>
      <c r="K597" t="inlineStr">
        <is>
          <t>Gabriela Saravia</t>
        </is>
      </c>
      <c r="L597" t="inlineStr">
        <is>
          <t>Brenda Castillo Sorto</t>
        </is>
      </c>
      <c r="M597" t="inlineStr">
        <is>
          <t>09144591-2</t>
        </is>
      </c>
      <c r="N597" t="inlineStr">
        <is>
          <t>2460-3568</t>
        </is>
      </c>
      <c r="O597" t="inlineStr">
        <is>
          <t>Consumidor final</t>
        </is>
      </c>
      <c r="P597" t="inlineStr">
        <is>
          <t>HAR-001</t>
        </is>
      </c>
      <c r="Q597" t="inlineStr">
        <is>
          <t>Harina de maíz 2lb</t>
        </is>
      </c>
      <c r="R597" t="inlineStr">
        <is>
          <t>Abarrotes</t>
        </is>
      </c>
      <c r="S597" t="inlineStr">
        <is>
          <t>Granos del Pacífico</t>
        </is>
      </c>
      <c r="T597" t="inlineStr">
        <is>
          <t>2234-8890</t>
        </is>
      </c>
      <c r="U597" t="n">
        <v>1.35</v>
      </c>
      <c r="V597" t="n">
        <v>24</v>
      </c>
      <c r="W597" t="n">
        <v>0</v>
      </c>
      <c r="X597">
        <f>IFERROR(U597*V597*(1-W597/100),"")</f>
        <v/>
      </c>
      <c r="Y597">
        <f>IFERROR(ROUND(X597*0.13,2),"")</f>
        <v/>
      </c>
      <c r="Z597">
        <f>IFERROR(X597+Y597,"")</f>
        <v/>
      </c>
      <c r="AA597" t="inlineStr">
        <is>
          <t>Efectivo</t>
        </is>
      </c>
      <c r="AB597" t="inlineStr">
        <is>
          <t>entregar en bodega</t>
        </is>
      </c>
    </row>
    <row r="598">
      <c r="A598" t="inlineStr">
        <is>
          <t>F-10939</t>
        </is>
      </c>
      <c r="B598" s="3" t="n">
        <v>46213</v>
      </c>
      <c r="C598" t="inlineStr">
        <is>
          <t>FCF</t>
        </is>
      </c>
      <c r="D598" t="inlineStr">
        <is>
          <t>LL02</t>
        </is>
      </c>
      <c r="E598" t="inlineStr">
        <is>
          <t>Puerto de La Libertad</t>
        </is>
      </c>
      <c r="F598" t="inlineStr">
        <is>
          <t>Calle El Malecón, Local 4</t>
        </is>
      </c>
      <c r="G598" t="inlineStr">
        <is>
          <t>La Libertad</t>
        </is>
      </c>
      <c r="H598" t="inlineStr">
        <is>
          <t>La Libertad</t>
        </is>
      </c>
      <c r="I598" t="inlineStr">
        <is>
          <t>Wendy Aguilar</t>
        </is>
      </c>
      <c r="J598" t="inlineStr">
        <is>
          <t>2335-6140</t>
        </is>
      </c>
      <c r="K598" t="inlineStr">
        <is>
          <t>Gabriela Saravia</t>
        </is>
      </c>
      <c r="L598" t="inlineStr">
        <is>
          <t>Brenda Castillo Sorto</t>
        </is>
      </c>
      <c r="M598" t="inlineStr">
        <is>
          <t>09144591-2</t>
        </is>
      </c>
      <c r="N598" t="inlineStr">
        <is>
          <t>2460-3568</t>
        </is>
      </c>
      <c r="O598" t="inlineStr">
        <is>
          <t>Consumidor final</t>
        </is>
      </c>
      <c r="P598" t="inlineStr">
        <is>
          <t>BEB-001</t>
        </is>
      </c>
      <c r="Q598" t="inlineStr">
        <is>
          <t>Gaseosa 2.5L</t>
        </is>
      </c>
      <c r="R598" t="inlineStr">
        <is>
          <t>bebidas</t>
        </is>
      </c>
      <c r="S598" t="inlineStr">
        <is>
          <t>Bebidas Izalco</t>
        </is>
      </c>
      <c r="T598" t="inlineStr">
        <is>
          <t>2450-7700</t>
        </is>
      </c>
      <c r="U598" t="n">
        <v>1.95</v>
      </c>
      <c r="V598" t="n">
        <v>1</v>
      </c>
      <c r="W598" t="n">
        <v>0</v>
      </c>
      <c r="X598">
        <f>IFERROR(U598*V598*(1-W598/100),"")</f>
        <v/>
      </c>
      <c r="Y598">
        <f>IFERROR(ROUND(X598*0.13,2),"")</f>
        <v/>
      </c>
      <c r="Z598">
        <f>IFERROR(X598+Y598,"")</f>
        <v/>
      </c>
      <c r="AA598" t="inlineStr">
        <is>
          <t>Efectivo</t>
        </is>
      </c>
      <c r="AB598" t="inlineStr"/>
    </row>
    <row r="599">
      <c r="A599" t="inlineStr">
        <is>
          <t>F-10939</t>
        </is>
      </c>
      <c r="B599" s="3" t="n">
        <v>46213</v>
      </c>
      <c r="C599" t="inlineStr">
        <is>
          <t>FCF</t>
        </is>
      </c>
      <c r="D599" t="inlineStr">
        <is>
          <t>LL02</t>
        </is>
      </c>
      <c r="E599" t="inlineStr">
        <is>
          <t>Puerto de La Libertad</t>
        </is>
      </c>
      <c r="F599" t="inlineStr">
        <is>
          <t>Calle El Malecón, Local 4</t>
        </is>
      </c>
      <c r="G599" t="inlineStr">
        <is>
          <t>La Libertad</t>
        </is>
      </c>
      <c r="H599" t="inlineStr">
        <is>
          <t>La Libertad</t>
        </is>
      </c>
      <c r="I599" t="inlineStr">
        <is>
          <t>Wendy Aguilar</t>
        </is>
      </c>
      <c r="J599" t="inlineStr">
        <is>
          <t>2335-6140</t>
        </is>
      </c>
      <c r="K599" t="inlineStr">
        <is>
          <t>Gabriela Saravia</t>
        </is>
      </c>
      <c r="L599" t="inlineStr">
        <is>
          <t>Brenda Castillo Sorto</t>
        </is>
      </c>
      <c r="M599" t="inlineStr">
        <is>
          <t>09144591-2</t>
        </is>
      </c>
      <c r="N599" t="inlineStr">
        <is>
          <t>2460-3568</t>
        </is>
      </c>
      <c r="O599" t="inlineStr">
        <is>
          <t>Consumidor final</t>
        </is>
      </c>
      <c r="P599" t="inlineStr">
        <is>
          <t>PAN-001</t>
        </is>
      </c>
      <c r="Q599" t="inlineStr">
        <is>
          <t>Pan francés bolsa 10u</t>
        </is>
      </c>
      <c r="R599" t="inlineStr">
        <is>
          <t>Panaderia</t>
        </is>
      </c>
      <c r="S599" t="inlineStr">
        <is>
          <t>Panificadora Ilopango</t>
        </is>
      </c>
      <c r="T599" t="inlineStr">
        <is>
          <t>2295-0081</t>
        </is>
      </c>
      <c r="U599" t="n">
        <v>1</v>
      </c>
      <c r="V599" t="n">
        <v>4</v>
      </c>
      <c r="W599" t="n">
        <v>0</v>
      </c>
      <c r="X599">
        <f>IFERROR(U599*V599*(1-W599/100),"")</f>
        <v/>
      </c>
      <c r="Y599">
        <f>IFERROR(ROUND(X599*0.13,2),"")</f>
        <v/>
      </c>
      <c r="Z599">
        <f>IFERROR(X599+Y599,"")</f>
        <v/>
      </c>
      <c r="AA599" t="inlineStr">
        <is>
          <t>Efectivo</t>
        </is>
      </c>
      <c r="AB599" t="inlineStr"/>
    </row>
    <row r="600">
      <c r="A600" t="inlineStr">
        <is>
          <t>F-10942</t>
        </is>
      </c>
      <c r="B600" s="3" t="n">
        <v>46261</v>
      </c>
      <c r="C600" t="inlineStr">
        <is>
          <t>Factura</t>
        </is>
      </c>
      <c r="D600" t="inlineStr">
        <is>
          <t>LL01</t>
        </is>
      </c>
      <c r="E600" t="inlineStr">
        <is>
          <t>Santa Tecla</t>
        </is>
      </c>
      <c r="F600" t="inlineStr">
        <is>
          <t>Calle Daniel Hernández #18</t>
        </is>
      </c>
      <c r="G600" t="inlineStr">
        <is>
          <t>Santa Tecla</t>
        </is>
      </c>
      <c r="H600" t="inlineStr">
        <is>
          <t>La Libertad</t>
        </is>
      </c>
      <c r="I600" t="inlineStr">
        <is>
          <t>Óscar Rivas</t>
        </is>
      </c>
      <c r="J600" t="inlineStr">
        <is>
          <t>2228-7731</t>
        </is>
      </c>
      <c r="K600" t="inlineStr">
        <is>
          <t>Luis Escobar</t>
        </is>
      </c>
      <c r="L600" t="inlineStr">
        <is>
          <t>María Castillo Martínez</t>
        </is>
      </c>
      <c r="M600" t="inlineStr"/>
      <c r="N600" t="inlineStr">
        <is>
          <t>6394-8494</t>
        </is>
      </c>
      <c r="O600" t="inlineStr">
        <is>
          <t>Consumidor final</t>
        </is>
      </c>
      <c r="P600" t="inlineStr">
        <is>
          <t>HIG-003</t>
        </is>
      </c>
      <c r="Q600" t="inlineStr">
        <is>
          <t>Jabón de lavar barra</t>
        </is>
      </c>
      <c r="R600" t="inlineStr">
        <is>
          <t>Limpieza</t>
        </is>
      </c>
      <c r="S600" t="inlineStr">
        <is>
          <t>Higiene Total C.A.</t>
        </is>
      </c>
      <c r="T600" t="inlineStr">
        <is>
          <t>2207-5566</t>
        </is>
      </c>
      <c r="U600" t="n">
        <v>0.75</v>
      </c>
      <c r="V600" t="n">
        <v>1</v>
      </c>
      <c r="W600" t="n">
        <v>0</v>
      </c>
      <c r="X600">
        <f>IFERROR(U600*V600*(1-W600/100),"")</f>
        <v/>
      </c>
      <c r="Y600">
        <f>IFERROR(ROUND(X600*0.13,2),"")</f>
        <v/>
      </c>
      <c r="Z600">
        <f>IFERROR(X600+Y600,"")</f>
        <v/>
      </c>
      <c r="AA600" t="inlineStr">
        <is>
          <t>Efectivo</t>
        </is>
      </c>
      <c r="AB600" t="inlineStr">
        <is>
          <t>Cliente frecuente</t>
        </is>
      </c>
    </row>
    <row r="601">
      <c r="A601" t="inlineStr">
        <is>
          <t>F-10942</t>
        </is>
      </c>
      <c r="B601" s="3" t="n">
        <v>46261</v>
      </c>
      <c r="C601" t="inlineStr">
        <is>
          <t>Factura</t>
        </is>
      </c>
      <c r="D601" t="inlineStr">
        <is>
          <t>LL01</t>
        </is>
      </c>
      <c r="E601" t="inlineStr">
        <is>
          <t>Santa Tecla</t>
        </is>
      </c>
      <c r="F601" t="inlineStr">
        <is>
          <t>Calle Daniel Hernández #18</t>
        </is>
      </c>
      <c r="G601" t="inlineStr">
        <is>
          <t>Santa Tecla</t>
        </is>
      </c>
      <c r="H601" t="inlineStr">
        <is>
          <t>La Libertad</t>
        </is>
      </c>
      <c r="I601" t="inlineStr">
        <is>
          <t>Óscar Rivas</t>
        </is>
      </c>
      <c r="J601" t="inlineStr">
        <is>
          <t>2228-7731</t>
        </is>
      </c>
      <c r="K601" t="inlineStr">
        <is>
          <t>Luis Escobar</t>
        </is>
      </c>
      <c r="L601" t="inlineStr">
        <is>
          <t>María Castillo Martínez</t>
        </is>
      </c>
      <c r="M601" t="inlineStr">
        <is>
          <t>09352468-8</t>
        </is>
      </c>
      <c r="N601" t="inlineStr">
        <is>
          <t>6394-8494</t>
        </is>
      </c>
      <c r="O601" t="inlineStr">
        <is>
          <t>Consumidor final</t>
        </is>
      </c>
      <c r="P601" t="inlineStr">
        <is>
          <t>BEB-003</t>
        </is>
      </c>
      <c r="Q601" t="inlineStr">
        <is>
          <t>Horchata en polvo 400g</t>
        </is>
      </c>
      <c r="R601" t="inlineStr">
        <is>
          <t>Bebidas</t>
        </is>
      </c>
      <c r="S601" t="inlineStr">
        <is>
          <t>Bebidas Izalco</t>
        </is>
      </c>
      <c r="T601" t="inlineStr">
        <is>
          <t>2450-7700</t>
        </is>
      </c>
      <c r="U601" t="n">
        <v>2.6</v>
      </c>
      <c r="V601" t="n">
        <v>2</v>
      </c>
      <c r="W601" t="n">
        <v>0</v>
      </c>
      <c r="X601">
        <f>IFERROR(U601*V601*(1-W601/100),"")</f>
        <v/>
      </c>
      <c r="Y601">
        <f>IFERROR(ROUND(X601*0.13,2),"")</f>
        <v/>
      </c>
      <c r="Z601">
        <f>IFERROR(X601+Y601,"")</f>
        <v/>
      </c>
      <c r="AA601" t="inlineStr">
        <is>
          <t>Efectivo</t>
        </is>
      </c>
      <c r="AB601" t="inlineStr"/>
    </row>
    <row r="602">
      <c r="A602" t="inlineStr">
        <is>
          <t>F-10942</t>
        </is>
      </c>
      <c r="B602" s="3" t="n">
        <v>46261</v>
      </c>
      <c r="C602" t="inlineStr">
        <is>
          <t>Factura</t>
        </is>
      </c>
      <c r="D602" t="inlineStr">
        <is>
          <t>LL01</t>
        </is>
      </c>
      <c r="E602" t="inlineStr">
        <is>
          <t>SANTA TECLA</t>
        </is>
      </c>
      <c r="F602" t="inlineStr">
        <is>
          <t>Calle Daniel Hernández #18</t>
        </is>
      </c>
      <c r="G602" t="inlineStr">
        <is>
          <t>Santa Tecla</t>
        </is>
      </c>
      <c r="H602" t="inlineStr">
        <is>
          <t>La Libertad</t>
        </is>
      </c>
      <c r="I602" t="inlineStr">
        <is>
          <t>Óscar Rivas</t>
        </is>
      </c>
      <c r="J602" t="inlineStr">
        <is>
          <t>2228-7731</t>
        </is>
      </c>
      <c r="K602" t="inlineStr">
        <is>
          <t>Luis Escobar</t>
        </is>
      </c>
      <c r="L602" t="inlineStr">
        <is>
          <t>María Castillo Martínez</t>
        </is>
      </c>
      <c r="M602" t="inlineStr">
        <is>
          <t>09352468-8</t>
        </is>
      </c>
      <c r="N602" t="inlineStr">
        <is>
          <t>6394-8494</t>
        </is>
      </c>
      <c r="O602" t="inlineStr">
        <is>
          <t>Consumidor final</t>
        </is>
      </c>
      <c r="P602" t="inlineStr">
        <is>
          <t>PAN-003</t>
        </is>
      </c>
      <c r="Q602" t="inlineStr">
        <is>
          <t>Quesadilla salvadoreña</t>
        </is>
      </c>
      <c r="R602" t="inlineStr">
        <is>
          <t>Panadería</t>
        </is>
      </c>
      <c r="S602" t="inlineStr">
        <is>
          <t>Panificadora Ilopango</t>
        </is>
      </c>
      <c r="T602" t="inlineStr">
        <is>
          <t>2295-0081</t>
        </is>
      </c>
      <c r="U602" t="n">
        <v>2.5</v>
      </c>
      <c r="V602" t="n">
        <v>12</v>
      </c>
      <c r="W602" t="n">
        <v>0</v>
      </c>
      <c r="X602">
        <f>IFERROR(U602*V602*(1-W602/100),"")</f>
        <v/>
      </c>
      <c r="Y602">
        <f>IFERROR(ROUND(X602*0.13,2),"")</f>
        <v/>
      </c>
      <c r="Z602">
        <f>IFERROR(X602+Y602,"")</f>
        <v/>
      </c>
      <c r="AA602" t="inlineStr">
        <is>
          <t>Efectivo</t>
        </is>
      </c>
      <c r="AB602" t="inlineStr"/>
    </row>
    <row r="603">
      <c r="A603" t="inlineStr">
        <is>
          <t>F-10942</t>
        </is>
      </c>
      <c r="B603" s="3" t="n">
        <v>46261</v>
      </c>
      <c r="C603" t="inlineStr">
        <is>
          <t>Factura</t>
        </is>
      </c>
      <c r="D603" t="inlineStr">
        <is>
          <t>LL01</t>
        </is>
      </c>
      <c r="E603" t="inlineStr">
        <is>
          <t>Santa Tecla</t>
        </is>
      </c>
      <c r="F603" t="inlineStr">
        <is>
          <t>Calle Daniel Hernández #18</t>
        </is>
      </c>
      <c r="G603" t="inlineStr">
        <is>
          <t>Santa Tecla</t>
        </is>
      </c>
      <c r="H603" t="inlineStr">
        <is>
          <t>La Libertad</t>
        </is>
      </c>
      <c r="I603" t="inlineStr">
        <is>
          <t>Óscar Rivas</t>
        </is>
      </c>
      <c r="J603" t="inlineStr">
        <is>
          <t>2228-7731</t>
        </is>
      </c>
      <c r="K603" t="inlineStr">
        <is>
          <t>Luis Escobar</t>
        </is>
      </c>
      <c r="L603" t="inlineStr">
        <is>
          <t>María Castillo Martínez</t>
        </is>
      </c>
      <c r="M603" t="inlineStr">
        <is>
          <t>09352468-8</t>
        </is>
      </c>
      <c r="N603" t="inlineStr">
        <is>
          <t>6394-8494</t>
        </is>
      </c>
      <c r="O603" t="inlineStr">
        <is>
          <t>Consumidor final</t>
        </is>
      </c>
      <c r="P603" t="inlineStr">
        <is>
          <t>AZU-001</t>
        </is>
      </c>
      <c r="Q603" t="inlineStr">
        <is>
          <t>Azúcar blanca 2.5kg</t>
        </is>
      </c>
      <c r="R603" t="inlineStr">
        <is>
          <t>Abarrotes</t>
        </is>
      </c>
      <c r="S603" t="inlineStr">
        <is>
          <t>Granos del Pacífico</t>
        </is>
      </c>
      <c r="T603" t="inlineStr">
        <is>
          <t>2234-8890</t>
        </is>
      </c>
      <c r="U603" t="n">
        <v>3.1</v>
      </c>
      <c r="V603" t="n">
        <v>2</v>
      </c>
      <c r="W603" t="n">
        <v>0</v>
      </c>
      <c r="X603">
        <f>IFERROR(U603*V603*(1-W603/100),"")</f>
        <v/>
      </c>
      <c r="Y603">
        <f>IFERROR(ROUND(X603*0.13,2),"")</f>
        <v/>
      </c>
      <c r="Z603">
        <f>IFERROR(X603+Y603,"")</f>
        <v/>
      </c>
      <c r="AA603" t="inlineStr">
        <is>
          <t>Efectivo</t>
        </is>
      </c>
      <c r="AB603" t="inlineStr">
        <is>
          <t>pagó con billete de $100</t>
        </is>
      </c>
    </row>
    <row r="604">
      <c r="A604" t="inlineStr">
        <is>
          <t>F-10945</t>
        </is>
      </c>
      <c r="B604" s="3" t="n">
        <v>46272</v>
      </c>
      <c r="C604" t="inlineStr">
        <is>
          <t>Factura</t>
        </is>
      </c>
      <c r="D604" t="inlineStr">
        <is>
          <t>SS03</t>
        </is>
      </c>
      <c r="E604" t="inlineStr">
        <is>
          <t>Soyapango</t>
        </is>
      </c>
      <c r="F604" t="inlineStr">
        <is>
          <t>Blvd. del Ejército km 4</t>
        </is>
      </c>
      <c r="G604" t="inlineStr">
        <is>
          <t>Soyapango</t>
        </is>
      </c>
      <c r="H604" t="inlineStr">
        <is>
          <t>San Salvador</t>
        </is>
      </c>
      <c r="I604" t="inlineStr">
        <is>
          <t>Karla Henríquez</t>
        </is>
      </c>
      <c r="J604" t="inlineStr">
        <is>
          <t>2277-3402</t>
        </is>
      </c>
      <c r="K604" t="inlineStr">
        <is>
          <t>Carlos Molina</t>
        </is>
      </c>
      <c r="L604" t="inlineStr">
        <is>
          <t>Edwin Cornejo Mejía</t>
        </is>
      </c>
      <c r="M604" t="inlineStr">
        <is>
          <t>09391819-6</t>
        </is>
      </c>
      <c r="N604" t="inlineStr">
        <is>
          <t>7415-9980</t>
        </is>
      </c>
      <c r="O604" t="inlineStr">
        <is>
          <t>Consumidor final</t>
        </is>
      </c>
      <c r="P604" t="inlineStr">
        <is>
          <t>CAF-002</t>
        </is>
      </c>
      <c r="Q604" t="inlineStr">
        <is>
          <t>Café en grano 1lb</t>
        </is>
      </c>
      <c r="R604" t="inlineStr">
        <is>
          <t>Abarrotes</t>
        </is>
      </c>
      <c r="S604" t="inlineStr">
        <is>
          <t>Café Volcán S.A.</t>
        </is>
      </c>
      <c r="T604" t="inlineStr">
        <is>
          <t>2510-3344</t>
        </is>
      </c>
      <c r="U604" t="inlineStr">
        <is>
          <t>$6.75</t>
        </is>
      </c>
      <c r="V604" t="n">
        <v>6</v>
      </c>
      <c r="W604" t="n">
        <v>0</v>
      </c>
      <c r="X604">
        <f>IFERROR(U604*V604*(1-W604/100),"")</f>
        <v/>
      </c>
      <c r="Y604">
        <f>IFERROR(ROUND(X604*0.13,2),"")</f>
        <v/>
      </c>
      <c r="Z604">
        <f>IFERROR(X604+Y604,"")</f>
        <v/>
      </c>
      <c r="AA604" t="inlineStr">
        <is>
          <t>Efectivo</t>
        </is>
      </c>
      <c r="AB604" t="inlineStr"/>
    </row>
    <row r="605">
      <c r="A605" t="inlineStr">
        <is>
          <t>F-10946</t>
        </is>
      </c>
      <c r="B605" s="3" t="n">
        <v>46229</v>
      </c>
      <c r="C605" t="inlineStr">
        <is>
          <t>Factura</t>
        </is>
      </c>
      <c r="D605" t="inlineStr">
        <is>
          <t>SS01</t>
        </is>
      </c>
      <c r="E605" t="inlineStr">
        <is>
          <t>SAN SALVADOR CENTRO</t>
        </is>
      </c>
      <c r="F605" t="inlineStr">
        <is>
          <t>4a Calle Poniente #215</t>
        </is>
      </c>
      <c r="G605" t="inlineStr">
        <is>
          <t>San Salvador</t>
        </is>
      </c>
      <c r="H605" t="inlineStr">
        <is>
          <t>San Salvador</t>
        </is>
      </c>
      <c r="I605" t="inlineStr">
        <is>
          <t>Roberto Alfaro</t>
        </is>
      </c>
      <c r="J605" t="inlineStr">
        <is>
          <t>2221-4580</t>
        </is>
      </c>
      <c r="K605" t="inlineStr">
        <is>
          <t>Daniela Orellana</t>
        </is>
      </c>
      <c r="L605" t="inlineStr">
        <is>
          <t>Brenda Pérez Martínez</t>
        </is>
      </c>
      <c r="M605" t="inlineStr">
        <is>
          <t>09183075-6</t>
        </is>
      </c>
      <c r="N605" t="inlineStr">
        <is>
          <t>2300-3840</t>
        </is>
      </c>
      <c r="O605" t="inlineStr">
        <is>
          <t>Consumidor final</t>
        </is>
      </c>
      <c r="P605" t="inlineStr">
        <is>
          <t>PAN-001</t>
        </is>
      </c>
      <c r="Q605" t="inlineStr">
        <is>
          <t>Pan francés bolsa 10u</t>
        </is>
      </c>
      <c r="R605" t="inlineStr">
        <is>
          <t>Panaderia</t>
        </is>
      </c>
      <c r="S605" t="inlineStr">
        <is>
          <t>Panificadora Ilopango</t>
        </is>
      </c>
      <c r="T605" t="inlineStr">
        <is>
          <t>2295-0081</t>
        </is>
      </c>
      <c r="U605" t="n">
        <v>1</v>
      </c>
      <c r="V605" t="n">
        <v>24</v>
      </c>
      <c r="W605" t="n">
        <v>0</v>
      </c>
      <c r="X605">
        <f>IFERROR(U605*V605*(1-W605/100),"")</f>
        <v/>
      </c>
      <c r="Y605">
        <f>IFERROR(ROUND(X605*0.13,2),"")</f>
        <v/>
      </c>
      <c r="Z605">
        <f>IFERROR(X605+Y605,"")</f>
        <v/>
      </c>
      <c r="AA605" t="inlineStr">
        <is>
          <t>Efectivo</t>
        </is>
      </c>
      <c r="AB605" t="inlineStr"/>
    </row>
    <row r="606">
      <c r="A606" t="inlineStr">
        <is>
          <t>F-10946</t>
        </is>
      </c>
      <c r="B606" s="3" t="n">
        <v>46229</v>
      </c>
      <c r="C606" t="inlineStr">
        <is>
          <t>Factura</t>
        </is>
      </c>
      <c r="D606" t="inlineStr">
        <is>
          <t>SS01</t>
        </is>
      </c>
      <c r="E606" t="inlineStr">
        <is>
          <t xml:space="preserve">san salvador centro </t>
        </is>
      </c>
      <c r="F606" t="inlineStr">
        <is>
          <t>4a Calle Poniente #215</t>
        </is>
      </c>
      <c r="G606" t="inlineStr">
        <is>
          <t>San Salvador</t>
        </is>
      </c>
      <c r="H606" t="inlineStr">
        <is>
          <t>San Salvador</t>
        </is>
      </c>
      <c r="I606" t="inlineStr">
        <is>
          <t>Roberto Alfaro</t>
        </is>
      </c>
      <c r="J606" t="inlineStr">
        <is>
          <t>2221-4580</t>
        </is>
      </c>
      <c r="K606" t="inlineStr">
        <is>
          <t>Daniela Orellana</t>
        </is>
      </c>
      <c r="L606" t="inlineStr">
        <is>
          <t>Brenda Pérez Martínez</t>
        </is>
      </c>
      <c r="M606" t="inlineStr">
        <is>
          <t>09183075-6</t>
        </is>
      </c>
      <c r="N606" t="inlineStr">
        <is>
          <t>2300-3840</t>
        </is>
      </c>
      <c r="O606" t="inlineStr">
        <is>
          <t>Consumidor final</t>
        </is>
      </c>
      <c r="P606" t="inlineStr">
        <is>
          <t>PAN-003</t>
        </is>
      </c>
      <c r="Q606" t="inlineStr">
        <is>
          <t>Quesadilla salvadoreña</t>
        </is>
      </c>
      <c r="R606" t="inlineStr">
        <is>
          <t>PANADERIA</t>
        </is>
      </c>
      <c r="S606" t="inlineStr">
        <is>
          <t>Panificadora Ilopango</t>
        </is>
      </c>
      <c r="T606" t="inlineStr">
        <is>
          <t>2295-0081</t>
        </is>
      </c>
      <c r="U606" t="n">
        <v>2.5</v>
      </c>
      <c r="V606" t="n">
        <v>2</v>
      </c>
      <c r="W606" t="n">
        <v>0</v>
      </c>
      <c r="X606">
        <f>IFERROR(U606*V606*(1-W606/100),"")</f>
        <v/>
      </c>
      <c r="Y606">
        <f>IFERROR(ROUND(X606*0.13,2),"")</f>
        <v/>
      </c>
      <c r="Z606">
        <f>IFERROR(X606+Y606,"")</f>
        <v/>
      </c>
      <c r="AA606" t="inlineStr">
        <is>
          <t>Efectivo</t>
        </is>
      </c>
      <c r="AB606" t="inlineStr">
        <is>
          <t>Cliente frecuente</t>
        </is>
      </c>
    </row>
    <row r="607">
      <c r="A607" t="inlineStr">
        <is>
          <t>F-10946</t>
        </is>
      </c>
      <c r="B607" s="3" t="n">
        <v>46229</v>
      </c>
      <c r="C607" t="inlineStr">
        <is>
          <t>Factura</t>
        </is>
      </c>
      <c r="D607" t="inlineStr">
        <is>
          <t>SS01</t>
        </is>
      </c>
      <c r="E607" t="inlineStr">
        <is>
          <t>S.S. Centro</t>
        </is>
      </c>
      <c r="F607" t="inlineStr">
        <is>
          <t>4a Calle Poniente #215</t>
        </is>
      </c>
      <c r="G607" t="inlineStr">
        <is>
          <t>San Salvador</t>
        </is>
      </c>
      <c r="H607" t="inlineStr">
        <is>
          <t>San Salvador</t>
        </is>
      </c>
      <c r="I607" t="inlineStr">
        <is>
          <t>Roberto Alfaro</t>
        </is>
      </c>
      <c r="J607" t="inlineStr">
        <is>
          <t>2221-4580</t>
        </is>
      </c>
      <c r="K607" t="inlineStr">
        <is>
          <t>Daniela Orellana</t>
        </is>
      </c>
      <c r="L607" t="inlineStr">
        <is>
          <t>Brenda Pérez Martínez</t>
        </is>
      </c>
      <c r="M607" t="inlineStr">
        <is>
          <t>09183075-6</t>
        </is>
      </c>
      <c r="N607" t="inlineStr">
        <is>
          <t>2300-3840</t>
        </is>
      </c>
      <c r="O607" t="inlineStr">
        <is>
          <t>Consumidor final</t>
        </is>
      </c>
      <c r="P607" t="inlineStr">
        <is>
          <t>FRI-001</t>
        </is>
      </c>
      <c r="Q607" t="inlineStr">
        <is>
          <t>Frijol rojo de seda 2lb</t>
        </is>
      </c>
      <c r="R607" t="inlineStr">
        <is>
          <t>Abarrotes</t>
        </is>
      </c>
      <c r="S607" t="inlineStr">
        <is>
          <t>Granos del Pacífico</t>
        </is>
      </c>
      <c r="T607" t="inlineStr">
        <is>
          <t>2234-8890</t>
        </is>
      </c>
      <c r="U607" t="n">
        <v>2.4</v>
      </c>
      <c r="V607" t="n">
        <v>1</v>
      </c>
      <c r="W607" t="n">
        <v>0</v>
      </c>
      <c r="X607">
        <f>IFERROR(U607*V607*(1-W607/100),"")</f>
        <v/>
      </c>
      <c r="Y607">
        <f>IFERROR(ROUND(X607*0.13,2),"")</f>
        <v/>
      </c>
      <c r="Z607">
        <f>IFERROR(X607+Y607,"")</f>
        <v/>
      </c>
      <c r="AA607" t="inlineStr">
        <is>
          <t>Efectivo</t>
        </is>
      </c>
      <c r="AB607" t="inlineStr"/>
    </row>
    <row r="608">
      <c r="A608" t="inlineStr">
        <is>
          <t>F-10947</t>
        </is>
      </c>
      <c r="B608" s="3" t="n">
        <v>46234</v>
      </c>
      <c r="C608" t="inlineStr">
        <is>
          <t>Factura</t>
        </is>
      </c>
      <c r="D608" t="inlineStr">
        <is>
          <t>SS03</t>
        </is>
      </c>
      <c r="E608" t="inlineStr">
        <is>
          <t>Soyapango</t>
        </is>
      </c>
      <c r="F608" t="inlineStr">
        <is>
          <t>Blvd. del Ejército km 4</t>
        </is>
      </c>
      <c r="G608" t="inlineStr">
        <is>
          <t>Soyapango</t>
        </is>
      </c>
      <c r="H608" t="inlineStr">
        <is>
          <t>San Salvador</t>
        </is>
      </c>
      <c r="I608" t="inlineStr">
        <is>
          <t>Karla Henríquez</t>
        </is>
      </c>
      <c r="J608" t="inlineStr">
        <is>
          <t>2277-3402</t>
        </is>
      </c>
      <c r="K608" t="inlineStr">
        <is>
          <t>Marta Gómez</t>
        </is>
      </c>
      <c r="L608" t="inlineStr">
        <is>
          <t>René Alvarado Lemus</t>
        </is>
      </c>
      <c r="M608" t="inlineStr">
        <is>
          <t>07676586-8</t>
        </is>
      </c>
      <c r="N608" t="inlineStr">
        <is>
          <t>6907-6114</t>
        </is>
      </c>
      <c r="O608" t="inlineStr">
        <is>
          <t>Consumidor final</t>
        </is>
      </c>
      <c r="P608" t="inlineStr">
        <is>
          <t>CAF-002</t>
        </is>
      </c>
      <c r="Q608" t="inlineStr">
        <is>
          <t>Café en grano 1lb</t>
        </is>
      </c>
      <c r="R608" t="inlineStr">
        <is>
          <t>Abarrotes</t>
        </is>
      </c>
      <c r="S608" t="inlineStr">
        <is>
          <t>Café Volcán S.A.</t>
        </is>
      </c>
      <c r="T608" t="inlineStr">
        <is>
          <t>2510-3344</t>
        </is>
      </c>
      <c r="U608" t="n">
        <v>6.75</v>
      </c>
      <c r="V608" t="n">
        <v>1</v>
      </c>
      <c r="W608" t="n">
        <v>0</v>
      </c>
      <c r="X608">
        <f>IFERROR(U608*V608*(1-W608/100),"")</f>
        <v/>
      </c>
      <c r="Y608">
        <f>IFERROR(ROUND(X608*0.13,2),"")</f>
        <v/>
      </c>
      <c r="Z608">
        <f>IFERROR(X608+Y608,"")</f>
        <v/>
      </c>
      <c r="AA608" t="inlineStr">
        <is>
          <t>Bitcoin</t>
        </is>
      </c>
      <c r="AB608" t="inlineStr"/>
    </row>
    <row r="609">
      <c r="A609" t="inlineStr">
        <is>
          <t>F-10947</t>
        </is>
      </c>
      <c r="B609" s="3" t="n">
        <v>46234</v>
      </c>
      <c r="C609" t="inlineStr">
        <is>
          <t>Factura</t>
        </is>
      </c>
      <c r="D609" t="inlineStr">
        <is>
          <t>SS03</t>
        </is>
      </c>
      <c r="E609" t="inlineStr">
        <is>
          <t>Soyapango</t>
        </is>
      </c>
      <c r="F609" t="inlineStr">
        <is>
          <t>Blvd. del Ejército km 4</t>
        </is>
      </c>
      <c r="G609" t="inlineStr">
        <is>
          <t>Soyapango</t>
        </is>
      </c>
      <c r="H609" t="inlineStr">
        <is>
          <t>San Salvador</t>
        </is>
      </c>
      <c r="I609" t="inlineStr">
        <is>
          <t>Karla Henríquez</t>
        </is>
      </c>
      <c r="J609" t="inlineStr">
        <is>
          <t>2277-3402</t>
        </is>
      </c>
      <c r="K609" t="inlineStr">
        <is>
          <t>Marta Gómez</t>
        </is>
      </c>
      <c r="L609" t="inlineStr">
        <is>
          <t>RENÉ ALVARADO LEMUS</t>
        </is>
      </c>
      <c r="M609" t="inlineStr">
        <is>
          <t>07676586-8</t>
        </is>
      </c>
      <c r="N609" t="inlineStr">
        <is>
          <t>6907-6114</t>
        </is>
      </c>
      <c r="O609" t="inlineStr">
        <is>
          <t>Consumidor final</t>
        </is>
      </c>
      <c r="P609" t="inlineStr">
        <is>
          <t>LAC-003</t>
        </is>
      </c>
      <c r="Q609" t="inlineStr">
        <is>
          <t>Leche entera 1L</t>
        </is>
      </c>
      <c r="R609" t="inlineStr">
        <is>
          <t>Lácteos</t>
        </is>
      </c>
      <c r="S609" t="inlineStr">
        <is>
          <t>Lácteos Chalate</t>
        </is>
      </c>
      <c r="T609" t="inlineStr">
        <is>
          <t>2335-1020</t>
        </is>
      </c>
      <c r="U609" t="n">
        <v>1.2</v>
      </c>
      <c r="V609" t="n">
        <v>2</v>
      </c>
      <c r="W609" t="n">
        <v>0</v>
      </c>
      <c r="X609">
        <f>IFERROR(U609*V609*(1-W609/100),"")</f>
        <v/>
      </c>
      <c r="Y609">
        <f>IFERROR(ROUND(X609*0.13,2),"")</f>
        <v/>
      </c>
      <c r="Z609">
        <f>IFERROR(X609+Y609,"")</f>
        <v/>
      </c>
      <c r="AA609" t="inlineStr">
        <is>
          <t>Bitcoin</t>
        </is>
      </c>
      <c r="AB609" t="inlineStr">
        <is>
          <t>pagó con billete de $100</t>
        </is>
      </c>
    </row>
    <row r="610">
      <c r="A610" t="inlineStr">
        <is>
          <t>F-10949</t>
        </is>
      </c>
      <c r="B610" s="3" t="n">
        <v>46235</v>
      </c>
      <c r="C610" t="inlineStr">
        <is>
          <t>factura</t>
        </is>
      </c>
      <c r="D610" t="inlineStr">
        <is>
          <t>SS02</t>
        </is>
      </c>
      <c r="E610" t="inlineStr">
        <is>
          <t>ESCALON</t>
        </is>
      </c>
      <c r="F610" t="inlineStr">
        <is>
          <t>Paseo General Escalón #3910</t>
        </is>
      </c>
      <c r="G610" t="inlineStr">
        <is>
          <t>San Salvador</t>
        </is>
      </c>
      <c r="H610" t="inlineStr">
        <is>
          <t>San Salvador</t>
        </is>
      </c>
      <c r="I610" t="inlineStr">
        <is>
          <t>Claudia Menjívar</t>
        </is>
      </c>
      <c r="J610" t="inlineStr">
        <is>
          <t>2264-1190</t>
        </is>
      </c>
      <c r="K610" t="inlineStr">
        <is>
          <t>Fátima Rosales</t>
        </is>
      </c>
      <c r="L610" t="inlineStr">
        <is>
          <t>Ana Pérez Rivera</t>
        </is>
      </c>
      <c r="M610" t="inlineStr">
        <is>
          <t>00820199-8</t>
        </is>
      </c>
      <c r="N610" t="inlineStr">
        <is>
          <t>7205-8035</t>
        </is>
      </c>
      <c r="O610" t="inlineStr">
        <is>
          <t>Consumidor final</t>
        </is>
      </c>
      <c r="P610" t="inlineStr">
        <is>
          <t>LAC-003</t>
        </is>
      </c>
      <c r="Q610" t="inlineStr">
        <is>
          <t>Leche entera 1L</t>
        </is>
      </c>
      <c r="R610" t="inlineStr">
        <is>
          <t>Lácteos</t>
        </is>
      </c>
      <c r="S610" t="inlineStr">
        <is>
          <t>Lácteos Chalate</t>
        </is>
      </c>
      <c r="T610" t="inlineStr">
        <is>
          <t>2335-1020</t>
        </is>
      </c>
      <c r="U610" t="n">
        <v>1.2</v>
      </c>
      <c r="V610" t="n">
        <v>2</v>
      </c>
      <c r="W610" t="n">
        <v>0</v>
      </c>
      <c r="X610">
        <f>IFERROR(U610*V610*(1-W610/100),"")</f>
        <v/>
      </c>
      <c r="Y610">
        <f>IFERROR(ROUND(X610*0.13,2),"")</f>
        <v/>
      </c>
      <c r="Z610">
        <f>IFERROR(X610+Y610,"")</f>
        <v/>
      </c>
      <c r="AA610" t="inlineStr">
        <is>
          <t>Tarjeta</t>
        </is>
      </c>
      <c r="AB610" t="inlineStr">
        <is>
          <t>Llamar al 7788-1234 antes de entregar</t>
        </is>
      </c>
    </row>
    <row r="611">
      <c r="A611" t="inlineStr">
        <is>
          <t>F-10951</t>
        </is>
      </c>
      <c r="B611" s="3" t="n">
        <v>46229</v>
      </c>
      <c r="C611" t="inlineStr">
        <is>
          <t>Factura</t>
        </is>
      </c>
      <c r="D611" t="inlineStr">
        <is>
          <t>SS02</t>
        </is>
      </c>
      <c r="E611" t="inlineStr">
        <is>
          <t>Escalón</t>
        </is>
      </c>
      <c r="F611" t="inlineStr">
        <is>
          <t>Paseo General Escalón #3910</t>
        </is>
      </c>
      <c r="G611" t="inlineStr">
        <is>
          <t>San Salvador</t>
        </is>
      </c>
      <c r="H611" t="inlineStr">
        <is>
          <t>San Salvador</t>
        </is>
      </c>
      <c r="I611" t="inlineStr">
        <is>
          <t>Claudia Menjívar</t>
        </is>
      </c>
      <c r="J611" t="inlineStr">
        <is>
          <t>2264-1190</t>
        </is>
      </c>
      <c r="K611" t="inlineStr">
        <is>
          <t>Fátima Rosales</t>
        </is>
      </c>
      <c r="L611" t="inlineStr">
        <is>
          <t>Walter Mejía Castillo</t>
        </is>
      </c>
      <c r="M611" t="inlineStr">
        <is>
          <t>02326285-9</t>
        </is>
      </c>
      <c r="N611" t="inlineStr">
        <is>
          <t>2959-3937</t>
        </is>
      </c>
      <c r="O611" t="inlineStr">
        <is>
          <t>Consumidor final</t>
        </is>
      </c>
      <c r="P611" t="inlineStr">
        <is>
          <t>FRI-001</t>
        </is>
      </c>
      <c r="Q611" t="inlineStr">
        <is>
          <t>Frijol rojo de seda 2lb</t>
        </is>
      </c>
      <c r="R611" t="inlineStr">
        <is>
          <t>Granos básicos</t>
        </is>
      </c>
      <c r="S611" t="inlineStr">
        <is>
          <t>Granos del Pacífico</t>
        </is>
      </c>
      <c r="T611" t="inlineStr">
        <is>
          <t>2234-8890</t>
        </is>
      </c>
      <c r="U611" t="inlineStr">
        <is>
          <t>$2.40</t>
        </is>
      </c>
      <c r="V611" t="n">
        <v>1</v>
      </c>
      <c r="W611" t="n">
        <v>0</v>
      </c>
      <c r="X611">
        <f>IFERROR(U611*V611*(1-W611/100),"")</f>
        <v/>
      </c>
      <c r="Y611">
        <f>IFERROR(ROUND(X611*0.13,2),"")</f>
        <v/>
      </c>
      <c r="Z611">
        <f>IFERROR(X611+Y611,"")</f>
        <v/>
      </c>
      <c r="AA611" t="inlineStr">
        <is>
          <t>Chivo</t>
        </is>
      </c>
      <c r="AB611" t="inlineStr"/>
    </row>
    <row r="612">
      <c r="A612" t="inlineStr">
        <is>
          <t>F-10951</t>
        </is>
      </c>
      <c r="B612" s="3" t="n">
        <v>46229</v>
      </c>
      <c r="C612" t="inlineStr">
        <is>
          <t>Factura</t>
        </is>
      </c>
      <c r="D612" t="inlineStr">
        <is>
          <t>SS02</t>
        </is>
      </c>
      <c r="E612" t="inlineStr">
        <is>
          <t>ESCALON</t>
        </is>
      </c>
      <c r="F612" t="inlineStr">
        <is>
          <t>Paseo General Escalón #3910</t>
        </is>
      </c>
      <c r="G612" t="inlineStr">
        <is>
          <t>San Salvador</t>
        </is>
      </c>
      <c r="H612" t="inlineStr">
        <is>
          <t>San Salvador</t>
        </is>
      </c>
      <c r="I612" t="inlineStr">
        <is>
          <t>Claudia Menjívar</t>
        </is>
      </c>
      <c r="J612" t="inlineStr">
        <is>
          <t>2264-1190</t>
        </is>
      </c>
      <c r="K612" t="inlineStr">
        <is>
          <t>Fátima Rosales</t>
        </is>
      </c>
      <c r="L612" t="inlineStr">
        <is>
          <t>Walter Mejía Castillo</t>
        </is>
      </c>
      <c r="M612" t="inlineStr">
        <is>
          <t>02326285-9</t>
        </is>
      </c>
      <c r="N612" t="inlineStr">
        <is>
          <t>2959-3937</t>
        </is>
      </c>
      <c r="O612" t="inlineStr">
        <is>
          <t>Consumidor final</t>
        </is>
      </c>
      <c r="P612" t="inlineStr">
        <is>
          <t>HAR-001</t>
        </is>
      </c>
      <c r="Q612" t="inlineStr">
        <is>
          <t>Harina de maíz 2lb</t>
        </is>
      </c>
      <c r="R612" t="inlineStr">
        <is>
          <t>Abarrotes</t>
        </is>
      </c>
      <c r="S612" t="inlineStr">
        <is>
          <t>Granos del Pacífico</t>
        </is>
      </c>
      <c r="T612" t="inlineStr">
        <is>
          <t>2234-8890</t>
        </is>
      </c>
      <c r="U612" t="n">
        <v>1.35</v>
      </c>
      <c r="V612" t="n">
        <v>2</v>
      </c>
      <c r="W612" t="n">
        <v>0</v>
      </c>
      <c r="X612">
        <f>IFERROR(U612*V612*(1-W612/100),"")</f>
        <v/>
      </c>
      <c r="Y612">
        <f>IFERROR(ROUND(X612*0.13,2),"")</f>
        <v/>
      </c>
      <c r="Z612">
        <f>IFERROR(X612+Y612,"")</f>
        <v/>
      </c>
      <c r="AA612" t="inlineStr">
        <is>
          <t>Chivo</t>
        </is>
      </c>
      <c r="AB612" t="inlineStr">
        <is>
          <t>entregar en bodega</t>
        </is>
      </c>
    </row>
    <row r="613">
      <c r="A613" t="inlineStr">
        <is>
          <t>F-10954</t>
        </is>
      </c>
      <c r="B613" s="3" t="n">
        <v>46210</v>
      </c>
      <c r="C613" t="inlineStr">
        <is>
          <t>factura</t>
        </is>
      </c>
      <c r="D613" t="inlineStr">
        <is>
          <t>SA01</t>
        </is>
      </c>
      <c r="E613" t="inlineStr">
        <is>
          <t>STA ANA</t>
        </is>
      </c>
      <c r="F613" t="inlineStr">
        <is>
          <t>Av. Independencia Sur #12</t>
        </is>
      </c>
      <c r="G613" t="inlineStr">
        <is>
          <t>Santa Ana</t>
        </is>
      </c>
      <c r="H613" t="inlineStr">
        <is>
          <t>Santa Ana</t>
        </is>
      </c>
      <c r="I613" t="inlineStr">
        <is>
          <t>Mauricio Linares</t>
        </is>
      </c>
      <c r="J613" t="inlineStr">
        <is>
          <t>2440-9921</t>
        </is>
      </c>
      <c r="K613" t="inlineStr">
        <is>
          <t>Diego Zelaya</t>
        </is>
      </c>
      <c r="L613" t="inlineStr">
        <is>
          <t>Sandra Rivera Pérez</t>
        </is>
      </c>
      <c r="M613" t="inlineStr">
        <is>
          <t>00391949-0</t>
        </is>
      </c>
      <c r="N613" t="inlineStr">
        <is>
          <t>6654-8845</t>
        </is>
      </c>
      <c r="O613" t="inlineStr">
        <is>
          <t>Consumidor final</t>
        </is>
      </c>
      <c r="P613" t="inlineStr">
        <is>
          <t>BEB-002</t>
        </is>
      </c>
      <c r="Q613" t="inlineStr">
        <is>
          <t>Agua purificada 1 galón</t>
        </is>
      </c>
      <c r="R613" t="inlineStr">
        <is>
          <t>Bebidas</t>
        </is>
      </c>
      <c r="S613" t="inlineStr">
        <is>
          <t>Bebidas Izalco</t>
        </is>
      </c>
      <c r="T613" t="inlineStr">
        <is>
          <t>2450-7700</t>
        </is>
      </c>
      <c r="U613" t="n">
        <v>1.1</v>
      </c>
      <c r="V613" t="n">
        <v>1</v>
      </c>
      <c r="W613" t="n">
        <v>0</v>
      </c>
      <c r="X613">
        <f>IFERROR(U613*V613*(1-W613/100),"")</f>
        <v/>
      </c>
      <c r="Y613">
        <f>IFERROR(ROUND(X613*0.13,2),"")</f>
        <v/>
      </c>
      <c r="Z613">
        <f>IFERROR(X613+Y613,"")</f>
        <v/>
      </c>
      <c r="AA613" t="inlineStr">
        <is>
          <t>Efectivo</t>
        </is>
      </c>
      <c r="AB613" t="inlineStr"/>
    </row>
    <row r="614">
      <c r="A614" t="inlineStr">
        <is>
          <t>F-10956</t>
        </is>
      </c>
      <c r="B614" s="3" t="n">
        <v>46276</v>
      </c>
      <c r="C614" t="inlineStr">
        <is>
          <t>Factura</t>
        </is>
      </c>
      <c r="D614" t="inlineStr">
        <is>
          <t>SA01</t>
        </is>
      </c>
      <c r="E614" t="inlineStr">
        <is>
          <t>Santa  Ana</t>
        </is>
      </c>
      <c r="F614" t="inlineStr">
        <is>
          <t>Av. Independencia Sur #12</t>
        </is>
      </c>
      <c r="G614" t="inlineStr">
        <is>
          <t>Santa Ana</t>
        </is>
      </c>
      <c r="H614" t="inlineStr">
        <is>
          <t>Santa Ana</t>
        </is>
      </c>
      <c r="I614" t="inlineStr">
        <is>
          <t>Verónica Sandoval</t>
        </is>
      </c>
      <c r="J614" t="inlineStr">
        <is>
          <t>2440-9921</t>
        </is>
      </c>
      <c r="K614" t="inlineStr">
        <is>
          <t>Diego Zelaya</t>
        </is>
      </c>
      <c r="L614" t="inlineStr">
        <is>
          <t>Silvia Mejía Sorto</t>
        </is>
      </c>
      <c r="M614" t="inlineStr">
        <is>
          <t>08942439-6</t>
        </is>
      </c>
      <c r="N614" t="inlineStr">
        <is>
          <t>2492-5995</t>
        </is>
      </c>
      <c r="O614" t="inlineStr">
        <is>
          <t>Consumidor final</t>
        </is>
      </c>
      <c r="P614" t="inlineStr">
        <is>
          <t>PAN-001</t>
        </is>
      </c>
      <c r="Q614" t="inlineStr">
        <is>
          <t>Pan francés bolsa 10u</t>
        </is>
      </c>
      <c r="R614" t="inlineStr">
        <is>
          <t>Panaderia</t>
        </is>
      </c>
      <c r="S614" t="inlineStr">
        <is>
          <t>Panificadora Ilopango</t>
        </is>
      </c>
      <c r="T614" t="inlineStr">
        <is>
          <t>2295-0081</t>
        </is>
      </c>
      <c r="U614" t="inlineStr">
        <is>
          <t>1,00</t>
        </is>
      </c>
      <c r="V614" t="n">
        <v>4</v>
      </c>
      <c r="W614" t="n">
        <v>0</v>
      </c>
      <c r="X614">
        <f>IFERROR(U614*V614*(1-W614/100),"")</f>
        <v/>
      </c>
      <c r="Y614">
        <f>IFERROR(ROUND(X614*0.13,2),"")</f>
        <v/>
      </c>
      <c r="Z614">
        <f>IFERROR(X614+Y614,"")</f>
        <v/>
      </c>
      <c r="AA614" t="inlineStr">
        <is>
          <t>Efectivo</t>
        </is>
      </c>
      <c r="AB614" t="inlineStr">
        <is>
          <t>Llamar al 7788-1234 antes de entregar</t>
        </is>
      </c>
    </row>
    <row r="615">
      <c r="A615" t="inlineStr">
        <is>
          <t>F-10959</t>
        </is>
      </c>
      <c r="B615" s="3" t="n">
        <v>46210</v>
      </c>
      <c r="C615" t="inlineStr">
        <is>
          <t>Factura</t>
        </is>
      </c>
      <c r="D615" t="inlineStr">
        <is>
          <t>SS01</t>
        </is>
      </c>
      <c r="E615" t="inlineStr">
        <is>
          <t>SAN SALVADOR CENTRO</t>
        </is>
      </c>
      <c r="F615" t="inlineStr">
        <is>
          <t>4a Calle Poniente #215</t>
        </is>
      </c>
      <c r="G615" t="inlineStr">
        <is>
          <t>San Salvador</t>
        </is>
      </c>
      <c r="H615" t="inlineStr">
        <is>
          <t>San Salvador</t>
        </is>
      </c>
      <c r="I615" t="inlineStr">
        <is>
          <t>Roberto Alfaro</t>
        </is>
      </c>
      <c r="J615" t="inlineStr">
        <is>
          <t>2221-4580</t>
        </is>
      </c>
      <c r="K615" t="inlineStr">
        <is>
          <t>Daniela Orellana</t>
        </is>
      </c>
      <c r="L615" t="inlineStr">
        <is>
          <t>José López Pérez</t>
        </is>
      </c>
      <c r="M615" t="inlineStr">
        <is>
          <t>07894436-0</t>
        </is>
      </c>
      <c r="N615" t="inlineStr">
        <is>
          <t>2795-9333</t>
        </is>
      </c>
      <c r="O615" t="inlineStr">
        <is>
          <t>Consumidor final</t>
        </is>
      </c>
      <c r="P615" t="inlineStr">
        <is>
          <t>HIG-002</t>
        </is>
      </c>
      <c r="Q615" t="inlineStr">
        <is>
          <t>Papel higiénico 4 rollos</t>
        </is>
      </c>
      <c r="R615" t="inlineStr">
        <is>
          <t>Limpieza</t>
        </is>
      </c>
      <c r="S615" t="inlineStr">
        <is>
          <t>Higiene Total C.A.</t>
        </is>
      </c>
      <c r="T615" t="inlineStr">
        <is>
          <t>2207-5566</t>
        </is>
      </c>
      <c r="U615" t="n">
        <v>2.15</v>
      </c>
      <c r="V615" t="n">
        <v>24</v>
      </c>
      <c r="W615" t="n">
        <v>0</v>
      </c>
      <c r="X615">
        <f>IFERROR(U615*V615*(1-W615/100),"")</f>
        <v/>
      </c>
      <c r="Y615">
        <f>IFERROR(ROUND(X615*0.13,2),"")</f>
        <v/>
      </c>
      <c r="Z615">
        <f>IFERROR(X615+Y615,"")</f>
        <v/>
      </c>
      <c r="AA615" t="inlineStr">
        <is>
          <t>Efectivo</t>
        </is>
      </c>
      <c r="AB615" t="inlineStr">
        <is>
          <t>entregar en bodega</t>
        </is>
      </c>
    </row>
    <row r="616">
      <c r="A616" t="inlineStr">
        <is>
          <t>F-10959</t>
        </is>
      </c>
      <c r="B616" s="3" t="n">
        <v>46210</v>
      </c>
      <c r="C616" t="inlineStr">
        <is>
          <t>Factura</t>
        </is>
      </c>
      <c r="D616" t="inlineStr">
        <is>
          <t>SS01</t>
        </is>
      </c>
      <c r="E616" t="inlineStr">
        <is>
          <t>San Salvador Centro</t>
        </is>
      </c>
      <c r="F616" t="inlineStr">
        <is>
          <t>4a Calle Poniente #215</t>
        </is>
      </c>
      <c r="G616" t="inlineStr">
        <is>
          <t>San Salvador</t>
        </is>
      </c>
      <c r="H616" t="inlineStr">
        <is>
          <t>San Salvador</t>
        </is>
      </c>
      <c r="I616" t="inlineStr">
        <is>
          <t>Roberto Alfaro</t>
        </is>
      </c>
      <c r="J616" t="inlineStr">
        <is>
          <t>2221-4580</t>
        </is>
      </c>
      <c r="K616" t="inlineStr">
        <is>
          <t>Daniela Orellana</t>
        </is>
      </c>
      <c r="L616" t="inlineStr">
        <is>
          <t>José López Pérez</t>
        </is>
      </c>
      <c r="M616" t="inlineStr">
        <is>
          <t>07894436-0</t>
        </is>
      </c>
      <c r="N616" t="inlineStr">
        <is>
          <t>2795-9333</t>
        </is>
      </c>
      <c r="O616" t="inlineStr">
        <is>
          <t>Consumidor final</t>
        </is>
      </c>
      <c r="P616" t="inlineStr">
        <is>
          <t>BEB-003</t>
        </is>
      </c>
      <c r="Q616" t="inlineStr">
        <is>
          <t>Horchata en polvo 400g</t>
        </is>
      </c>
      <c r="R616" t="inlineStr">
        <is>
          <t>Bebidas</t>
        </is>
      </c>
      <c r="S616" t="inlineStr">
        <is>
          <t>Bebidas Izalco</t>
        </is>
      </c>
      <c r="T616" t="inlineStr">
        <is>
          <t>2450-7700</t>
        </is>
      </c>
      <c r="U616" t="n">
        <v>2.6</v>
      </c>
      <c r="V616" t="n">
        <v>6</v>
      </c>
      <c r="W616" t="n">
        <v>0</v>
      </c>
      <c r="X616">
        <f>IFERROR(U616*V616*(1-W616/100),"")</f>
        <v/>
      </c>
      <c r="Y616">
        <f>IFERROR(ROUND(X616*0.13,2),"")</f>
        <v/>
      </c>
      <c r="Z616">
        <f>IFERROR(X616+Y616,"")</f>
        <v/>
      </c>
      <c r="AA616" t="inlineStr">
        <is>
          <t>Efectivo</t>
        </is>
      </c>
      <c r="AB616" t="inlineStr"/>
    </row>
    <row r="617">
      <c r="A617" t="inlineStr">
        <is>
          <t>F-10962</t>
        </is>
      </c>
      <c r="B617" s="3" t="n">
        <v>46221</v>
      </c>
      <c r="C617" t="inlineStr">
        <is>
          <t>Factura</t>
        </is>
      </c>
      <c r="D617" t="inlineStr">
        <is>
          <t>SS02</t>
        </is>
      </c>
      <c r="E617" t="inlineStr">
        <is>
          <t>ESCALON</t>
        </is>
      </c>
      <c r="F617" t="inlineStr">
        <is>
          <t>Paseo General Escalón #3910</t>
        </is>
      </c>
      <c r="G617" t="inlineStr">
        <is>
          <t>San Salvador</t>
        </is>
      </c>
      <c r="H617" t="inlineStr">
        <is>
          <t>San Salvador</t>
        </is>
      </c>
      <c r="I617" t="inlineStr">
        <is>
          <t>Claudia Menjívar</t>
        </is>
      </c>
      <c r="J617" t="inlineStr">
        <is>
          <t>2264-1190</t>
        </is>
      </c>
      <c r="K617" t="inlineStr">
        <is>
          <t>Fátima Rosales</t>
        </is>
      </c>
      <c r="L617" t="inlineStr">
        <is>
          <t>Patricia Guevara Quintanilla</t>
        </is>
      </c>
      <c r="M617" t="inlineStr">
        <is>
          <t>07265655-3</t>
        </is>
      </c>
      <c r="N617" t="inlineStr">
        <is>
          <t>6951-5407</t>
        </is>
      </c>
      <c r="O617" t="inlineStr">
        <is>
          <t>Consumidor final</t>
        </is>
      </c>
      <c r="P617" t="inlineStr">
        <is>
          <t>HAR-001</t>
        </is>
      </c>
      <c r="Q617" t="inlineStr">
        <is>
          <t>Harina de maíz 2lb</t>
        </is>
      </c>
      <c r="R617" t="inlineStr">
        <is>
          <t>Abarrotes</t>
        </is>
      </c>
      <c r="S617" t="inlineStr">
        <is>
          <t>Granos del Pacífico</t>
        </is>
      </c>
      <c r="T617" t="inlineStr">
        <is>
          <t>2234-8890</t>
        </is>
      </c>
      <c r="U617" t="inlineStr">
        <is>
          <t>$1.35</t>
        </is>
      </c>
      <c r="V617" t="n">
        <v>12</v>
      </c>
      <c r="W617" t="n">
        <v>0</v>
      </c>
      <c r="X617">
        <f>IFERROR(U617*V617*(1-W617/100),"")</f>
        <v/>
      </c>
      <c r="Y617">
        <f>IFERROR(ROUND(X617*0.13,2),"")</f>
        <v/>
      </c>
      <c r="Z617">
        <f>IFERROR(X617+Y617,"")</f>
        <v/>
      </c>
      <c r="AA617" t="inlineStr">
        <is>
          <t>Efectivo</t>
        </is>
      </c>
      <c r="AB617" t="inlineStr">
        <is>
          <t>entregar en bodega</t>
        </is>
      </c>
    </row>
    <row r="618">
      <c r="A618" t="inlineStr">
        <is>
          <t>F-10962</t>
        </is>
      </c>
      <c r="B618" s="3" t="n">
        <v>46221</v>
      </c>
      <c r="C618" t="inlineStr">
        <is>
          <t>Factura</t>
        </is>
      </c>
      <c r="D618" t="inlineStr">
        <is>
          <t>SS02</t>
        </is>
      </c>
      <c r="E618" t="inlineStr">
        <is>
          <t>ESCALON</t>
        </is>
      </c>
      <c r="F618" t="inlineStr">
        <is>
          <t>Paseo General Escalón #3910</t>
        </is>
      </c>
      <c r="G618" t="inlineStr">
        <is>
          <t>San Salvador</t>
        </is>
      </c>
      <c r="H618" t="inlineStr">
        <is>
          <t>San Salvador</t>
        </is>
      </c>
      <c r="I618" t="inlineStr">
        <is>
          <t>Claudia Menjívar</t>
        </is>
      </c>
      <c r="J618" t="inlineStr">
        <is>
          <t>2264-1190</t>
        </is>
      </c>
      <c r="K618" t="inlineStr">
        <is>
          <t>Fátima Rosales</t>
        </is>
      </c>
      <c r="L618" t="inlineStr">
        <is>
          <t>Patricia Guevara Quintanilla</t>
        </is>
      </c>
      <c r="M618" t="inlineStr">
        <is>
          <t>07265655-3</t>
        </is>
      </c>
      <c r="N618" t="inlineStr">
        <is>
          <t>6951-5407</t>
        </is>
      </c>
      <c r="O618" t="inlineStr">
        <is>
          <t>Consumidor final</t>
        </is>
      </c>
      <c r="P618" t="inlineStr">
        <is>
          <t>CAF-002</t>
        </is>
      </c>
      <c r="Q618" t="inlineStr">
        <is>
          <t>Café en grano 1lb</t>
        </is>
      </c>
      <c r="R618" t="inlineStr">
        <is>
          <t>Abarrotes</t>
        </is>
      </c>
      <c r="S618" t="inlineStr">
        <is>
          <t>Café Volcán S.A.</t>
        </is>
      </c>
      <c r="T618" t="inlineStr">
        <is>
          <t>2510-3344</t>
        </is>
      </c>
      <c r="U618" t="inlineStr">
        <is>
          <t>6,75</t>
        </is>
      </c>
      <c r="V618" t="n">
        <v>2</v>
      </c>
      <c r="W618" t="n">
        <v>0</v>
      </c>
      <c r="X618">
        <f>IFERROR(U618*V618*(1-W618/100),"")</f>
        <v/>
      </c>
      <c r="Y618">
        <f>IFERROR(ROUND(X618*0.13,2),"")</f>
        <v/>
      </c>
      <c r="Z618">
        <f>IFERROR(X618+Y618,"")</f>
        <v/>
      </c>
      <c r="AA618" t="inlineStr">
        <is>
          <t>Efectivo</t>
        </is>
      </c>
      <c r="AB618" t="inlineStr">
        <is>
          <t>entregar en bodega</t>
        </is>
      </c>
    </row>
    <row r="619">
      <c r="A619" t="inlineStr">
        <is>
          <t>F-10962</t>
        </is>
      </c>
      <c r="B619" s="3" t="n">
        <v>46221</v>
      </c>
      <c r="C619" t="inlineStr">
        <is>
          <t>Factura</t>
        </is>
      </c>
      <c r="D619" t="inlineStr">
        <is>
          <t>SS02</t>
        </is>
      </c>
      <c r="E619" t="inlineStr">
        <is>
          <t>Col. Escalón</t>
        </is>
      </c>
      <c r="F619" t="inlineStr">
        <is>
          <t>Paseo General Escalón #3910</t>
        </is>
      </c>
      <c r="G619" t="inlineStr">
        <is>
          <t>San Salvador</t>
        </is>
      </c>
      <c r="H619" t="inlineStr">
        <is>
          <t>San Salvador</t>
        </is>
      </c>
      <c r="I619" t="inlineStr">
        <is>
          <t>Claudia Menjívar</t>
        </is>
      </c>
      <c r="J619" t="inlineStr">
        <is>
          <t>2264-1190</t>
        </is>
      </c>
      <c r="K619" t="inlineStr">
        <is>
          <t>Fátima Rosales</t>
        </is>
      </c>
      <c r="L619" t="inlineStr">
        <is>
          <t>Patricia Guevara Quintanilla</t>
        </is>
      </c>
      <c r="M619" t="inlineStr">
        <is>
          <t>07265655-3</t>
        </is>
      </c>
      <c r="N619" t="inlineStr">
        <is>
          <t>6951-5407</t>
        </is>
      </c>
      <c r="O619" t="inlineStr">
        <is>
          <t>Consumidor final</t>
        </is>
      </c>
      <c r="P619" t="inlineStr">
        <is>
          <t>LAC-001</t>
        </is>
      </c>
      <c r="Q619" t="inlineStr">
        <is>
          <t>Quesillo 1lb</t>
        </is>
      </c>
      <c r="R619" t="inlineStr">
        <is>
          <t>LACTEOS</t>
        </is>
      </c>
      <c r="S619" t="inlineStr">
        <is>
          <t>Lácteos Chalate</t>
        </is>
      </c>
      <c r="T619" t="inlineStr">
        <is>
          <t>2335-1020</t>
        </is>
      </c>
      <c r="U619" t="n">
        <v>3.8</v>
      </c>
      <c r="V619" t="n">
        <v>4</v>
      </c>
      <c r="W619" t="n">
        <v>0</v>
      </c>
      <c r="X619">
        <f>IFERROR(U619*V619*(1-W619/100),"")</f>
        <v/>
      </c>
      <c r="Y619">
        <f>IFERROR(ROUND(X619*0.13,2),"")</f>
        <v/>
      </c>
      <c r="Z619">
        <f>IFERROR(X619+Y619,"")</f>
        <v/>
      </c>
      <c r="AA619" t="inlineStr">
        <is>
          <t>Efectivo</t>
        </is>
      </c>
      <c r="AB619" t="inlineStr">
        <is>
          <t>Llamar al 7788-1234 antes de entregar</t>
        </is>
      </c>
    </row>
    <row r="620">
      <c r="A620" t="inlineStr">
        <is>
          <t>F-10962</t>
        </is>
      </c>
      <c r="B620" t="inlineStr">
        <is>
          <t>2026-07-18</t>
        </is>
      </c>
      <c r="C620" t="inlineStr">
        <is>
          <t>Factura</t>
        </is>
      </c>
      <c r="D620" t="inlineStr">
        <is>
          <t>SS02</t>
        </is>
      </c>
      <c r="E620" t="inlineStr">
        <is>
          <t>Col. Escalón</t>
        </is>
      </c>
      <c r="F620" t="inlineStr">
        <is>
          <t>Paseo General Escalón #3910</t>
        </is>
      </c>
      <c r="G620" t="inlineStr">
        <is>
          <t>San Salvador</t>
        </is>
      </c>
      <c r="H620" t="inlineStr">
        <is>
          <t>San Salvador</t>
        </is>
      </c>
      <c r="I620" t="inlineStr">
        <is>
          <t>Claudia Menjívar</t>
        </is>
      </c>
      <c r="J620" t="inlineStr">
        <is>
          <t>2264-1190</t>
        </is>
      </c>
      <c r="K620" t="inlineStr">
        <is>
          <t>Fátima Rosales</t>
        </is>
      </c>
      <c r="L620" t="inlineStr">
        <is>
          <t>Patricia Guevara Quintanilla</t>
        </is>
      </c>
      <c r="M620" t="inlineStr">
        <is>
          <t>07265655-3</t>
        </is>
      </c>
      <c r="N620" t="inlineStr">
        <is>
          <t>6951-5407</t>
        </is>
      </c>
      <c r="O620" t="inlineStr">
        <is>
          <t>Consumidor final</t>
        </is>
      </c>
      <c r="P620" t="inlineStr">
        <is>
          <t>FRI-001</t>
        </is>
      </c>
      <c r="Q620" t="inlineStr">
        <is>
          <t>Frijol rojo de seda 2lb</t>
        </is>
      </c>
      <c r="R620" t="inlineStr">
        <is>
          <t>Abarrotes</t>
        </is>
      </c>
      <c r="S620" t="inlineStr">
        <is>
          <t>Granos del Pacífico</t>
        </is>
      </c>
      <c r="T620" t="inlineStr">
        <is>
          <t>2234-8890</t>
        </is>
      </c>
      <c r="U620" t="inlineStr">
        <is>
          <t>$2.40</t>
        </is>
      </c>
      <c r="V620" t="n">
        <v>12</v>
      </c>
      <c r="W620" t="n">
        <v>0</v>
      </c>
      <c r="X620">
        <f>IFERROR(U620*V620*(1-W620/100),"")</f>
        <v/>
      </c>
      <c r="Y620">
        <f>IFERROR(ROUND(X620*0.13,2),"")</f>
        <v/>
      </c>
      <c r="Z620">
        <f>IFERROR(X620+Y620,"")</f>
        <v/>
      </c>
      <c r="AA620" t="inlineStr">
        <is>
          <t>Efectivo</t>
        </is>
      </c>
      <c r="AB620" t="inlineStr"/>
    </row>
    <row r="621">
      <c r="A621" t="inlineStr">
        <is>
          <t>F-10964</t>
        </is>
      </c>
      <c r="B621" s="3" t="n">
        <v>46286</v>
      </c>
      <c r="C621" t="inlineStr">
        <is>
          <t>Factura</t>
        </is>
      </c>
      <c r="D621" t="inlineStr">
        <is>
          <t>US01</t>
        </is>
      </c>
      <c r="E621" t="inlineStr">
        <is>
          <t>Usulutan</t>
        </is>
      </c>
      <c r="F621" t="inlineStr">
        <is>
          <t>2a Av. Norte #9</t>
        </is>
      </c>
      <c r="G621" t="inlineStr">
        <is>
          <t>Usulután</t>
        </is>
      </c>
      <c r="H621" t="inlineStr">
        <is>
          <t>Usulután</t>
        </is>
      </c>
      <c r="I621" t="inlineStr">
        <is>
          <t>Nelson Fuentes</t>
        </is>
      </c>
      <c r="J621" t="inlineStr">
        <is>
          <t>2662-8810</t>
        </is>
      </c>
      <c r="K621" t="inlineStr">
        <is>
          <t>Miguel Bonilla</t>
        </is>
      </c>
      <c r="L621" t="inlineStr">
        <is>
          <t>Mario Lemus Flores</t>
        </is>
      </c>
      <c r="M621" t="inlineStr">
        <is>
          <t>05465836-8</t>
        </is>
      </c>
      <c r="N621" t="inlineStr">
        <is>
          <t>6555-2967</t>
        </is>
      </c>
      <c r="O621" t="inlineStr">
        <is>
          <t>Consumidor final</t>
        </is>
      </c>
      <c r="P621" t="inlineStr">
        <is>
          <t>LAC-001</t>
        </is>
      </c>
      <c r="Q621" t="inlineStr">
        <is>
          <t>Quesillo 1lb</t>
        </is>
      </c>
      <c r="R621" t="inlineStr">
        <is>
          <t>Lácteos</t>
        </is>
      </c>
      <c r="S621" t="inlineStr">
        <is>
          <t>Lácteos Chalate</t>
        </is>
      </c>
      <c r="T621" t="inlineStr">
        <is>
          <t>2335-1020</t>
        </is>
      </c>
      <c r="U621" t="n">
        <v>3.8</v>
      </c>
      <c r="V621" t="n">
        <v>1</v>
      </c>
      <c r="W621" t="n">
        <v>0</v>
      </c>
      <c r="X621">
        <f>IFERROR(U621*V621*(1-W621/100),"")</f>
        <v/>
      </c>
      <c r="Y621">
        <f>IFERROR(ROUND(X621*0.13,2),"")</f>
        <v/>
      </c>
      <c r="Z621">
        <f>IFERROR(X621+Y621,"")</f>
        <v/>
      </c>
      <c r="AA621" t="inlineStr">
        <is>
          <t>Efectivo</t>
        </is>
      </c>
      <c r="AB621" t="inlineStr"/>
    </row>
    <row r="622">
      <c r="A622" t="inlineStr">
        <is>
          <t>F-10964</t>
        </is>
      </c>
      <c r="B622" t="inlineStr">
        <is>
          <t>2026-09-21</t>
        </is>
      </c>
      <c r="C622" t="inlineStr">
        <is>
          <t>Factura</t>
        </is>
      </c>
      <c r="D622" t="inlineStr">
        <is>
          <t>US01</t>
        </is>
      </c>
      <c r="E622" t="inlineStr">
        <is>
          <t>Usulutan</t>
        </is>
      </c>
      <c r="F622" t="inlineStr">
        <is>
          <t>2a Av. Norte #9</t>
        </is>
      </c>
      <c r="G622" t="inlineStr">
        <is>
          <t>Usulután</t>
        </is>
      </c>
      <c r="H622" t="inlineStr">
        <is>
          <t>Usulután</t>
        </is>
      </c>
      <c r="I622" t="inlineStr">
        <is>
          <t>Nelson Fuentes</t>
        </is>
      </c>
      <c r="J622" t="inlineStr">
        <is>
          <t>2662-8810</t>
        </is>
      </c>
      <c r="K622" t="inlineStr">
        <is>
          <t>Miguel Bonilla</t>
        </is>
      </c>
      <c r="L622" t="inlineStr">
        <is>
          <t>Mario Lemus Flores</t>
        </is>
      </c>
      <c r="M622" t="inlineStr">
        <is>
          <t>05465836-8</t>
        </is>
      </c>
      <c r="N622" t="inlineStr">
        <is>
          <t>6555-2967</t>
        </is>
      </c>
      <c r="O622" t="inlineStr">
        <is>
          <t>Consumidor final</t>
        </is>
      </c>
      <c r="P622" t="inlineStr">
        <is>
          <t>AZU-001</t>
        </is>
      </c>
      <c r="Q622" t="inlineStr">
        <is>
          <t>Azúcar blanca 2.5kg</t>
        </is>
      </c>
      <c r="R622" t="inlineStr">
        <is>
          <t>Abarrotes</t>
        </is>
      </c>
      <c r="S622" t="inlineStr">
        <is>
          <t>Granos del Pacífico</t>
        </is>
      </c>
      <c r="T622" t="inlineStr">
        <is>
          <t>2234-8890</t>
        </is>
      </c>
      <c r="U622" t="n">
        <v>3.1</v>
      </c>
      <c r="V622" t="n">
        <v>4</v>
      </c>
      <c r="W622" t="n">
        <v>0</v>
      </c>
      <c r="X622">
        <f>IFERROR(U622*V622*(1-W622/100),"")</f>
        <v/>
      </c>
      <c r="Y622">
        <f>IFERROR(ROUND(X622*0.13,2),"")</f>
        <v/>
      </c>
      <c r="Z622">
        <f>IFERROR(X622+Y622,"")</f>
        <v/>
      </c>
      <c r="AA622" t="inlineStr">
        <is>
          <t>Efectivo</t>
        </is>
      </c>
      <c r="AB622" t="inlineStr"/>
    </row>
    <row r="623">
      <c r="A623" t="inlineStr">
        <is>
          <t>F-10967</t>
        </is>
      </c>
      <c r="B623" s="3" t="n">
        <v>46246</v>
      </c>
      <c r="C623" t="inlineStr">
        <is>
          <t>Factura</t>
        </is>
      </c>
      <c r="D623" t="inlineStr">
        <is>
          <t>SS01</t>
        </is>
      </c>
      <c r="E623" t="inlineStr">
        <is>
          <t>SAN SALVADOR CENTRO</t>
        </is>
      </c>
      <c r="F623" t="inlineStr">
        <is>
          <t>4a Calle Poniente #215</t>
        </is>
      </c>
      <c r="G623" t="inlineStr">
        <is>
          <t>San Salvador</t>
        </is>
      </c>
      <c r="H623" t="inlineStr">
        <is>
          <t>San Salvador</t>
        </is>
      </c>
      <c r="I623" t="inlineStr">
        <is>
          <t>Roberto Alfaro</t>
        </is>
      </c>
      <c r="J623" t="inlineStr">
        <is>
          <t>2221-4580</t>
        </is>
      </c>
      <c r="K623" t="inlineStr">
        <is>
          <t>Daniela Orellana</t>
        </is>
      </c>
      <c r="L623" t="inlineStr">
        <is>
          <t>Silvia Cornejo Guevara</t>
        </is>
      </c>
      <c r="M623" t="inlineStr">
        <is>
          <t>01953672-6</t>
        </is>
      </c>
      <c r="N623" t="inlineStr">
        <is>
          <t>7921-9045</t>
        </is>
      </c>
      <c r="O623" t="inlineStr">
        <is>
          <t>Consumidor final</t>
        </is>
      </c>
      <c r="P623" t="inlineStr">
        <is>
          <t>BEB-001</t>
        </is>
      </c>
      <c r="Q623" t="inlineStr">
        <is>
          <t>Gaseosa 2.5L</t>
        </is>
      </c>
      <c r="R623" t="inlineStr">
        <is>
          <t>bebidas</t>
        </is>
      </c>
      <c r="S623" t="inlineStr">
        <is>
          <t>Bebidas Izalco</t>
        </is>
      </c>
      <c r="T623" t="inlineStr">
        <is>
          <t>2450-7700</t>
        </is>
      </c>
      <c r="U623" t="inlineStr">
        <is>
          <t>$1.95</t>
        </is>
      </c>
      <c r="V623" t="n">
        <v>4</v>
      </c>
      <c r="W623" t="n">
        <v>0</v>
      </c>
      <c r="X623">
        <f>IFERROR(U623*V623*(1-W623/100),"")</f>
        <v/>
      </c>
      <c r="Y623">
        <f>IFERROR(ROUND(X623*0.13,2),"")</f>
        <v/>
      </c>
      <c r="Z623">
        <f>IFERROR(X623+Y623,"")</f>
        <v/>
      </c>
      <c r="AA623" t="inlineStr">
        <is>
          <t>Transferencia</t>
        </is>
      </c>
      <c r="AB623" t="inlineStr">
        <is>
          <t>pagó con billete de $100</t>
        </is>
      </c>
    </row>
    <row r="624">
      <c r="A624" t="inlineStr">
        <is>
          <t>F-10967</t>
        </is>
      </c>
      <c r="B624" t="inlineStr">
        <is>
          <t>12/08/2026</t>
        </is>
      </c>
      <c r="C624" t="inlineStr">
        <is>
          <t>Factura</t>
        </is>
      </c>
      <c r="D624" t="inlineStr"/>
      <c r="E624" t="inlineStr">
        <is>
          <t>S.S. Centro</t>
        </is>
      </c>
      <c r="F624" t="inlineStr">
        <is>
          <t>4a Calle Poniente #215</t>
        </is>
      </c>
      <c r="G624" t="inlineStr">
        <is>
          <t>San Salvador</t>
        </is>
      </c>
      <c r="H624" t="inlineStr">
        <is>
          <t>San Salvador</t>
        </is>
      </c>
      <c r="I624" t="inlineStr">
        <is>
          <t>Roberto Alfaro</t>
        </is>
      </c>
      <c r="J624" t="inlineStr">
        <is>
          <t>2221-4580</t>
        </is>
      </c>
      <c r="K624" t="inlineStr">
        <is>
          <t>Daniela Orellana</t>
        </is>
      </c>
      <c r="L624" t="inlineStr">
        <is>
          <t>Silvia Cornejo Guevara</t>
        </is>
      </c>
      <c r="M624" t="inlineStr"/>
      <c r="N624" t="inlineStr">
        <is>
          <t>7921-9045</t>
        </is>
      </c>
      <c r="O624" t="inlineStr">
        <is>
          <t>Consumidor final</t>
        </is>
      </c>
      <c r="P624" t="inlineStr">
        <is>
          <t>PAN-003</t>
        </is>
      </c>
      <c r="Q624" t="inlineStr">
        <is>
          <t>Quesadilla salvadoreña</t>
        </is>
      </c>
      <c r="R624" t="inlineStr">
        <is>
          <t>Panadería</t>
        </is>
      </c>
      <c r="S624" t="inlineStr">
        <is>
          <t>Panificadora Ilopango</t>
        </is>
      </c>
      <c r="T624" t="inlineStr">
        <is>
          <t>2295-0081</t>
        </is>
      </c>
      <c r="U624" t="n">
        <v>2.5</v>
      </c>
      <c r="V624" t="n">
        <v>4</v>
      </c>
      <c r="W624" t="n">
        <v>0</v>
      </c>
      <c r="X624">
        <f>IFERROR(U624*V624*(1-W624/100),"")</f>
        <v/>
      </c>
      <c r="Y624">
        <f>IFERROR(ROUND(X624*0.13,2),"")</f>
        <v/>
      </c>
      <c r="Z624">
        <f>IFERROR(X624+Y624,"")</f>
        <v/>
      </c>
      <c r="AA624" t="inlineStr">
        <is>
          <t>Transferencia</t>
        </is>
      </c>
      <c r="AB624" t="inlineStr"/>
    </row>
    <row r="625">
      <c r="A625" t="inlineStr">
        <is>
          <t>F-10968</t>
        </is>
      </c>
      <c r="B625" s="3" t="n">
        <v>46219</v>
      </c>
      <c r="C625" t="inlineStr">
        <is>
          <t>Factura</t>
        </is>
      </c>
      <c r="D625" t="inlineStr">
        <is>
          <t>SO01</t>
        </is>
      </c>
      <c r="E625" t="inlineStr">
        <is>
          <t>Sonsonate</t>
        </is>
      </c>
      <c r="F625" t="inlineStr">
        <is>
          <t>Calle Obispo Marroquín #3</t>
        </is>
      </c>
      <c r="G625" t="inlineStr">
        <is>
          <t>Sonsonate</t>
        </is>
      </c>
      <c r="H625" t="inlineStr">
        <is>
          <t>Sonsonate</t>
        </is>
      </c>
      <c r="I625" t="inlineStr">
        <is>
          <t>Ernesto Chávez</t>
        </is>
      </c>
      <c r="J625" t="inlineStr">
        <is>
          <t>2451-2288</t>
        </is>
      </c>
      <c r="K625" t="inlineStr">
        <is>
          <t>Ricardo Funes</t>
        </is>
      </c>
      <c r="L625" t="inlineStr">
        <is>
          <t>Mario Lemus Flores</t>
        </is>
      </c>
      <c r="M625" t="inlineStr">
        <is>
          <t>05465836-8</t>
        </is>
      </c>
      <c r="N625" t="inlineStr">
        <is>
          <t>6555-2967</t>
        </is>
      </c>
      <c r="O625" t="inlineStr">
        <is>
          <t>Consumidor final</t>
        </is>
      </c>
      <c r="P625" t="inlineStr">
        <is>
          <t>PAN-001</t>
        </is>
      </c>
      <c r="Q625" t="inlineStr">
        <is>
          <t>Pan francés bolsa 10u</t>
        </is>
      </c>
      <c r="R625" t="inlineStr">
        <is>
          <t>Panadería</t>
        </is>
      </c>
      <c r="S625" t="inlineStr">
        <is>
          <t>Panificadora Ilopango</t>
        </is>
      </c>
      <c r="T625" t="inlineStr">
        <is>
          <t>2295-0081</t>
        </is>
      </c>
      <c r="U625" t="n">
        <v>1</v>
      </c>
      <c r="V625" t="n">
        <v>1</v>
      </c>
      <c r="W625" t="n">
        <v>0</v>
      </c>
      <c r="X625">
        <f>IFERROR(U625*V625*(1-W625/100),"")</f>
        <v/>
      </c>
      <c r="Y625">
        <f>IFERROR(ROUND(X625*0.13,2),"")</f>
        <v/>
      </c>
      <c r="Z625">
        <f>IFERROR(X625+Y625,"")</f>
        <v/>
      </c>
      <c r="AA625" t="inlineStr">
        <is>
          <t>Efectivo</t>
        </is>
      </c>
      <c r="AB625" t="inlineStr">
        <is>
          <t>entregar en bodega</t>
        </is>
      </c>
    </row>
    <row r="626">
      <c r="A626" t="inlineStr">
        <is>
          <t>F-10968</t>
        </is>
      </c>
      <c r="B626" t="inlineStr">
        <is>
          <t>16/07/2026</t>
        </is>
      </c>
      <c r="C626" t="inlineStr">
        <is>
          <t>Factura</t>
        </is>
      </c>
      <c r="D626" t="inlineStr">
        <is>
          <t>SO01</t>
        </is>
      </c>
      <c r="E626" t="inlineStr">
        <is>
          <t>SONSONATE</t>
        </is>
      </c>
      <c r="F626" t="inlineStr">
        <is>
          <t>Calle Obispo Marroquín #3</t>
        </is>
      </c>
      <c r="G626" t="inlineStr">
        <is>
          <t>Sonsonate</t>
        </is>
      </c>
      <c r="H626" t="inlineStr">
        <is>
          <t>Sonsonate</t>
        </is>
      </c>
      <c r="I626" t="inlineStr">
        <is>
          <t>Ernesto Chávez</t>
        </is>
      </c>
      <c r="J626" t="inlineStr">
        <is>
          <t>2451-2288</t>
        </is>
      </c>
      <c r="K626" t="inlineStr">
        <is>
          <t>Ricardo Funes</t>
        </is>
      </c>
      <c r="L626" t="inlineStr">
        <is>
          <t>Mario Lemus Flores</t>
        </is>
      </c>
      <c r="M626" t="inlineStr">
        <is>
          <t>05465836-8</t>
        </is>
      </c>
      <c r="N626" t="inlineStr">
        <is>
          <t>6555-2967</t>
        </is>
      </c>
      <c r="O626" t="inlineStr">
        <is>
          <t>Consumidor final</t>
        </is>
      </c>
      <c r="P626" t="inlineStr">
        <is>
          <t>AZU-001</t>
        </is>
      </c>
      <c r="Q626" t="inlineStr">
        <is>
          <t>Azúcar blanca 2.5kg</t>
        </is>
      </c>
      <c r="R626" t="inlineStr">
        <is>
          <t>Abarrotes</t>
        </is>
      </c>
      <c r="S626" t="inlineStr">
        <is>
          <t>Granos del Pacífico</t>
        </is>
      </c>
      <c r="T626" t="inlineStr">
        <is>
          <t>2234-8890</t>
        </is>
      </c>
      <c r="U626" t="inlineStr">
        <is>
          <t>$3.10</t>
        </is>
      </c>
      <c r="V626" t="n">
        <v>1</v>
      </c>
      <c r="W626" t="n">
        <v>0</v>
      </c>
      <c r="X626">
        <f>IFERROR(U626*V626*(1-W626/100),"")</f>
        <v/>
      </c>
      <c r="Y626">
        <f>IFERROR(ROUND(X626*0.13,2),"")</f>
        <v/>
      </c>
      <c r="Z626">
        <f>IFERROR(X626+Y626,"")</f>
        <v/>
      </c>
      <c r="AA626" t="inlineStr">
        <is>
          <t>Efectivo</t>
        </is>
      </c>
      <c r="AB626" t="inlineStr">
        <is>
          <t>Llamar al 7788-1234 antes de entregar</t>
        </is>
      </c>
    </row>
    <row r="627">
      <c r="A627" t="inlineStr">
        <is>
          <t>F-10968</t>
        </is>
      </c>
      <c r="B627" s="3" t="n">
        <v>46219</v>
      </c>
      <c r="C627" t="inlineStr">
        <is>
          <t>Factura</t>
        </is>
      </c>
      <c r="D627" t="inlineStr">
        <is>
          <t>SO01</t>
        </is>
      </c>
      <c r="E627" t="inlineStr">
        <is>
          <t>Sonsonate</t>
        </is>
      </c>
      <c r="F627" t="inlineStr">
        <is>
          <t>Calle Obispo Marroquín #3</t>
        </is>
      </c>
      <c r="G627" t="inlineStr">
        <is>
          <t>Sonsonate</t>
        </is>
      </c>
      <c r="H627" t="inlineStr">
        <is>
          <t>Sonsonate</t>
        </is>
      </c>
      <c r="I627" t="inlineStr">
        <is>
          <t>Ernesto Chávez</t>
        </is>
      </c>
      <c r="J627" t="inlineStr">
        <is>
          <t>2451-2288</t>
        </is>
      </c>
      <c r="K627" t="inlineStr">
        <is>
          <t>Ricardo Funes</t>
        </is>
      </c>
      <c r="L627" t="inlineStr">
        <is>
          <t>Mario Lemus Flores</t>
        </is>
      </c>
      <c r="M627" t="inlineStr">
        <is>
          <t>05465836-8</t>
        </is>
      </c>
      <c r="N627" t="inlineStr">
        <is>
          <t>6555-2967</t>
        </is>
      </c>
      <c r="O627" t="inlineStr">
        <is>
          <t>Consumidor final</t>
        </is>
      </c>
      <c r="P627" t="inlineStr">
        <is>
          <t>ARR-001</t>
        </is>
      </c>
      <c r="Q627" t="inlineStr">
        <is>
          <t>Arroz blanco 5lb</t>
        </is>
      </c>
      <c r="R627" t="inlineStr">
        <is>
          <t>Abarrotes</t>
        </is>
      </c>
      <c r="S627" t="inlineStr">
        <is>
          <t>Granos del Pacífico</t>
        </is>
      </c>
      <c r="T627" t="inlineStr">
        <is>
          <t>2234-8890</t>
        </is>
      </c>
      <c r="U627" t="inlineStr">
        <is>
          <t>$3.95</t>
        </is>
      </c>
      <c r="V627" t="n">
        <v>1</v>
      </c>
      <c r="W627" t="n">
        <v>0</v>
      </c>
      <c r="X627">
        <f>IFERROR(U627*V627*(1-W627/100),"")</f>
        <v/>
      </c>
      <c r="Y627">
        <f>IFERROR(ROUND(X627*0.13,2),"")</f>
        <v/>
      </c>
      <c r="Z627">
        <f>IFERROR(X627+Y627,"")</f>
        <v/>
      </c>
      <c r="AA627" t="inlineStr">
        <is>
          <t>Efectivo</t>
        </is>
      </c>
      <c r="AB627" t="inlineStr">
        <is>
          <t>Cliente frecuente</t>
        </is>
      </c>
    </row>
    <row r="628">
      <c r="A628" t="inlineStr">
        <is>
          <t>F-10968</t>
        </is>
      </c>
      <c r="B628" s="3" t="n">
        <v>46219</v>
      </c>
      <c r="C628" t="inlineStr">
        <is>
          <t>Factura</t>
        </is>
      </c>
      <c r="D628" t="inlineStr">
        <is>
          <t>SO01</t>
        </is>
      </c>
      <c r="E628" t="inlineStr">
        <is>
          <t>Sonsonate</t>
        </is>
      </c>
      <c r="F628" t="inlineStr">
        <is>
          <t>Calle Obispo Marroquín #3</t>
        </is>
      </c>
      <c r="G628" t="inlineStr">
        <is>
          <t>Sonsonate</t>
        </is>
      </c>
      <c r="H628" t="inlineStr">
        <is>
          <t>Sonsonate</t>
        </is>
      </c>
      <c r="I628" t="inlineStr">
        <is>
          <t>Ernesto Chávez</t>
        </is>
      </c>
      <c r="J628" t="inlineStr">
        <is>
          <t>2451-2288</t>
        </is>
      </c>
      <c r="K628" t="inlineStr">
        <is>
          <t>Ricardo Funes</t>
        </is>
      </c>
      <c r="L628" t="inlineStr">
        <is>
          <t>Mario Lemus Flores</t>
        </is>
      </c>
      <c r="M628" t="inlineStr">
        <is>
          <t>05465836-8</t>
        </is>
      </c>
      <c r="N628" t="inlineStr">
        <is>
          <t>6555-2967</t>
        </is>
      </c>
      <c r="O628" t="inlineStr">
        <is>
          <t>Consumidor final</t>
        </is>
      </c>
      <c r="P628" t="inlineStr">
        <is>
          <t>CAF-001</t>
        </is>
      </c>
      <c r="Q628" t="inlineStr">
        <is>
          <t>Café molido 400g</t>
        </is>
      </c>
      <c r="R628" t="inlineStr">
        <is>
          <t>ABARROTES</t>
        </is>
      </c>
      <c r="S628" t="inlineStr">
        <is>
          <t>Café Volcán S.A.</t>
        </is>
      </c>
      <c r="T628" t="inlineStr">
        <is>
          <t>2510-3344</t>
        </is>
      </c>
      <c r="U628" t="n">
        <v>4.25</v>
      </c>
      <c r="V628" t="n">
        <v>3</v>
      </c>
      <c r="W628" t="n">
        <v>0</v>
      </c>
      <c r="X628">
        <f>IFERROR(U628*V628*(1-W628/100),"")</f>
        <v/>
      </c>
      <c r="Y628">
        <f>IFERROR(ROUND(X628*0.13,2),"")</f>
        <v/>
      </c>
      <c r="Z628">
        <f>IFERROR(X628+Y628,"")</f>
        <v/>
      </c>
      <c r="AA628" t="inlineStr">
        <is>
          <t>Efectivo</t>
        </is>
      </c>
      <c r="AB628" t="inlineStr">
        <is>
          <t>Llamar al 7788-1234 antes de entregar</t>
        </is>
      </c>
    </row>
    <row r="629">
      <c r="A629" t="inlineStr">
        <is>
          <t>F-10971</t>
        </is>
      </c>
      <c r="B629" t="inlineStr">
        <is>
          <t>2026-08-01</t>
        </is>
      </c>
      <c r="C629" t="inlineStr">
        <is>
          <t>factura</t>
        </is>
      </c>
      <c r="D629" t="inlineStr">
        <is>
          <t>SO01</t>
        </is>
      </c>
      <c r="E629" t="inlineStr">
        <is>
          <t>Sonsonate</t>
        </is>
      </c>
      <c r="F629" t="inlineStr">
        <is>
          <t>Calle Obispo Marroquín #3</t>
        </is>
      </c>
      <c r="G629" t="inlineStr">
        <is>
          <t>Sonsonate</t>
        </is>
      </c>
      <c r="H629" t="inlineStr">
        <is>
          <t>Sonsonate</t>
        </is>
      </c>
      <c r="I629" t="inlineStr">
        <is>
          <t>Ernesto Chávez</t>
        </is>
      </c>
      <c r="J629" t="inlineStr">
        <is>
          <t>2451-2288</t>
        </is>
      </c>
      <c r="K629" t="inlineStr">
        <is>
          <t>Ricardo Funes</t>
        </is>
      </c>
      <c r="L629" t="inlineStr">
        <is>
          <t>Walter García Alvarado</t>
        </is>
      </c>
      <c r="M629" t="inlineStr">
        <is>
          <t>08409777-4</t>
        </is>
      </c>
      <c r="N629" t="inlineStr">
        <is>
          <t>6398-6837</t>
        </is>
      </c>
      <c r="O629" t="inlineStr">
        <is>
          <t>Consumidor final</t>
        </is>
      </c>
      <c r="P629" t="inlineStr">
        <is>
          <t>LAC-001</t>
        </is>
      </c>
      <c r="Q629" t="inlineStr">
        <is>
          <t>Quesillo 1lb</t>
        </is>
      </c>
      <c r="R629" t="inlineStr">
        <is>
          <t>Lácteos</t>
        </is>
      </c>
      <c r="S629" t="inlineStr">
        <is>
          <t>Lácteos Chalate</t>
        </is>
      </c>
      <c r="T629" t="inlineStr">
        <is>
          <t>2335-1020</t>
        </is>
      </c>
      <c r="U629" t="n">
        <v>3.8</v>
      </c>
      <c r="V629" t="n">
        <v>1</v>
      </c>
      <c r="W629" t="n">
        <v>0</v>
      </c>
      <c r="X629">
        <f>IFERROR(U629*V629*(1-W629/100),"")</f>
        <v/>
      </c>
      <c r="Y629">
        <f>IFERROR(ROUND(X629*0.13,2),"")</f>
        <v/>
      </c>
      <c r="Z629">
        <f>IFERROR(X629+Y629,"")</f>
        <v/>
      </c>
      <c r="AA629" t="inlineStr">
        <is>
          <t>Efectivo</t>
        </is>
      </c>
      <c r="AB629" t="inlineStr"/>
    </row>
    <row r="630">
      <c r="A630" t="inlineStr">
        <is>
          <t>F-10971</t>
        </is>
      </c>
      <c r="B630" s="3" t="n">
        <v>46235</v>
      </c>
      <c r="C630" t="inlineStr">
        <is>
          <t>factura</t>
        </is>
      </c>
      <c r="D630" t="inlineStr">
        <is>
          <t>SO01</t>
        </is>
      </c>
      <c r="E630" t="inlineStr">
        <is>
          <t>Sonsonate</t>
        </is>
      </c>
      <c r="F630" t="inlineStr">
        <is>
          <t>Calle Obispo Marroquín #3</t>
        </is>
      </c>
      <c r="G630" t="inlineStr">
        <is>
          <t>Sonsonate</t>
        </is>
      </c>
      <c r="H630" t="inlineStr">
        <is>
          <t>Sonsonate</t>
        </is>
      </c>
      <c r="I630" t="inlineStr">
        <is>
          <t>Ernesto Chávez</t>
        </is>
      </c>
      <c r="J630" t="inlineStr">
        <is>
          <t>2451-2288</t>
        </is>
      </c>
      <c r="K630" t="inlineStr">
        <is>
          <t>Ricardo Funes</t>
        </is>
      </c>
      <c r="L630" t="inlineStr">
        <is>
          <t>Walter García Alvarado</t>
        </is>
      </c>
      <c r="M630" t="inlineStr">
        <is>
          <t>08409777-4</t>
        </is>
      </c>
      <c r="N630" t="inlineStr">
        <is>
          <t>6398-6837</t>
        </is>
      </c>
      <c r="O630" t="inlineStr">
        <is>
          <t>Consumidor final</t>
        </is>
      </c>
      <c r="P630" t="inlineStr">
        <is>
          <t>CAF-002</t>
        </is>
      </c>
      <c r="Q630" t="inlineStr">
        <is>
          <t>Café en grano 1lb</t>
        </is>
      </c>
      <c r="R630" t="inlineStr">
        <is>
          <t>Abarrotes</t>
        </is>
      </c>
      <c r="S630" t="inlineStr">
        <is>
          <t>Café Volcán S.A.</t>
        </is>
      </c>
      <c r="T630" t="inlineStr">
        <is>
          <t>2510-3344</t>
        </is>
      </c>
      <c r="U630" t="n">
        <v>6.75</v>
      </c>
      <c r="V630" t="n">
        <v>24</v>
      </c>
      <c r="W630" t="n">
        <v>0</v>
      </c>
      <c r="X630">
        <f>IFERROR(U630*V630*(1-W630/100),"")</f>
        <v/>
      </c>
      <c r="Y630">
        <f>IFERROR(ROUND(X630*0.13,2),"")</f>
        <v/>
      </c>
      <c r="Z630">
        <f>IFERROR(X630+Y630,"")</f>
        <v/>
      </c>
      <c r="AA630" t="inlineStr">
        <is>
          <t>Efectivo</t>
        </is>
      </c>
      <c r="AB630" t="inlineStr">
        <is>
          <t>precio especial autorizado por gerente</t>
        </is>
      </c>
    </row>
    <row r="631">
      <c r="A631" t="inlineStr">
        <is>
          <t>F-10971</t>
        </is>
      </c>
      <c r="B631" s="3" t="n">
        <v>46235</v>
      </c>
      <c r="C631" t="inlineStr">
        <is>
          <t>factura</t>
        </is>
      </c>
      <c r="D631" t="inlineStr">
        <is>
          <t>SO01</t>
        </is>
      </c>
      <c r="E631" t="inlineStr">
        <is>
          <t>SONSONATE</t>
        </is>
      </c>
      <c r="F631" t="inlineStr">
        <is>
          <t>Calle Obispo Marroquín #3</t>
        </is>
      </c>
      <c r="G631" t="inlineStr">
        <is>
          <t>Sonsonate</t>
        </is>
      </c>
      <c r="H631" t="inlineStr">
        <is>
          <t>Sonsonate</t>
        </is>
      </c>
      <c r="I631" t="inlineStr">
        <is>
          <t>Ernesto Chávez</t>
        </is>
      </c>
      <c r="J631" t="inlineStr">
        <is>
          <t>2451-2288</t>
        </is>
      </c>
      <c r="K631" t="inlineStr">
        <is>
          <t>Ricardo Funes</t>
        </is>
      </c>
      <c r="L631" t="inlineStr">
        <is>
          <t>Walter García Alvarado</t>
        </is>
      </c>
      <c r="M631" t="inlineStr">
        <is>
          <t>08409777-4</t>
        </is>
      </c>
      <c r="N631" t="inlineStr">
        <is>
          <t>6398-6837</t>
        </is>
      </c>
      <c r="O631" t="inlineStr">
        <is>
          <t>Consumidor final</t>
        </is>
      </c>
      <c r="P631" t="inlineStr">
        <is>
          <t>BEB-002</t>
        </is>
      </c>
      <c r="Q631" t="inlineStr">
        <is>
          <t>Agua purificada 1 galón</t>
        </is>
      </c>
      <c r="R631" t="inlineStr">
        <is>
          <t>Bebidas</t>
        </is>
      </c>
      <c r="S631" t="inlineStr">
        <is>
          <t>Bebidas Izalco</t>
        </is>
      </c>
      <c r="T631" t="inlineStr">
        <is>
          <t>2450-7700</t>
        </is>
      </c>
      <c r="U631" t="n">
        <v>1.1</v>
      </c>
      <c r="V631" t="n">
        <v>1</v>
      </c>
      <c r="W631" t="n">
        <v>0</v>
      </c>
      <c r="X631">
        <f>IFERROR(U631*V631*(1-W631/100),"")</f>
        <v/>
      </c>
      <c r="Y631">
        <f>IFERROR(ROUND(X631*0.13,2),"")</f>
        <v/>
      </c>
      <c r="Z631">
        <f>IFERROR(X631+Y631,"")</f>
        <v/>
      </c>
      <c r="AA631" t="inlineStr">
        <is>
          <t>Efectivo</t>
        </is>
      </c>
      <c r="AB631" t="inlineStr">
        <is>
          <t>precio especial autorizado por gerente</t>
        </is>
      </c>
    </row>
    <row r="632">
      <c r="A632" t="inlineStr">
        <is>
          <t>F-10973</t>
        </is>
      </c>
      <c r="B632" s="3" t="n">
        <v>46222</v>
      </c>
      <c r="C632" t="inlineStr">
        <is>
          <t>Factura</t>
        </is>
      </c>
      <c r="D632" t="inlineStr">
        <is>
          <t>US01</t>
        </is>
      </c>
      <c r="E632" t="inlineStr">
        <is>
          <t>Usulutan</t>
        </is>
      </c>
      <c r="F632" t="inlineStr">
        <is>
          <t>2a Av. Norte #9</t>
        </is>
      </c>
      <c r="G632" t="inlineStr">
        <is>
          <t>Usulután</t>
        </is>
      </c>
      <c r="H632" t="inlineStr">
        <is>
          <t>Usulután</t>
        </is>
      </c>
      <c r="I632" t="inlineStr">
        <is>
          <t>Nelson Fuentes</t>
        </is>
      </c>
      <c r="J632" t="inlineStr">
        <is>
          <t>2662-8810</t>
        </is>
      </c>
      <c r="K632" t="inlineStr">
        <is>
          <t>Miguel Bonilla</t>
        </is>
      </c>
      <c r="L632" t="inlineStr">
        <is>
          <t>Sandra Guevara Lemus</t>
        </is>
      </c>
      <c r="M632" t="inlineStr">
        <is>
          <t>08577633-7</t>
        </is>
      </c>
      <c r="N632" t="inlineStr">
        <is>
          <t>6671-1550</t>
        </is>
      </c>
      <c r="O632" t="inlineStr">
        <is>
          <t>Consumidor final</t>
        </is>
      </c>
      <c r="P632" t="inlineStr">
        <is>
          <t>AZU-001</t>
        </is>
      </c>
      <c r="Q632" t="inlineStr">
        <is>
          <t>Azúcar blanca 2.5kg</t>
        </is>
      </c>
      <c r="R632" t="inlineStr">
        <is>
          <t>Abarrotes</t>
        </is>
      </c>
      <c r="S632" t="inlineStr">
        <is>
          <t>Granos del Pacífico</t>
        </is>
      </c>
      <c r="T632" t="inlineStr">
        <is>
          <t>2234-8890</t>
        </is>
      </c>
      <c r="U632" t="n">
        <v>3.1</v>
      </c>
      <c r="V632" t="n">
        <v>1</v>
      </c>
      <c r="W632" t="n">
        <v>0</v>
      </c>
      <c r="X632">
        <f>IFERROR(U632*V632*(1-W632/100),"")</f>
        <v/>
      </c>
      <c r="Y632">
        <f>IFERROR(ROUND(X632*0.13,2),"")</f>
        <v/>
      </c>
      <c r="Z632">
        <f>IFERROR(X632+Y632,"")</f>
        <v/>
      </c>
      <c r="AA632" t="inlineStr">
        <is>
          <t>Efectivo</t>
        </is>
      </c>
      <c r="AB632" t="inlineStr">
        <is>
          <t>pagó con billete de $100</t>
        </is>
      </c>
    </row>
    <row r="633">
      <c r="A633" t="inlineStr">
        <is>
          <t>F-10973</t>
        </is>
      </c>
      <c r="B633" s="3" t="n">
        <v>46222</v>
      </c>
      <c r="C633" t="inlineStr">
        <is>
          <t>Factura</t>
        </is>
      </c>
      <c r="D633" t="inlineStr">
        <is>
          <t>US01</t>
        </is>
      </c>
      <c r="E633" t="inlineStr">
        <is>
          <t>Usulutan</t>
        </is>
      </c>
      <c r="F633" t="inlineStr">
        <is>
          <t>2a Av. Norte #9</t>
        </is>
      </c>
      <c r="G633" t="inlineStr">
        <is>
          <t>Usulután</t>
        </is>
      </c>
      <c r="H633" t="inlineStr">
        <is>
          <t>Usulután</t>
        </is>
      </c>
      <c r="I633" t="inlineStr">
        <is>
          <t>Nelson Fuentes</t>
        </is>
      </c>
      <c r="J633" t="inlineStr">
        <is>
          <t>2662-8810</t>
        </is>
      </c>
      <c r="K633" t="inlineStr">
        <is>
          <t>Miguel Bonilla</t>
        </is>
      </c>
      <c r="L633" t="inlineStr">
        <is>
          <t>Sandra Guevara Lemus</t>
        </is>
      </c>
      <c r="M633" t="inlineStr">
        <is>
          <t>08577633-7</t>
        </is>
      </c>
      <c r="N633" t="inlineStr">
        <is>
          <t>6671-1550</t>
        </is>
      </c>
      <c r="O633" t="inlineStr">
        <is>
          <t>Consumidor final</t>
        </is>
      </c>
      <c r="P633" t="inlineStr">
        <is>
          <t>BEB-002</t>
        </is>
      </c>
      <c r="Q633" t="inlineStr">
        <is>
          <t>Agua purificada 1 galón</t>
        </is>
      </c>
      <c r="R633" t="inlineStr">
        <is>
          <t>Bebidas</t>
        </is>
      </c>
      <c r="S633" t="inlineStr">
        <is>
          <t>Bebidas Izalco</t>
        </is>
      </c>
      <c r="T633" t="inlineStr">
        <is>
          <t>2450-7700</t>
        </is>
      </c>
      <c r="U633" t="n">
        <v>1.1</v>
      </c>
      <c r="V633" t="n">
        <v>24</v>
      </c>
      <c r="W633" t="n">
        <v>0</v>
      </c>
      <c r="X633">
        <f>IFERROR(U633*V633*(1-W633/100),"")</f>
        <v/>
      </c>
      <c r="Y633">
        <f>IFERROR(ROUND(X633*0.13,2),"")</f>
        <v/>
      </c>
      <c r="Z633">
        <f>IFERROR(X633+Y633,"")</f>
        <v/>
      </c>
      <c r="AA633" t="inlineStr">
        <is>
          <t>Efectivo</t>
        </is>
      </c>
      <c r="AB633" t="inlineStr"/>
    </row>
    <row r="634">
      <c r="A634" t="inlineStr">
        <is>
          <t>F-10973</t>
        </is>
      </c>
      <c r="B634" s="4" t="n">
        <v>46222</v>
      </c>
      <c r="C634" t="inlineStr">
        <is>
          <t>Factura</t>
        </is>
      </c>
      <c r="D634" t="inlineStr">
        <is>
          <t>US01</t>
        </is>
      </c>
      <c r="E634" t="inlineStr">
        <is>
          <t>Usulutan</t>
        </is>
      </c>
      <c r="F634" t="inlineStr">
        <is>
          <t>2a Av. Norte #9</t>
        </is>
      </c>
      <c r="G634" t="inlineStr">
        <is>
          <t>Usulután</t>
        </is>
      </c>
      <c r="H634" t="inlineStr">
        <is>
          <t>Usulután</t>
        </is>
      </c>
      <c r="I634" t="inlineStr">
        <is>
          <t>Nelson Fuentes</t>
        </is>
      </c>
      <c r="J634" t="inlineStr">
        <is>
          <t>2662-8810</t>
        </is>
      </c>
      <c r="K634" t="inlineStr">
        <is>
          <t>Miguel Bonilla</t>
        </is>
      </c>
      <c r="L634" t="inlineStr">
        <is>
          <t>Sandra Guevara Lemus</t>
        </is>
      </c>
      <c r="M634" t="inlineStr">
        <is>
          <t>08577633-7</t>
        </is>
      </c>
      <c r="N634" t="inlineStr">
        <is>
          <t>6671-1550</t>
        </is>
      </c>
      <c r="O634" t="inlineStr">
        <is>
          <t>Consumidor final</t>
        </is>
      </c>
      <c r="P634" t="inlineStr">
        <is>
          <t>BEB-002</t>
        </is>
      </c>
      <c r="Q634" t="inlineStr">
        <is>
          <t>Agua purificada 1 galón</t>
        </is>
      </c>
      <c r="R634" t="inlineStr">
        <is>
          <t>Bebidas</t>
        </is>
      </c>
      <c r="S634" t="inlineStr">
        <is>
          <t>Bebidas Izalco</t>
        </is>
      </c>
      <c r="T634" t="inlineStr">
        <is>
          <t>2450-7700</t>
        </is>
      </c>
      <c r="U634" t="n">
        <v>1.1</v>
      </c>
      <c r="V634" t="n">
        <v>24</v>
      </c>
      <c r="W634" t="n">
        <v>0</v>
      </c>
      <c r="X634">
        <f>IFERROR(U634*V634*(1-W634/100),"")</f>
        <v/>
      </c>
      <c r="Y634">
        <f>IFERROR(ROUND(X634*0.13,2),"")</f>
        <v/>
      </c>
      <c r="Z634">
        <f>IFERROR(X634+Y634,"")</f>
        <v/>
      </c>
      <c r="AA634" t="inlineStr">
        <is>
          <t>Efectivo</t>
        </is>
      </c>
      <c r="AB634" t="inlineStr"/>
    </row>
    <row r="635">
      <c r="A635" t="inlineStr">
        <is>
          <t>F-10973</t>
        </is>
      </c>
      <c r="B635" t="inlineStr">
        <is>
          <t>19/07/2026</t>
        </is>
      </c>
      <c r="C635" t="inlineStr">
        <is>
          <t>Factura</t>
        </is>
      </c>
      <c r="D635" t="inlineStr">
        <is>
          <t>US01</t>
        </is>
      </c>
      <c r="E635" t="inlineStr">
        <is>
          <t>Usulután</t>
        </is>
      </c>
      <c r="F635" t="inlineStr">
        <is>
          <t>2a Av. Norte #9</t>
        </is>
      </c>
      <c r="G635" t="inlineStr">
        <is>
          <t>Usulután</t>
        </is>
      </c>
      <c r="H635" t="inlineStr">
        <is>
          <t>Usulután</t>
        </is>
      </c>
      <c r="I635" t="inlineStr">
        <is>
          <t>Nelson Fuentes</t>
        </is>
      </c>
      <c r="J635" t="inlineStr">
        <is>
          <t>2662-8810</t>
        </is>
      </c>
      <c r="K635" t="inlineStr">
        <is>
          <t>Miguel Bonilla</t>
        </is>
      </c>
      <c r="L635" t="inlineStr">
        <is>
          <t>Sandra Guevara Lemus</t>
        </is>
      </c>
      <c r="M635" t="inlineStr">
        <is>
          <t>08577633-7</t>
        </is>
      </c>
      <c r="N635" t="inlineStr">
        <is>
          <t>6671-1550</t>
        </is>
      </c>
      <c r="O635" t="inlineStr">
        <is>
          <t>Consumidor final</t>
        </is>
      </c>
      <c r="P635" t="inlineStr">
        <is>
          <t>LAC-003</t>
        </is>
      </c>
      <c r="Q635" t="inlineStr">
        <is>
          <t>Leche entera 1L</t>
        </is>
      </c>
      <c r="R635" t="inlineStr">
        <is>
          <t>Lácteos</t>
        </is>
      </c>
      <c r="S635" t="inlineStr">
        <is>
          <t>Lácteos Chalate</t>
        </is>
      </c>
      <c r="T635" t="inlineStr">
        <is>
          <t>2335-1020</t>
        </is>
      </c>
      <c r="U635" t="n">
        <v>1.2</v>
      </c>
      <c r="V635" t="n">
        <v>3</v>
      </c>
      <c r="W635" t="n">
        <v>0</v>
      </c>
      <c r="X635">
        <f>IFERROR(U635*V635*(1-W635/100),"")</f>
        <v/>
      </c>
      <c r="Y635">
        <f>IFERROR(ROUND(X635*0.13,2),"")</f>
        <v/>
      </c>
      <c r="Z635">
        <f>IFERROR(X635+Y635,"")</f>
        <v/>
      </c>
      <c r="AA635" t="inlineStr">
        <is>
          <t>Efectivo</t>
        </is>
      </c>
      <c r="AB635" t="inlineStr">
        <is>
          <t>precio especial autorizado por gerente</t>
        </is>
      </c>
    </row>
    <row r="636">
      <c r="A636" t="inlineStr">
        <is>
          <t>F-10973</t>
        </is>
      </c>
      <c r="B636" t="inlineStr">
        <is>
          <t>19/07/2026</t>
        </is>
      </c>
      <c r="C636" t="inlineStr">
        <is>
          <t>Factura</t>
        </is>
      </c>
      <c r="D636" t="inlineStr">
        <is>
          <t>US01</t>
        </is>
      </c>
      <c r="E636" t="inlineStr">
        <is>
          <t>Usulutan</t>
        </is>
      </c>
      <c r="F636" t="inlineStr">
        <is>
          <t>2a Av. Norte #9</t>
        </is>
      </c>
      <c r="G636" t="inlineStr">
        <is>
          <t>Usulután</t>
        </is>
      </c>
      <c r="H636" t="inlineStr">
        <is>
          <t>Usulután</t>
        </is>
      </c>
      <c r="I636" t="inlineStr">
        <is>
          <t>Nelson Fuentes</t>
        </is>
      </c>
      <c r="J636" t="inlineStr">
        <is>
          <t>2662-8810</t>
        </is>
      </c>
      <c r="K636" t="inlineStr">
        <is>
          <t>Miguel Bonilla</t>
        </is>
      </c>
      <c r="L636" t="inlineStr">
        <is>
          <t>Sandra Guevara Lemus</t>
        </is>
      </c>
      <c r="M636" t="inlineStr">
        <is>
          <t>08577633-7</t>
        </is>
      </c>
      <c r="N636" t="inlineStr">
        <is>
          <t>6671-1550</t>
        </is>
      </c>
      <c r="O636" t="inlineStr">
        <is>
          <t>Consumidor final</t>
        </is>
      </c>
      <c r="P636" t="inlineStr">
        <is>
          <t>CAF-001</t>
        </is>
      </c>
      <c r="Q636" t="inlineStr">
        <is>
          <t>Café molido 400g</t>
        </is>
      </c>
      <c r="R636" t="inlineStr">
        <is>
          <t>Abarrotes</t>
        </is>
      </c>
      <c r="S636" t="inlineStr">
        <is>
          <t>Café Volcán S.A.</t>
        </is>
      </c>
      <c r="T636" t="inlineStr">
        <is>
          <t>2510-3344</t>
        </is>
      </c>
      <c r="U636" t="n">
        <v>4.25</v>
      </c>
      <c r="V636" t="n">
        <v>1</v>
      </c>
      <c r="W636" t="n">
        <v>0</v>
      </c>
      <c r="X636">
        <f>IFERROR(U636*V636*(1-W636/100),"")</f>
        <v/>
      </c>
      <c r="Y636">
        <f>IFERROR(ROUND(X636*0.13,2),"")</f>
        <v/>
      </c>
      <c r="Z636">
        <f>IFERROR(X636+Y636,"")</f>
        <v/>
      </c>
      <c r="AA636" t="inlineStr">
        <is>
          <t>Efectivo</t>
        </is>
      </c>
      <c r="AB636" t="inlineStr">
        <is>
          <t>Llamar al 7788-1234 antes de entregar</t>
        </is>
      </c>
    </row>
    <row r="637">
      <c r="A637" t="inlineStr">
        <is>
          <t>F-10974</t>
        </is>
      </c>
      <c r="B637" s="3" t="n">
        <v>46294</v>
      </c>
      <c r="C637" t="inlineStr">
        <is>
          <t>factura</t>
        </is>
      </c>
      <c r="D637" t="inlineStr">
        <is>
          <t>SS02</t>
        </is>
      </c>
      <c r="E637" t="inlineStr">
        <is>
          <t>Escalón</t>
        </is>
      </c>
      <c r="F637" t="inlineStr">
        <is>
          <t>Paseo General Escalón #3910</t>
        </is>
      </c>
      <c r="G637" t="inlineStr">
        <is>
          <t>San Salvador</t>
        </is>
      </c>
      <c r="H637" t="inlineStr">
        <is>
          <t>San Salvador</t>
        </is>
      </c>
      <c r="I637" t="inlineStr">
        <is>
          <t>Claudia Menjívar</t>
        </is>
      </c>
      <c r="J637" t="inlineStr">
        <is>
          <t>2264-1190</t>
        </is>
      </c>
      <c r="K637" t="inlineStr">
        <is>
          <t>Fátima Rosales</t>
        </is>
      </c>
      <c r="L637" t="inlineStr">
        <is>
          <t>José López Pérez</t>
        </is>
      </c>
      <c r="M637" t="inlineStr">
        <is>
          <t>07894436-0</t>
        </is>
      </c>
      <c r="N637" t="inlineStr">
        <is>
          <t>2795-9333</t>
        </is>
      </c>
      <c r="O637" t="inlineStr">
        <is>
          <t>Consumidor final</t>
        </is>
      </c>
      <c r="P637" t="inlineStr">
        <is>
          <t>ARR-001</t>
        </is>
      </c>
      <c r="Q637" t="inlineStr">
        <is>
          <t>Arroz blanco 5lb</t>
        </is>
      </c>
      <c r="R637" t="inlineStr">
        <is>
          <t>Abarrotes</t>
        </is>
      </c>
      <c r="S637" t="inlineStr">
        <is>
          <t>Granos del Pacífico</t>
        </is>
      </c>
      <c r="T637" t="inlineStr">
        <is>
          <t>2234-8890</t>
        </is>
      </c>
      <c r="U637" t="n">
        <v>3.95</v>
      </c>
      <c r="V637" t="n">
        <v>24</v>
      </c>
      <c r="W637" t="n">
        <v>0</v>
      </c>
      <c r="X637">
        <f>IFERROR(U637*V637*(1-W637/100),"")</f>
        <v/>
      </c>
      <c r="Y637">
        <f>IFERROR(ROUND(X637*0.13,2),"")</f>
        <v/>
      </c>
      <c r="Z637">
        <f>IFERROR(X637+Y637,"")</f>
        <v/>
      </c>
      <c r="AA637" t="inlineStr">
        <is>
          <t>Efectivo</t>
        </is>
      </c>
      <c r="AB637" t="inlineStr">
        <is>
          <t>Cliente frecuente</t>
        </is>
      </c>
    </row>
    <row r="638">
      <c r="A638" t="inlineStr">
        <is>
          <t>F-10974</t>
        </is>
      </c>
      <c r="B638" s="3" t="n">
        <v>46294</v>
      </c>
      <c r="C638" t="inlineStr">
        <is>
          <t>factura</t>
        </is>
      </c>
      <c r="D638" t="inlineStr">
        <is>
          <t>SS02</t>
        </is>
      </c>
      <c r="E638" t="inlineStr">
        <is>
          <t>Col. Escalón</t>
        </is>
      </c>
      <c r="F638" t="inlineStr">
        <is>
          <t>Paseo General Escalón #3910</t>
        </is>
      </c>
      <c r="G638" t="inlineStr">
        <is>
          <t>San Salvador</t>
        </is>
      </c>
      <c r="H638" t="inlineStr">
        <is>
          <t>San Salvador</t>
        </is>
      </c>
      <c r="I638" t="inlineStr">
        <is>
          <t>Claudia Menjívar</t>
        </is>
      </c>
      <c r="J638" t="inlineStr">
        <is>
          <t>2264-1190</t>
        </is>
      </c>
      <c r="K638" t="inlineStr">
        <is>
          <t>Fátima Rosales</t>
        </is>
      </c>
      <c r="L638" t="inlineStr">
        <is>
          <t>José López Pérez</t>
        </is>
      </c>
      <c r="M638" t="inlineStr">
        <is>
          <t>07894436-0</t>
        </is>
      </c>
      <c r="N638" t="inlineStr">
        <is>
          <t>2795-9333</t>
        </is>
      </c>
      <c r="O638" t="inlineStr">
        <is>
          <t>Consumidor final</t>
        </is>
      </c>
      <c r="P638" t="inlineStr">
        <is>
          <t>FRI-001</t>
        </is>
      </c>
      <c r="Q638" t="inlineStr">
        <is>
          <t>Frijol rojo de seda 2lb</t>
        </is>
      </c>
      <c r="R638" t="inlineStr">
        <is>
          <t>Abarrotes</t>
        </is>
      </c>
      <c r="S638" t="inlineStr">
        <is>
          <t>Granos del Pacífico</t>
        </is>
      </c>
      <c r="T638" t="inlineStr">
        <is>
          <t>2234-8890</t>
        </is>
      </c>
      <c r="U638" t="n">
        <v>2.4</v>
      </c>
      <c r="V638" t="n">
        <v>2</v>
      </c>
      <c r="W638" t="n">
        <v>0</v>
      </c>
      <c r="X638">
        <f>IFERROR(U638*V638*(1-W638/100),"")</f>
        <v/>
      </c>
      <c r="Y638">
        <f>IFERROR(ROUND(X638*0.13,2),"")</f>
        <v/>
      </c>
      <c r="Z638">
        <f>IFERROR(X638+Y638,"")</f>
        <v/>
      </c>
      <c r="AA638" t="inlineStr">
        <is>
          <t>Efectivo</t>
        </is>
      </c>
      <c r="AB638" t="inlineStr"/>
    </row>
    <row r="639">
      <c r="A639" t="inlineStr">
        <is>
          <t>F-10974</t>
        </is>
      </c>
      <c r="B639" t="inlineStr">
        <is>
          <t>29-Sep-26</t>
        </is>
      </c>
      <c r="C639" t="inlineStr">
        <is>
          <t>factura</t>
        </is>
      </c>
      <c r="D639" t="inlineStr">
        <is>
          <t>SS02</t>
        </is>
      </c>
      <c r="E639" t="inlineStr">
        <is>
          <t>Escalon</t>
        </is>
      </c>
      <c r="F639" t="inlineStr">
        <is>
          <t>Paseo General Escalón #3910</t>
        </is>
      </c>
      <c r="G639" t="inlineStr">
        <is>
          <t>San Salvador</t>
        </is>
      </c>
      <c r="H639" t="inlineStr">
        <is>
          <t>San Salvador</t>
        </is>
      </c>
      <c r="I639" t="inlineStr">
        <is>
          <t>Claudia Menjívar</t>
        </is>
      </c>
      <c r="J639" t="inlineStr">
        <is>
          <t>2264-1190</t>
        </is>
      </c>
      <c r="K639" t="inlineStr">
        <is>
          <t>Fátima Rosales</t>
        </is>
      </c>
      <c r="L639" t="inlineStr">
        <is>
          <t>José López Pérez</t>
        </is>
      </c>
      <c r="M639" t="inlineStr">
        <is>
          <t>07894436-0</t>
        </is>
      </c>
      <c r="N639" t="inlineStr">
        <is>
          <t>2795-9333</t>
        </is>
      </c>
      <c r="O639" t="inlineStr">
        <is>
          <t>Consumidor final</t>
        </is>
      </c>
      <c r="P639" t="inlineStr">
        <is>
          <t>HAR-001</t>
        </is>
      </c>
      <c r="Q639" t="inlineStr">
        <is>
          <t>Harina de maíz 2lb</t>
        </is>
      </c>
      <c r="R639" t="inlineStr">
        <is>
          <t>Abarrotes</t>
        </is>
      </c>
      <c r="S639" t="inlineStr">
        <is>
          <t>Granos del Pacífico</t>
        </is>
      </c>
      <c r="T639" t="inlineStr">
        <is>
          <t>2234-8890</t>
        </is>
      </c>
      <c r="U639" t="n">
        <v>1.35</v>
      </c>
      <c r="V639" t="n">
        <v>2</v>
      </c>
      <c r="W639" t="n">
        <v>0</v>
      </c>
      <c r="X639">
        <f>IFERROR(U639*V639*(1-W639/100),"")</f>
        <v/>
      </c>
      <c r="Y639">
        <f>IFERROR(ROUND(X639*0.13,2),"")</f>
        <v/>
      </c>
      <c r="Z639">
        <f>IFERROR(X639+Y639,"")</f>
        <v/>
      </c>
      <c r="AA639" t="inlineStr">
        <is>
          <t>Efectivo</t>
        </is>
      </c>
      <c r="AB639" t="inlineStr">
        <is>
          <t>entregar en bodega</t>
        </is>
      </c>
    </row>
    <row r="640">
      <c r="A640" t="inlineStr">
        <is>
          <t>F-10974</t>
        </is>
      </c>
      <c r="B640" s="3" t="n">
        <v>46294</v>
      </c>
      <c r="C640" t="inlineStr">
        <is>
          <t>factura</t>
        </is>
      </c>
      <c r="D640" t="inlineStr">
        <is>
          <t>SS02</t>
        </is>
      </c>
      <c r="E640" t="inlineStr">
        <is>
          <t>Col. Escalón</t>
        </is>
      </c>
      <c r="F640" t="inlineStr">
        <is>
          <t>Paseo General Escalón #3910</t>
        </is>
      </c>
      <c r="G640" t="inlineStr">
        <is>
          <t>San Salvador</t>
        </is>
      </c>
      <c r="H640" t="inlineStr">
        <is>
          <t>San Salvador</t>
        </is>
      </c>
      <c r="I640" t="inlineStr">
        <is>
          <t>Claudia Menjívar</t>
        </is>
      </c>
      <c r="J640" t="inlineStr">
        <is>
          <t>2264-1190</t>
        </is>
      </c>
      <c r="K640" t="inlineStr">
        <is>
          <t>Fátima Rosales</t>
        </is>
      </c>
      <c r="L640" t="inlineStr">
        <is>
          <t>José López Pérez</t>
        </is>
      </c>
      <c r="M640" t="inlineStr">
        <is>
          <t>07894436-0</t>
        </is>
      </c>
      <c r="N640" t="inlineStr">
        <is>
          <t>2795-9333</t>
        </is>
      </c>
      <c r="O640" t="inlineStr">
        <is>
          <t>Consumidor final</t>
        </is>
      </c>
      <c r="P640" t="inlineStr">
        <is>
          <t>BEB-002</t>
        </is>
      </c>
      <c r="Q640" t="inlineStr">
        <is>
          <t>Agua purificada 1 galón</t>
        </is>
      </c>
      <c r="R640" t="inlineStr">
        <is>
          <t>Bebidas</t>
        </is>
      </c>
      <c r="S640" t="inlineStr">
        <is>
          <t>Bebidas Izalco</t>
        </is>
      </c>
      <c r="T640" t="inlineStr">
        <is>
          <t>2450-7700</t>
        </is>
      </c>
      <c r="U640" t="n">
        <v>1.1</v>
      </c>
      <c r="V640" t="n">
        <v>2</v>
      </c>
      <c r="W640" t="n">
        <v>0</v>
      </c>
      <c r="X640">
        <f>IFERROR(U640*V640*(1-W640/100),"")</f>
        <v/>
      </c>
      <c r="Y640">
        <f>IFERROR(ROUND(X640*0.13,2),"")</f>
        <v/>
      </c>
      <c r="Z640">
        <f>IFERROR(X640+Y640,"")</f>
        <v/>
      </c>
      <c r="AA640" t="inlineStr">
        <is>
          <t>Efectivo</t>
        </is>
      </c>
      <c r="AB640" t="inlineStr"/>
    </row>
    <row r="641">
      <c r="A641" t="inlineStr">
        <is>
          <t>F-10975</t>
        </is>
      </c>
      <c r="B641" s="3" t="n">
        <v>46218</v>
      </c>
      <c r="C641" t="inlineStr">
        <is>
          <t>FCF</t>
        </is>
      </c>
      <c r="D641" t="inlineStr">
        <is>
          <t>SO01</t>
        </is>
      </c>
      <c r="E641" t="inlineStr">
        <is>
          <t>SONSONATE</t>
        </is>
      </c>
      <c r="F641" t="inlineStr">
        <is>
          <t>Calle Obispo Marroquín #3</t>
        </is>
      </c>
      <c r="G641" t="inlineStr">
        <is>
          <t>Sonsonate</t>
        </is>
      </c>
      <c r="H641" t="inlineStr">
        <is>
          <t>Sonsonate</t>
        </is>
      </c>
      <c r="I641" t="inlineStr">
        <is>
          <t>Ernesto Chávez</t>
        </is>
      </c>
      <c r="J641" t="inlineStr">
        <is>
          <t>2451-2288</t>
        </is>
      </c>
      <c r="K641" t="inlineStr">
        <is>
          <t>Ricardo Funes</t>
        </is>
      </c>
      <c r="L641" t="inlineStr">
        <is>
          <t>Walter Mejía Castillo</t>
        </is>
      </c>
      <c r="M641" t="inlineStr">
        <is>
          <t>02326285-9</t>
        </is>
      </c>
      <c r="N641" t="inlineStr">
        <is>
          <t>2959-3937</t>
        </is>
      </c>
      <c r="O641" t="inlineStr">
        <is>
          <t>Consumidor final</t>
        </is>
      </c>
      <c r="P641" t="inlineStr">
        <is>
          <t>PAN-003</t>
        </is>
      </c>
      <c r="Q641" t="inlineStr">
        <is>
          <t>Quesadilla salvadoreña</t>
        </is>
      </c>
      <c r="R641" t="inlineStr">
        <is>
          <t>Panadería</t>
        </is>
      </c>
      <c r="S641" t="inlineStr">
        <is>
          <t>Panificadora Ilopango</t>
        </is>
      </c>
      <c r="T641" t="inlineStr">
        <is>
          <t>2295-0081</t>
        </is>
      </c>
      <c r="U641" t="inlineStr">
        <is>
          <t>$2.50</t>
        </is>
      </c>
      <c r="V641" t="n">
        <v>1</v>
      </c>
      <c r="W641" t="n">
        <v>0</v>
      </c>
      <c r="X641">
        <f>IFERROR(U641*V641*(1-W641/100),"")</f>
        <v/>
      </c>
      <c r="Y641">
        <f>IFERROR(ROUND(X641*0.13,2),"")</f>
        <v/>
      </c>
      <c r="Z641">
        <f>IFERROR(X641+Y641,"")</f>
        <v/>
      </c>
      <c r="AA641" t="inlineStr">
        <is>
          <t>Efectivo</t>
        </is>
      </c>
      <c r="AB641" t="inlineStr">
        <is>
          <t>entregar en bodega</t>
        </is>
      </c>
    </row>
    <row r="642">
      <c r="A642" t="inlineStr">
        <is>
          <t>F-10975</t>
        </is>
      </c>
      <c r="B642" s="3" t="n">
        <v>46218</v>
      </c>
      <c r="C642" t="inlineStr">
        <is>
          <t>FCF</t>
        </is>
      </c>
      <c r="D642" t="inlineStr">
        <is>
          <t>SO01</t>
        </is>
      </c>
      <c r="E642" t="inlineStr">
        <is>
          <t>Sonsonate</t>
        </is>
      </c>
      <c r="F642" t="inlineStr">
        <is>
          <t>Calle Obispo Marroquín #3</t>
        </is>
      </c>
      <c r="G642" t="inlineStr">
        <is>
          <t>Sonsonate</t>
        </is>
      </c>
      <c r="H642" t="inlineStr">
        <is>
          <t>Sonsonate</t>
        </is>
      </c>
      <c r="I642" t="inlineStr">
        <is>
          <t>Ernesto Chávez</t>
        </is>
      </c>
      <c r="J642" t="inlineStr">
        <is>
          <t>2451-2288</t>
        </is>
      </c>
      <c r="K642" t="inlineStr">
        <is>
          <t>Ricardo Funes</t>
        </is>
      </c>
      <c r="L642" t="inlineStr">
        <is>
          <t>Walter Mejía Castillo</t>
        </is>
      </c>
      <c r="M642" t="inlineStr">
        <is>
          <t>02326285-9</t>
        </is>
      </c>
      <c r="N642" t="inlineStr">
        <is>
          <t>2959-3937</t>
        </is>
      </c>
      <c r="O642" t="inlineStr">
        <is>
          <t>Consumidor final</t>
        </is>
      </c>
      <c r="P642" t="inlineStr">
        <is>
          <t>LAC-003</t>
        </is>
      </c>
      <c r="Q642" t="inlineStr">
        <is>
          <t>Leche entera 1L</t>
        </is>
      </c>
      <c r="R642" t="inlineStr">
        <is>
          <t>Lácteos</t>
        </is>
      </c>
      <c r="S642" t="inlineStr">
        <is>
          <t>Lácteos Chalate</t>
        </is>
      </c>
      <c r="T642" t="inlineStr">
        <is>
          <t>2335-1020</t>
        </is>
      </c>
      <c r="U642" t="n">
        <v>1.2</v>
      </c>
      <c r="V642" t="n">
        <v>24</v>
      </c>
      <c r="W642" t="n">
        <v>0</v>
      </c>
      <c r="X642">
        <f>IFERROR(U642*V642*(1-W642/100),"")</f>
        <v/>
      </c>
      <c r="Y642">
        <f>IFERROR(ROUND(X642*0.13,2),"")</f>
        <v/>
      </c>
      <c r="Z642">
        <f>IFERROR(X642+Y642,"")</f>
        <v/>
      </c>
      <c r="AA642" t="inlineStr">
        <is>
          <t>Efectivo</t>
        </is>
      </c>
      <c r="AB642" t="inlineStr">
        <is>
          <t>pagó con billete de $100</t>
        </is>
      </c>
    </row>
    <row r="643">
      <c r="A643" t="inlineStr">
        <is>
          <t>F-10975</t>
        </is>
      </c>
      <c r="B643" s="4" t="n">
        <v>46218</v>
      </c>
      <c r="C643" t="inlineStr">
        <is>
          <t>FCF</t>
        </is>
      </c>
      <c r="D643" t="inlineStr">
        <is>
          <t>SO01</t>
        </is>
      </c>
      <c r="E643" t="inlineStr">
        <is>
          <t>Sonsonate</t>
        </is>
      </c>
      <c r="F643" t="inlineStr">
        <is>
          <t>Calle Obispo Marroquín #3</t>
        </is>
      </c>
      <c r="G643" t="inlineStr">
        <is>
          <t>Sonsonate</t>
        </is>
      </c>
      <c r="H643" t="inlineStr">
        <is>
          <t>Sonsonate</t>
        </is>
      </c>
      <c r="I643" t="inlineStr">
        <is>
          <t>Ernesto Chávez</t>
        </is>
      </c>
      <c r="J643" t="inlineStr">
        <is>
          <t>2451-2288</t>
        </is>
      </c>
      <c r="K643" t="inlineStr">
        <is>
          <t>Ricardo Funes</t>
        </is>
      </c>
      <c r="L643" t="inlineStr">
        <is>
          <t>Walter Mejía Castillo</t>
        </is>
      </c>
      <c r="M643" t="inlineStr">
        <is>
          <t>02326285-9</t>
        </is>
      </c>
      <c r="N643" t="inlineStr">
        <is>
          <t>2959-3937</t>
        </is>
      </c>
      <c r="O643" t="inlineStr">
        <is>
          <t>Consumidor final</t>
        </is>
      </c>
      <c r="P643" t="inlineStr">
        <is>
          <t>LAC-003</t>
        </is>
      </c>
      <c r="Q643" t="inlineStr">
        <is>
          <t>Leche entera 1L</t>
        </is>
      </c>
      <c r="R643" t="inlineStr">
        <is>
          <t>Lácteos</t>
        </is>
      </c>
      <c r="S643" t="inlineStr">
        <is>
          <t>Lácteos Chalate</t>
        </is>
      </c>
      <c r="T643" t="inlineStr">
        <is>
          <t>2335-1020</t>
        </is>
      </c>
      <c r="U643" t="n">
        <v>1.2</v>
      </c>
      <c r="V643" t="n">
        <v>24</v>
      </c>
      <c r="W643" t="n">
        <v>0</v>
      </c>
      <c r="X643">
        <f>IFERROR(U643*V643*(1-W643/100),"")</f>
        <v/>
      </c>
      <c r="Y643">
        <f>IFERROR(ROUND(X643*0.13,2),"")</f>
        <v/>
      </c>
      <c r="Z643">
        <f>IFERROR(X643+Y643,"")</f>
        <v/>
      </c>
      <c r="AA643" t="inlineStr">
        <is>
          <t>Efectivo</t>
        </is>
      </c>
      <c r="AB643" t="inlineStr">
        <is>
          <t>pagó con billete de $100</t>
        </is>
      </c>
    </row>
    <row r="644">
      <c r="A644" t="inlineStr">
        <is>
          <t>F-10975</t>
        </is>
      </c>
      <c r="B644" s="3" t="n">
        <v>46218</v>
      </c>
      <c r="C644" t="inlineStr">
        <is>
          <t>FCF</t>
        </is>
      </c>
      <c r="D644" t="inlineStr">
        <is>
          <t>SO01</t>
        </is>
      </c>
      <c r="E644" t="inlineStr">
        <is>
          <t>SONSONATE</t>
        </is>
      </c>
      <c r="F644" t="inlineStr">
        <is>
          <t>Calle Obispo Marroquín #3</t>
        </is>
      </c>
      <c r="G644" t="inlineStr">
        <is>
          <t>Sonsonate</t>
        </is>
      </c>
      <c r="H644" t="inlineStr">
        <is>
          <t>Sonsonate</t>
        </is>
      </c>
      <c r="I644" t="inlineStr">
        <is>
          <t>Ernesto Chávez</t>
        </is>
      </c>
      <c r="J644" t="inlineStr">
        <is>
          <t>2451-2288</t>
        </is>
      </c>
      <c r="K644" t="inlineStr">
        <is>
          <t>Ricardo Funes</t>
        </is>
      </c>
      <c r="L644" t="inlineStr">
        <is>
          <t>Walter Mejía Castillo</t>
        </is>
      </c>
      <c r="M644" t="inlineStr">
        <is>
          <t>02326285-9</t>
        </is>
      </c>
      <c r="N644" t="inlineStr">
        <is>
          <t>2959-3937</t>
        </is>
      </c>
      <c r="O644" t="inlineStr">
        <is>
          <t>Consumidor final</t>
        </is>
      </c>
      <c r="P644" t="inlineStr">
        <is>
          <t>FRI-001</t>
        </is>
      </c>
      <c r="Q644" t="inlineStr">
        <is>
          <t>Frijol rojo de seda 2lb</t>
        </is>
      </c>
      <c r="R644" t="inlineStr">
        <is>
          <t>Granos básicos</t>
        </is>
      </c>
      <c r="S644" t="inlineStr">
        <is>
          <t>Granos del Pacífico</t>
        </is>
      </c>
      <c r="T644" t="inlineStr">
        <is>
          <t>2234-8890</t>
        </is>
      </c>
      <c r="U644" t="n">
        <v>2.4</v>
      </c>
      <c r="V644" t="n">
        <v>4</v>
      </c>
      <c r="W644" t="n">
        <v>0</v>
      </c>
      <c r="X644">
        <f>IFERROR(U644*V644*(1-W644/100),"")</f>
        <v/>
      </c>
      <c r="Y644">
        <f>IFERROR(ROUND(X644*0.13,2),"")</f>
        <v/>
      </c>
      <c r="Z644">
        <f>IFERROR(X644+Y644,"")</f>
        <v/>
      </c>
      <c r="AA644" t="inlineStr">
        <is>
          <t>Efectivo</t>
        </is>
      </c>
      <c r="AB644" t="inlineStr"/>
    </row>
    <row r="645">
      <c r="A645" t="inlineStr">
        <is>
          <t>F-10978</t>
        </is>
      </c>
      <c r="B645" s="3" t="n">
        <v>46246</v>
      </c>
      <c r="C645" t="inlineStr">
        <is>
          <t>CCF</t>
        </is>
      </c>
      <c r="D645" t="inlineStr">
        <is>
          <t>SS03</t>
        </is>
      </c>
      <c r="E645" t="inlineStr">
        <is>
          <t>soyapango</t>
        </is>
      </c>
      <c r="F645" t="inlineStr">
        <is>
          <t>Blvd. del Ejército km 4</t>
        </is>
      </c>
      <c r="G645" t="inlineStr">
        <is>
          <t>Soyapango</t>
        </is>
      </c>
      <c r="H645" t="inlineStr">
        <is>
          <t>San Salvador</t>
        </is>
      </c>
      <c r="I645" t="inlineStr">
        <is>
          <t>Karla Henríquez</t>
        </is>
      </c>
      <c r="J645" t="inlineStr">
        <is>
          <t>2277-3402</t>
        </is>
      </c>
      <c r="K645" t="inlineStr">
        <is>
          <t>Carlos Molina</t>
        </is>
      </c>
      <c r="L645" t="inlineStr">
        <is>
          <t>Restaurante El Guanaco</t>
        </is>
      </c>
      <c r="M645" t="inlineStr">
        <is>
          <t>168675-3</t>
        </is>
      </c>
      <c r="N645" t="inlineStr">
        <is>
          <t>6165-7029</t>
        </is>
      </c>
      <c r="O645" t="inlineStr">
        <is>
          <t>Contribuyente</t>
        </is>
      </c>
      <c r="P645" t="inlineStr">
        <is>
          <t>PAN-003</t>
        </is>
      </c>
      <c r="Q645" t="inlineStr">
        <is>
          <t>Quesadilla salvadoreña</t>
        </is>
      </c>
      <c r="R645" t="inlineStr">
        <is>
          <t>Panadería</t>
        </is>
      </c>
      <c r="S645" t="inlineStr">
        <is>
          <t>Panificadora Ilopango</t>
        </is>
      </c>
      <c r="T645" t="inlineStr">
        <is>
          <t>2295-0081</t>
        </is>
      </c>
      <c r="U645" t="inlineStr">
        <is>
          <t>$2.50</t>
        </is>
      </c>
      <c r="V645" t="n">
        <v>1</v>
      </c>
      <c r="W645" t="n">
        <v>10</v>
      </c>
      <c r="X645">
        <f>IFERROR(U645*V645*(1-W645/100),"")</f>
        <v/>
      </c>
      <c r="Y645">
        <f>IFERROR(ROUND(X645*0.13,2),"")</f>
        <v/>
      </c>
      <c r="Z645">
        <f>IFERROR(X645+Y645,"")</f>
        <v/>
      </c>
      <c r="AA645" t="inlineStr">
        <is>
          <t>Efectivo</t>
        </is>
      </c>
      <c r="AB645" t="inlineStr">
        <is>
          <t>pagó con billete de $100</t>
        </is>
      </c>
    </row>
    <row r="646">
      <c r="A646" t="inlineStr">
        <is>
          <t>F-10979</t>
        </is>
      </c>
      <c r="B646" t="inlineStr">
        <is>
          <t>14/09/2026</t>
        </is>
      </c>
      <c r="C646" t="inlineStr">
        <is>
          <t>Factura</t>
        </is>
      </c>
      <c r="D646" t="inlineStr">
        <is>
          <t>SO01</t>
        </is>
      </c>
      <c r="E646" t="inlineStr">
        <is>
          <t>Sonsonate</t>
        </is>
      </c>
      <c r="F646" t="inlineStr">
        <is>
          <t>Calle Obispo Marroquín #3</t>
        </is>
      </c>
      <c r="G646" t="inlineStr">
        <is>
          <t>Sonsonate</t>
        </is>
      </c>
      <c r="H646" t="inlineStr">
        <is>
          <t>Sonsonate</t>
        </is>
      </c>
      <c r="I646" t="inlineStr">
        <is>
          <t>Ernesto Chávez</t>
        </is>
      </c>
      <c r="J646" t="inlineStr">
        <is>
          <t>2451-2288</t>
        </is>
      </c>
      <c r="K646" t="inlineStr">
        <is>
          <t>Ricardo Funes</t>
        </is>
      </c>
      <c r="L646" t="inlineStr">
        <is>
          <t>Mario Castillo Flores</t>
        </is>
      </c>
      <c r="M646" t="inlineStr"/>
      <c r="N646" t="inlineStr">
        <is>
          <t>2114-7744</t>
        </is>
      </c>
      <c r="O646" t="inlineStr">
        <is>
          <t>Consumidor final</t>
        </is>
      </c>
      <c r="P646" t="inlineStr">
        <is>
          <t>ARR-001</t>
        </is>
      </c>
      <c r="Q646" t="inlineStr">
        <is>
          <t>Arroz blanco 5lb</t>
        </is>
      </c>
      <c r="R646" t="inlineStr">
        <is>
          <t>Granos básicos</t>
        </is>
      </c>
      <c r="S646" t="inlineStr">
        <is>
          <t>Granos del Pacífico</t>
        </is>
      </c>
      <c r="T646" t="inlineStr">
        <is>
          <t>2234-8890</t>
        </is>
      </c>
      <c r="U646" t="n">
        <v>3.95</v>
      </c>
      <c r="V646" t="n">
        <v>3</v>
      </c>
      <c r="W646" t="n">
        <v>0</v>
      </c>
      <c r="X646">
        <f>IFERROR(U646*V646*(1-W646/100),"")</f>
        <v/>
      </c>
      <c r="Y646">
        <f>IFERROR(ROUND(X646*0.13,2),"")</f>
        <v/>
      </c>
      <c r="Z646">
        <f>IFERROR(X646+Y646,"")</f>
        <v/>
      </c>
      <c r="AA646" t="inlineStr">
        <is>
          <t>TARJETA</t>
        </is>
      </c>
      <c r="AB646" t="inlineStr"/>
    </row>
    <row r="647">
      <c r="A647" t="inlineStr">
        <is>
          <t>F-10982</t>
        </is>
      </c>
      <c r="B647" t="inlineStr">
        <is>
          <t>01/07/2026</t>
        </is>
      </c>
      <c r="C647" t="inlineStr">
        <is>
          <t>Factura</t>
        </is>
      </c>
      <c r="D647" t="inlineStr">
        <is>
          <t>SS03</t>
        </is>
      </c>
      <c r="E647" t="inlineStr">
        <is>
          <t>soyapango</t>
        </is>
      </c>
      <c r="F647" t="inlineStr">
        <is>
          <t>Blvd. del Ejército km 4</t>
        </is>
      </c>
      <c r="G647" t="inlineStr">
        <is>
          <t>Soyapango</t>
        </is>
      </c>
      <c r="H647" t="inlineStr">
        <is>
          <t>San Salvador</t>
        </is>
      </c>
      <c r="I647" t="inlineStr">
        <is>
          <t>Karla Henríquez</t>
        </is>
      </c>
      <c r="J647" t="inlineStr">
        <is>
          <t>2277-3402</t>
        </is>
      </c>
      <c r="K647" t="inlineStr">
        <is>
          <t>Marta Gómez</t>
        </is>
      </c>
      <c r="L647" t="inlineStr">
        <is>
          <t>Ana Pérez Rivera</t>
        </is>
      </c>
      <c r="M647" t="inlineStr">
        <is>
          <t>00820199-8</t>
        </is>
      </c>
      <c r="N647" t="inlineStr">
        <is>
          <t>7205-8035</t>
        </is>
      </c>
      <c r="O647" t="inlineStr">
        <is>
          <t>Consumidor final</t>
        </is>
      </c>
      <c r="P647" t="inlineStr">
        <is>
          <t>CAF-002</t>
        </is>
      </c>
      <c r="Q647" t="inlineStr">
        <is>
          <t>Café en grano 1lb</t>
        </is>
      </c>
      <c r="R647" t="inlineStr">
        <is>
          <t>Abarrotes</t>
        </is>
      </c>
      <c r="S647" t="inlineStr">
        <is>
          <t>Café Volcán S.A.</t>
        </is>
      </c>
      <c r="T647" t="inlineStr">
        <is>
          <t>2510-3344</t>
        </is>
      </c>
      <c r="U647" t="n">
        <v>6.75</v>
      </c>
      <c r="V647" t="n">
        <v>24</v>
      </c>
      <c r="W647" t="n">
        <v>0</v>
      </c>
      <c r="X647">
        <f>IFERROR(U647*V647*(1-W647/100),"")</f>
        <v/>
      </c>
      <c r="Y647">
        <f>IFERROR(ROUND(X647*0.13,2),"")</f>
        <v/>
      </c>
      <c r="Z647">
        <f>IFERROR(X647+Y647,"")</f>
        <v/>
      </c>
      <c r="AA647" t="inlineStr">
        <is>
          <t>Tarjeta</t>
        </is>
      </c>
      <c r="AB647" t="inlineStr"/>
    </row>
    <row r="648">
      <c r="A648" t="inlineStr">
        <is>
          <t>F-10982</t>
        </is>
      </c>
      <c r="B648" t="inlineStr">
        <is>
          <t>01/07/2026</t>
        </is>
      </c>
      <c r="C648" t="inlineStr">
        <is>
          <t>Factura</t>
        </is>
      </c>
      <c r="D648" t="inlineStr">
        <is>
          <t>SS03</t>
        </is>
      </c>
      <c r="E648" t="inlineStr">
        <is>
          <t xml:space="preserve">SOYAPANGO </t>
        </is>
      </c>
      <c r="F648" t="inlineStr">
        <is>
          <t>Blvd. del Ejército km 4</t>
        </is>
      </c>
      <c r="G648" t="inlineStr">
        <is>
          <t>Soyapango</t>
        </is>
      </c>
      <c r="H648" t="inlineStr">
        <is>
          <t>San Salvador</t>
        </is>
      </c>
      <c r="I648" t="inlineStr">
        <is>
          <t>Karla Henríquez</t>
        </is>
      </c>
      <c r="J648" t="inlineStr">
        <is>
          <t>2277-3402</t>
        </is>
      </c>
      <c r="K648" t="inlineStr">
        <is>
          <t>Marta Gómez</t>
        </is>
      </c>
      <c r="L648" t="inlineStr">
        <is>
          <t>Ana Pérez Rivera</t>
        </is>
      </c>
      <c r="M648" t="inlineStr">
        <is>
          <t>00820199-8</t>
        </is>
      </c>
      <c r="N648" t="inlineStr">
        <is>
          <t>7205-8035</t>
        </is>
      </c>
      <c r="O648" t="inlineStr">
        <is>
          <t>Consumidor final</t>
        </is>
      </c>
      <c r="P648" t="inlineStr">
        <is>
          <t>BEB-001</t>
        </is>
      </c>
      <c r="Q648" t="inlineStr">
        <is>
          <t>Gaseosa 2.5L</t>
        </is>
      </c>
      <c r="R648" t="inlineStr">
        <is>
          <t>bebidas</t>
        </is>
      </c>
      <c r="S648" t="inlineStr">
        <is>
          <t>Bebidas Izalco</t>
        </is>
      </c>
      <c r="T648" t="inlineStr">
        <is>
          <t>2450-7700</t>
        </is>
      </c>
      <c r="U648" t="n">
        <v>1.95</v>
      </c>
      <c r="V648" t="n">
        <v>6</v>
      </c>
      <c r="W648" t="n">
        <v>0</v>
      </c>
      <c r="X648">
        <f>IFERROR(U648*V648*(1-W648/100),"")</f>
        <v/>
      </c>
      <c r="Y648">
        <f>IFERROR(ROUND(X648*0.13,2),"")</f>
        <v/>
      </c>
      <c r="Z648">
        <f>IFERROR(X648+Y648,"")</f>
        <v/>
      </c>
      <c r="AA648" t="inlineStr">
        <is>
          <t>Tarjeta</t>
        </is>
      </c>
      <c r="AB648" t="inlineStr">
        <is>
          <t>precio especial autorizado por gerente</t>
        </is>
      </c>
    </row>
    <row r="649">
      <c r="A649" t="inlineStr">
        <is>
          <t>F-10983</t>
        </is>
      </c>
      <c r="B649" s="3" t="n">
        <v>46240</v>
      </c>
      <c r="C649" t="inlineStr">
        <is>
          <t>FCF</t>
        </is>
      </c>
      <c r="D649" t="inlineStr">
        <is>
          <t>SM01</t>
        </is>
      </c>
      <c r="E649" t="inlineStr">
        <is>
          <t>San Miguel</t>
        </is>
      </c>
      <c r="F649" t="inlineStr">
        <is>
          <t>Av. Roosevelt Sur #7</t>
        </is>
      </c>
      <c r="G649" t="inlineStr">
        <is>
          <t>San Miguel</t>
        </is>
      </c>
      <c r="H649" t="inlineStr">
        <is>
          <t>San Miguel</t>
        </is>
      </c>
      <c r="I649" t="inlineStr">
        <is>
          <t>Iris Portillo</t>
        </is>
      </c>
      <c r="J649" t="inlineStr">
        <is>
          <t>2661-5076</t>
        </is>
      </c>
      <c r="K649" t="inlineStr">
        <is>
          <t>Jorge Villalta</t>
        </is>
      </c>
      <c r="L649" t="inlineStr">
        <is>
          <t>Ana Pérez Rivera</t>
        </is>
      </c>
      <c r="M649" t="inlineStr">
        <is>
          <t>00820199-8</t>
        </is>
      </c>
      <c r="N649" t="inlineStr">
        <is>
          <t>7205-8035</t>
        </is>
      </c>
      <c r="O649" t="inlineStr">
        <is>
          <t>Consumidor final</t>
        </is>
      </c>
      <c r="P649" t="inlineStr">
        <is>
          <t>BEB-002</t>
        </is>
      </c>
      <c r="Q649" t="inlineStr">
        <is>
          <t>Agua purificada 1 galón</t>
        </is>
      </c>
      <c r="R649" t="inlineStr">
        <is>
          <t>Bebidas</t>
        </is>
      </c>
      <c r="S649" t="inlineStr">
        <is>
          <t>Bebidas Izalco</t>
        </is>
      </c>
      <c r="T649" t="inlineStr">
        <is>
          <t>2450-7700</t>
        </is>
      </c>
      <c r="U649" t="inlineStr">
        <is>
          <t>1,10</t>
        </is>
      </c>
      <c r="V649" t="n">
        <v>4</v>
      </c>
      <c r="W649" t="n">
        <v>0</v>
      </c>
      <c r="X649">
        <f>IFERROR(U649*V649*(1-W649/100),"")</f>
        <v/>
      </c>
      <c r="Y649">
        <f>IFERROR(ROUND(X649*0.13,2),"")</f>
        <v/>
      </c>
      <c r="Z649">
        <f>IFERROR(X649+Y649,"")</f>
        <v/>
      </c>
      <c r="AA649" t="inlineStr">
        <is>
          <t>Efectivo</t>
        </is>
      </c>
      <c r="AB649" t="inlineStr">
        <is>
          <t>Llamar al 7788-1234 antes de entregar</t>
        </is>
      </c>
    </row>
    <row r="650">
      <c r="A650" t="inlineStr">
        <is>
          <t>F-10983</t>
        </is>
      </c>
      <c r="B650" s="3" t="n">
        <v>46240</v>
      </c>
      <c r="C650" t="inlineStr">
        <is>
          <t>FCF</t>
        </is>
      </c>
      <c r="D650" t="inlineStr">
        <is>
          <t>SM01</t>
        </is>
      </c>
      <c r="E650" t="inlineStr">
        <is>
          <t>SAN MIGUEL</t>
        </is>
      </c>
      <c r="F650" t="inlineStr">
        <is>
          <t>Av. Roosevelt Sur #7</t>
        </is>
      </c>
      <c r="G650" t="inlineStr">
        <is>
          <t>San Miguel</t>
        </is>
      </c>
      <c r="H650" t="inlineStr">
        <is>
          <t>San Miguel</t>
        </is>
      </c>
      <c r="I650" t="inlineStr">
        <is>
          <t>Iris Portillo</t>
        </is>
      </c>
      <c r="J650" t="inlineStr">
        <is>
          <t>2661-5076</t>
        </is>
      </c>
      <c r="K650" t="inlineStr">
        <is>
          <t>Jorge Villalta</t>
        </is>
      </c>
      <c r="L650" t="inlineStr">
        <is>
          <t>Ana Pérez Rivera</t>
        </is>
      </c>
      <c r="M650" t="inlineStr"/>
      <c r="N650" t="inlineStr">
        <is>
          <t>7205-8035</t>
        </is>
      </c>
      <c r="O650" t="inlineStr">
        <is>
          <t>Consumidor final</t>
        </is>
      </c>
      <c r="P650" t="inlineStr">
        <is>
          <t>CAF-002</t>
        </is>
      </c>
      <c r="Q650" t="inlineStr">
        <is>
          <t>Café en grano 1lb</t>
        </is>
      </c>
      <c r="R650" t="inlineStr">
        <is>
          <t>Abarrotes</t>
        </is>
      </c>
      <c r="S650" t="inlineStr">
        <is>
          <t>Café Volcán S.A.</t>
        </is>
      </c>
      <c r="T650" t="inlineStr">
        <is>
          <t>2510-3344</t>
        </is>
      </c>
      <c r="U650" t="n">
        <v>6.75</v>
      </c>
      <c r="V650" t="n">
        <v>4</v>
      </c>
      <c r="W650" t="n">
        <v>0</v>
      </c>
      <c r="X650">
        <f>IFERROR(U650*V650*(1-W650/100),"")</f>
        <v/>
      </c>
      <c r="Y650">
        <f>IFERROR(ROUND(X650*0.13,2),"")</f>
        <v/>
      </c>
      <c r="Z650">
        <f>IFERROR(X650+Y650,"")</f>
        <v/>
      </c>
      <c r="AA650" t="inlineStr">
        <is>
          <t>Efectivo</t>
        </is>
      </c>
      <c r="AB650" t="inlineStr"/>
    </row>
    <row r="651">
      <c r="A651" t="inlineStr">
        <is>
          <t>F-10984</t>
        </is>
      </c>
      <c r="B651" t="inlineStr">
        <is>
          <t>11/09/2026</t>
        </is>
      </c>
      <c r="C651" t="inlineStr">
        <is>
          <t>Factura</t>
        </is>
      </c>
      <c r="D651" t="inlineStr">
        <is>
          <t>SS01</t>
        </is>
      </c>
      <c r="E651" t="inlineStr">
        <is>
          <t>S.S. Centro</t>
        </is>
      </c>
      <c r="F651" t="inlineStr">
        <is>
          <t>4a Calle Poniente #215</t>
        </is>
      </c>
      <c r="G651" t="inlineStr">
        <is>
          <t>San Salvador</t>
        </is>
      </c>
      <c r="H651" t="inlineStr">
        <is>
          <t>San Salvador</t>
        </is>
      </c>
      <c r="I651" t="inlineStr">
        <is>
          <t>Roberto Alfaro</t>
        </is>
      </c>
      <c r="J651" t="inlineStr">
        <is>
          <t>2221-4580</t>
        </is>
      </c>
      <c r="K651" t="inlineStr">
        <is>
          <t>José Martínez</t>
        </is>
      </c>
      <c r="L651" t="inlineStr">
        <is>
          <t>Sandra Rivera Pérez</t>
        </is>
      </c>
      <c r="M651" t="inlineStr">
        <is>
          <t>00391949-0</t>
        </is>
      </c>
      <c r="N651" t="inlineStr">
        <is>
          <t>6654-8845</t>
        </is>
      </c>
      <c r="O651" t="inlineStr">
        <is>
          <t>Consumidor final</t>
        </is>
      </c>
      <c r="P651" t="inlineStr">
        <is>
          <t>BEB-001</t>
        </is>
      </c>
      <c r="Q651" t="inlineStr">
        <is>
          <t>Gaseosa 2.5L</t>
        </is>
      </c>
      <c r="R651" t="inlineStr">
        <is>
          <t>bebidas</t>
        </is>
      </c>
      <c r="S651" t="inlineStr">
        <is>
          <t>Bebidas Izalco</t>
        </is>
      </c>
      <c r="T651" t="inlineStr">
        <is>
          <t>2450-7700</t>
        </is>
      </c>
      <c r="U651" t="n">
        <v>1.95</v>
      </c>
      <c r="V651" t="n">
        <v>3</v>
      </c>
      <c r="W651" t="n">
        <v>0</v>
      </c>
      <c r="X651">
        <f>IFERROR(U651*V651*(1-W651/100),"")</f>
        <v/>
      </c>
      <c r="Y651">
        <f>IFERROR(ROUND(X651*0.13,2),"")</f>
        <v/>
      </c>
      <c r="Z651">
        <f>IFERROR(X651+Y651,"")</f>
        <v/>
      </c>
      <c r="AA651" t="inlineStr">
        <is>
          <t>Efectivo</t>
        </is>
      </c>
      <c r="AB651" t="inlineStr"/>
    </row>
    <row r="652">
      <c r="A652" t="inlineStr">
        <is>
          <t>F-10984</t>
        </is>
      </c>
      <c r="B652" s="3" t="n">
        <v>46276</v>
      </c>
      <c r="C652" t="inlineStr">
        <is>
          <t>Factura</t>
        </is>
      </c>
      <c r="D652" t="inlineStr">
        <is>
          <t>SS01</t>
        </is>
      </c>
      <c r="E652" t="inlineStr">
        <is>
          <t>SAN SALVADOR CENTRO</t>
        </is>
      </c>
      <c r="F652" t="inlineStr">
        <is>
          <t>4a Calle Poniente #215</t>
        </is>
      </c>
      <c r="G652" t="inlineStr">
        <is>
          <t>San Salvador</t>
        </is>
      </c>
      <c r="H652" t="inlineStr">
        <is>
          <t>San Salvador</t>
        </is>
      </c>
      <c r="I652" t="inlineStr">
        <is>
          <t>Roberto Alfaro</t>
        </is>
      </c>
      <c r="J652" t="inlineStr">
        <is>
          <t>2221-4580</t>
        </is>
      </c>
      <c r="K652" t="inlineStr">
        <is>
          <t>José Martínez</t>
        </is>
      </c>
      <c r="L652" t="inlineStr">
        <is>
          <t>Sandra Rivera Pérez</t>
        </is>
      </c>
      <c r="M652" t="inlineStr">
        <is>
          <t>00391949-0</t>
        </is>
      </c>
      <c r="N652" t="inlineStr">
        <is>
          <t>6654-8845</t>
        </is>
      </c>
      <c r="O652" t="inlineStr">
        <is>
          <t>Consumidor final</t>
        </is>
      </c>
      <c r="P652" t="inlineStr">
        <is>
          <t>HIG-001</t>
        </is>
      </c>
      <c r="Q652" t="inlineStr">
        <is>
          <t>Detergente 1kg</t>
        </is>
      </c>
      <c r="R652" t="inlineStr">
        <is>
          <t>Limpieza</t>
        </is>
      </c>
      <c r="S652" t="inlineStr">
        <is>
          <t>Higiene Total C.A.</t>
        </is>
      </c>
      <c r="T652" t="inlineStr">
        <is>
          <t>2207-5566</t>
        </is>
      </c>
      <c r="U652" t="inlineStr">
        <is>
          <t>3,45</t>
        </is>
      </c>
      <c r="V652" t="n">
        <v>6</v>
      </c>
      <c r="W652" t="n">
        <v>0</v>
      </c>
      <c r="X652">
        <f>IFERROR(U652*V652*(1-W652/100),"")</f>
        <v/>
      </c>
      <c r="Y652">
        <f>IFERROR(ROUND(X652*0.13,2),"")</f>
        <v/>
      </c>
      <c r="Z652">
        <f>IFERROR(X652+Y652,"")</f>
        <v/>
      </c>
      <c r="AA652" t="inlineStr">
        <is>
          <t>Efectivo</t>
        </is>
      </c>
      <c r="AB652" t="inlineStr">
        <is>
          <t>Llamar al 7788-1234 antes de entregar</t>
        </is>
      </c>
    </row>
    <row r="653">
      <c r="A653" t="inlineStr">
        <is>
          <t>F-10987</t>
        </is>
      </c>
      <c r="B653" s="3" t="n">
        <v>46239</v>
      </c>
      <c r="C653" t="inlineStr">
        <is>
          <t>Factura</t>
        </is>
      </c>
      <c r="D653" t="inlineStr">
        <is>
          <t>SS01</t>
        </is>
      </c>
      <c r="E653" t="inlineStr">
        <is>
          <t>San Salvador Centro</t>
        </is>
      </c>
      <c r="F653" t="inlineStr">
        <is>
          <t>4a Calle Poniente #215</t>
        </is>
      </c>
      <c r="G653" t="inlineStr">
        <is>
          <t>San Salvador</t>
        </is>
      </c>
      <c r="H653" t="inlineStr">
        <is>
          <t>San Salvador</t>
        </is>
      </c>
      <c r="I653" t="inlineStr">
        <is>
          <t>Roberto Alfaro</t>
        </is>
      </c>
      <c r="J653" t="inlineStr">
        <is>
          <t>2221-4580</t>
        </is>
      </c>
      <c r="K653" t="inlineStr">
        <is>
          <t>José Martínez</t>
        </is>
      </c>
      <c r="L653" t="inlineStr">
        <is>
          <t>Xiomara Flores Rivera</t>
        </is>
      </c>
      <c r="M653" t="inlineStr">
        <is>
          <t>09919727-8</t>
        </is>
      </c>
      <c r="N653" t="inlineStr">
        <is>
          <t>2544-6511</t>
        </is>
      </c>
      <c r="O653" t="inlineStr">
        <is>
          <t>Consumidor final</t>
        </is>
      </c>
      <c r="P653" t="inlineStr">
        <is>
          <t>BEB-001</t>
        </is>
      </c>
      <c r="Q653" t="inlineStr">
        <is>
          <t>Gaseosa 2.5L</t>
        </is>
      </c>
      <c r="R653" t="inlineStr">
        <is>
          <t>bebidas</t>
        </is>
      </c>
      <c r="S653" t="inlineStr">
        <is>
          <t>Bebidas Izalco</t>
        </is>
      </c>
      <c r="T653" t="inlineStr">
        <is>
          <t>2450-7700</t>
        </is>
      </c>
      <c r="U653" t="n">
        <v>1.95</v>
      </c>
      <c r="V653" t="n">
        <v>1</v>
      </c>
      <c r="W653" t="n">
        <v>0</v>
      </c>
      <c r="X653">
        <f>IFERROR(U653*V653*(1-W653/100),"")</f>
        <v/>
      </c>
      <c r="Y653">
        <f>IFERROR(ROUND(X653*0.13,2),"")</f>
        <v/>
      </c>
      <c r="Z653">
        <f>IFERROR(X653+Y653,"")</f>
        <v/>
      </c>
      <c r="AA653" t="inlineStr">
        <is>
          <t>Transferencia</t>
        </is>
      </c>
      <c r="AB653" t="inlineStr"/>
    </row>
    <row r="654">
      <c r="A654" t="inlineStr">
        <is>
          <t>F-10987</t>
        </is>
      </c>
      <c r="B654" s="3" t="n">
        <v>46239</v>
      </c>
      <c r="C654" t="inlineStr">
        <is>
          <t>Factura</t>
        </is>
      </c>
      <c r="D654" t="inlineStr">
        <is>
          <t>SS01</t>
        </is>
      </c>
      <c r="E654" t="inlineStr">
        <is>
          <t xml:space="preserve">san salvador centro </t>
        </is>
      </c>
      <c r="F654" t="inlineStr">
        <is>
          <t>4a Calle Poniente #215</t>
        </is>
      </c>
      <c r="G654" t="inlineStr">
        <is>
          <t>San Salvador</t>
        </is>
      </c>
      <c r="H654" t="inlineStr">
        <is>
          <t>San Salvador</t>
        </is>
      </c>
      <c r="I654" t="inlineStr">
        <is>
          <t>Roberto Alfaro</t>
        </is>
      </c>
      <c r="J654" t="inlineStr">
        <is>
          <t>2221-4580</t>
        </is>
      </c>
      <c r="K654" t="inlineStr">
        <is>
          <t>José Martínez</t>
        </is>
      </c>
      <c r="L654" t="inlineStr">
        <is>
          <t>Xiomara Flores Rivera</t>
        </is>
      </c>
      <c r="M654" t="inlineStr">
        <is>
          <t>09919727-8</t>
        </is>
      </c>
      <c r="N654" t="inlineStr">
        <is>
          <t>2544-6511</t>
        </is>
      </c>
      <c r="O654" t="inlineStr">
        <is>
          <t>Consumidor final</t>
        </is>
      </c>
      <c r="P654" t="inlineStr">
        <is>
          <t>ARR-001</t>
        </is>
      </c>
      <c r="Q654" t="inlineStr">
        <is>
          <t>Arroz blanco 5lb</t>
        </is>
      </c>
      <c r="R654" t="inlineStr">
        <is>
          <t>Abarrotes</t>
        </is>
      </c>
      <c r="S654" t="inlineStr">
        <is>
          <t>Granos del Pacífico</t>
        </is>
      </c>
      <c r="T654" t="inlineStr">
        <is>
          <t>2234-8890</t>
        </is>
      </c>
      <c r="U654" t="n">
        <v>3.95</v>
      </c>
      <c r="V654" t="n">
        <v>24</v>
      </c>
      <c r="W654" t="n">
        <v>0</v>
      </c>
      <c r="X654">
        <f>IFERROR(U654*V654*(1-W654/100),"")</f>
        <v/>
      </c>
      <c r="Y654">
        <f>IFERROR(ROUND(X654*0.13,2),"")</f>
        <v/>
      </c>
      <c r="Z654">
        <f>IFERROR(X654+Y654,"")</f>
        <v/>
      </c>
      <c r="AA654" t="inlineStr">
        <is>
          <t>Transferencia</t>
        </is>
      </c>
      <c r="AB654" t="inlineStr">
        <is>
          <t>precio especial autorizado por gerente</t>
        </is>
      </c>
    </row>
    <row r="655">
      <c r="A655" t="inlineStr">
        <is>
          <t>F-10987</t>
        </is>
      </c>
      <c r="B655" s="3" t="n">
        <v>46239</v>
      </c>
      <c r="C655" t="inlineStr">
        <is>
          <t>Factura</t>
        </is>
      </c>
      <c r="D655" t="inlineStr">
        <is>
          <t>SS01</t>
        </is>
      </c>
      <c r="E655" t="inlineStr">
        <is>
          <t>S.S. Centro</t>
        </is>
      </c>
      <c r="F655" t="inlineStr">
        <is>
          <t>4a Calle Poniente #215</t>
        </is>
      </c>
      <c r="G655" t="inlineStr">
        <is>
          <t>San Salvador</t>
        </is>
      </c>
      <c r="H655" t="inlineStr">
        <is>
          <t>San Salvador</t>
        </is>
      </c>
      <c r="I655" t="inlineStr">
        <is>
          <t>Roberto Alfaro</t>
        </is>
      </c>
      <c r="J655" t="inlineStr">
        <is>
          <t>2221-4580</t>
        </is>
      </c>
      <c r="K655" t="inlineStr">
        <is>
          <t>José Martínez</t>
        </is>
      </c>
      <c r="L655" t="inlineStr">
        <is>
          <t>Xiomara Flores Rivera</t>
        </is>
      </c>
      <c r="M655" t="inlineStr">
        <is>
          <t>09919727-8</t>
        </is>
      </c>
      <c r="N655" t="inlineStr">
        <is>
          <t>2544-6511</t>
        </is>
      </c>
      <c r="O655" t="inlineStr">
        <is>
          <t>Consumidor final</t>
        </is>
      </c>
      <c r="P655" t="inlineStr">
        <is>
          <t>BEB-003</t>
        </is>
      </c>
      <c r="Q655" t="inlineStr">
        <is>
          <t>Horchata en polvo 400g</t>
        </is>
      </c>
      <c r="R655" t="inlineStr">
        <is>
          <t>Abarrotes</t>
        </is>
      </c>
      <c r="S655" t="inlineStr">
        <is>
          <t>Bebidas Izalco</t>
        </is>
      </c>
      <c r="T655" t="inlineStr">
        <is>
          <t>2450-7700</t>
        </is>
      </c>
      <c r="U655" t="inlineStr">
        <is>
          <t>2,60</t>
        </is>
      </c>
      <c r="V655" t="n">
        <v>2</v>
      </c>
      <c r="W655" t="n">
        <v>0</v>
      </c>
      <c r="X655">
        <f>IFERROR(U655*V655*(1-W655/100),"")</f>
        <v/>
      </c>
      <c r="Y655">
        <f>IFERROR(ROUND(X655*0.13,2),"")</f>
        <v/>
      </c>
      <c r="Z655">
        <f>IFERROR(X655+Y655,"")</f>
        <v/>
      </c>
      <c r="AA655" t="inlineStr">
        <is>
          <t>Transferencia</t>
        </is>
      </c>
      <c r="AB655" t="inlineStr"/>
    </row>
    <row r="656">
      <c r="A656" t="inlineStr">
        <is>
          <t>F-10987</t>
        </is>
      </c>
      <c r="B656" t="inlineStr">
        <is>
          <t>2026-08-05</t>
        </is>
      </c>
      <c r="C656" t="inlineStr">
        <is>
          <t>Factura</t>
        </is>
      </c>
      <c r="D656" t="inlineStr">
        <is>
          <t>SS01</t>
        </is>
      </c>
      <c r="E656" t="inlineStr">
        <is>
          <t xml:space="preserve">san salvador centro </t>
        </is>
      </c>
      <c r="F656" t="inlineStr">
        <is>
          <t>4a Calle Poniente #215</t>
        </is>
      </c>
      <c r="G656" t="inlineStr">
        <is>
          <t>San Salvador</t>
        </is>
      </c>
      <c r="H656" t="inlineStr">
        <is>
          <t>San Salvador</t>
        </is>
      </c>
      <c r="I656" t="inlineStr">
        <is>
          <t>Roberto Alfaro</t>
        </is>
      </c>
      <c r="J656" t="inlineStr">
        <is>
          <t>2221-4580</t>
        </is>
      </c>
      <c r="K656" t="inlineStr">
        <is>
          <t>José Martínez</t>
        </is>
      </c>
      <c r="L656" t="inlineStr">
        <is>
          <t>Xiomara Flores Rivera</t>
        </is>
      </c>
      <c r="M656" t="inlineStr">
        <is>
          <t>09919727-8</t>
        </is>
      </c>
      <c r="N656" t="inlineStr">
        <is>
          <t>2544-6511</t>
        </is>
      </c>
      <c r="O656" t="inlineStr">
        <is>
          <t>Consumidor final</t>
        </is>
      </c>
      <c r="P656" t="inlineStr">
        <is>
          <t>FRI-001</t>
        </is>
      </c>
      <c r="Q656" t="inlineStr">
        <is>
          <t>Frijol rojo de seda 2lb</t>
        </is>
      </c>
      <c r="R656" t="inlineStr">
        <is>
          <t>Abarrotes</t>
        </is>
      </c>
      <c r="S656" t="inlineStr">
        <is>
          <t>Granos del Pacífico</t>
        </is>
      </c>
      <c r="T656" t="inlineStr">
        <is>
          <t>2234-8890</t>
        </is>
      </c>
      <c r="U656" t="n">
        <v>2.4</v>
      </c>
      <c r="V656" t="n">
        <v>1</v>
      </c>
      <c r="W656" t="n">
        <v>0</v>
      </c>
      <c r="X656">
        <f>IFERROR(U656*V656*(1-W656/100),"")</f>
        <v/>
      </c>
      <c r="Y656">
        <f>IFERROR(ROUND(X656*0.13,2),"")</f>
        <v/>
      </c>
      <c r="Z656">
        <f>IFERROR(X656+Y656,"")</f>
        <v/>
      </c>
      <c r="AA656" t="inlineStr">
        <is>
          <t>Transferencia</t>
        </is>
      </c>
      <c r="AB656" t="inlineStr"/>
    </row>
    <row r="657">
      <c r="A657" t="inlineStr">
        <is>
          <t>F-10989</t>
        </is>
      </c>
      <c r="B657" s="3" t="n">
        <v>46278</v>
      </c>
      <c r="C657" t="inlineStr">
        <is>
          <t>Factura</t>
        </is>
      </c>
      <c r="D657" t="inlineStr">
        <is>
          <t>SS03</t>
        </is>
      </c>
      <c r="E657" t="inlineStr">
        <is>
          <t>soyapango</t>
        </is>
      </c>
      <c r="F657" t="inlineStr">
        <is>
          <t>Blvd. del Ejército km 4</t>
        </is>
      </c>
      <c r="G657" t="inlineStr">
        <is>
          <t>Soyapango</t>
        </is>
      </c>
      <c r="H657" t="inlineStr">
        <is>
          <t>San Salvador</t>
        </is>
      </c>
      <c r="I657" t="inlineStr">
        <is>
          <t>Karla Henríquez</t>
        </is>
      </c>
      <c r="J657" t="inlineStr">
        <is>
          <t>2277-3402</t>
        </is>
      </c>
      <c r="K657" t="inlineStr">
        <is>
          <t>Marta Gómez</t>
        </is>
      </c>
      <c r="L657" t="inlineStr">
        <is>
          <t>Xiomara Hernández Quintanilla</t>
        </is>
      </c>
      <c r="M657" t="inlineStr">
        <is>
          <t>06385104-8</t>
        </is>
      </c>
      <c r="N657" t="inlineStr">
        <is>
          <t>7931-3589</t>
        </is>
      </c>
      <c r="O657" t="inlineStr">
        <is>
          <t>Consumidor final</t>
        </is>
      </c>
      <c r="P657" t="inlineStr">
        <is>
          <t>BEB-002</t>
        </is>
      </c>
      <c r="Q657" t="inlineStr">
        <is>
          <t>Agua purificada 1 galón</t>
        </is>
      </c>
      <c r="R657" t="inlineStr">
        <is>
          <t>Bebidas</t>
        </is>
      </c>
      <c r="S657" t="inlineStr">
        <is>
          <t>Bebidas Izalco</t>
        </is>
      </c>
      <c r="T657" t="inlineStr">
        <is>
          <t>2450-7700</t>
        </is>
      </c>
      <c r="U657" t="inlineStr">
        <is>
          <t>$1.10</t>
        </is>
      </c>
      <c r="V657" t="n">
        <v>2</v>
      </c>
      <c r="W657" t="n">
        <v>0</v>
      </c>
      <c r="X657">
        <f>IFERROR(U657*V657*(1-W657/100),"")</f>
        <v/>
      </c>
      <c r="Y657">
        <f>IFERROR(ROUND(X657*0.13,2),"")</f>
        <v/>
      </c>
      <c r="Z657">
        <f>IFERROR(X657+Y657,"")</f>
        <v/>
      </c>
      <c r="AA657" t="inlineStr">
        <is>
          <t>Efectivo</t>
        </is>
      </c>
      <c r="AB657" t="inlineStr">
        <is>
          <t>Llamar al 7788-1234 antes de entregar</t>
        </is>
      </c>
    </row>
    <row r="658">
      <c r="A658" t="inlineStr">
        <is>
          <t>F-10989</t>
        </is>
      </c>
      <c r="B658" s="3" t="n">
        <v>46278</v>
      </c>
      <c r="C658" t="inlineStr">
        <is>
          <t>Factura</t>
        </is>
      </c>
      <c r="D658" t="inlineStr">
        <is>
          <t>SS03</t>
        </is>
      </c>
      <c r="E658" t="inlineStr">
        <is>
          <t>Soyapango</t>
        </is>
      </c>
      <c r="F658" t="inlineStr">
        <is>
          <t>Blvd. del Ejército km 4</t>
        </is>
      </c>
      <c r="G658" t="inlineStr">
        <is>
          <t>Soyapango</t>
        </is>
      </c>
      <c r="H658" t="inlineStr">
        <is>
          <t>San Salvador</t>
        </is>
      </c>
      <c r="I658" t="inlineStr">
        <is>
          <t>Karla Henríquez</t>
        </is>
      </c>
      <c r="J658" t="inlineStr">
        <is>
          <t>2277-3402</t>
        </is>
      </c>
      <c r="K658" t="inlineStr">
        <is>
          <t>Marta Gómez</t>
        </is>
      </c>
      <c r="L658" t="inlineStr">
        <is>
          <t>Xiomara Hernández Quintanilla</t>
        </is>
      </c>
      <c r="M658" t="inlineStr">
        <is>
          <t>06385104-8</t>
        </is>
      </c>
      <c r="N658" t="inlineStr">
        <is>
          <t>7931-3589</t>
        </is>
      </c>
      <c r="O658" t="inlineStr">
        <is>
          <t>Consumidor final</t>
        </is>
      </c>
      <c r="P658" t="inlineStr">
        <is>
          <t>HIG-001</t>
        </is>
      </c>
      <c r="Q658" t="inlineStr">
        <is>
          <t>Detergente 1kg</t>
        </is>
      </c>
      <c r="R658" t="inlineStr">
        <is>
          <t>Higiene</t>
        </is>
      </c>
      <c r="S658" t="inlineStr">
        <is>
          <t>Higiene Total C.A.</t>
        </is>
      </c>
      <c r="T658" t="inlineStr">
        <is>
          <t>2207-5566</t>
        </is>
      </c>
      <c r="U658" t="n">
        <v>3.45</v>
      </c>
      <c r="V658" t="n">
        <v>4</v>
      </c>
      <c r="W658" t="n">
        <v>0</v>
      </c>
      <c r="X658">
        <f>IFERROR(U658*V658*(1-W658/100),"")</f>
        <v/>
      </c>
      <c r="Y658">
        <f>IFERROR(ROUND(X658*0.13,2),"")</f>
        <v/>
      </c>
      <c r="Z658">
        <f>IFERROR(X658+Y658,"")</f>
        <v/>
      </c>
      <c r="AA658" t="inlineStr">
        <is>
          <t>Efectivo</t>
        </is>
      </c>
      <c r="AB658" t="inlineStr">
        <is>
          <t>precio especial autorizado por gerente</t>
        </is>
      </c>
    </row>
    <row r="659">
      <c r="A659" t="inlineStr">
        <is>
          <t>F-10989</t>
        </is>
      </c>
      <c r="B659" s="3" t="n">
        <v>46278</v>
      </c>
      <c r="C659" t="inlineStr">
        <is>
          <t>Factura</t>
        </is>
      </c>
      <c r="D659" t="inlineStr">
        <is>
          <t>SS03</t>
        </is>
      </c>
      <c r="E659" t="inlineStr">
        <is>
          <t xml:space="preserve">SOYAPANGO </t>
        </is>
      </c>
      <c r="F659" t="inlineStr">
        <is>
          <t>Blvd. del Ejército km 4</t>
        </is>
      </c>
      <c r="G659" t="inlineStr">
        <is>
          <t>Soyapango</t>
        </is>
      </c>
      <c r="H659" t="inlineStr">
        <is>
          <t>San Salvador</t>
        </is>
      </c>
      <c r="I659" t="inlineStr">
        <is>
          <t>Karla Henríquez</t>
        </is>
      </c>
      <c r="J659" t="inlineStr">
        <is>
          <t>2277-3402</t>
        </is>
      </c>
      <c r="K659" t="inlineStr">
        <is>
          <t>Marta Gómez</t>
        </is>
      </c>
      <c r="L659" t="inlineStr">
        <is>
          <t>Xiomara Hernández Quintanilla</t>
        </is>
      </c>
      <c r="M659" t="inlineStr">
        <is>
          <t>06385104-8</t>
        </is>
      </c>
      <c r="N659" t="inlineStr">
        <is>
          <t>7931-3589</t>
        </is>
      </c>
      <c r="O659" t="inlineStr">
        <is>
          <t>Consumidor final</t>
        </is>
      </c>
      <c r="P659" t="inlineStr">
        <is>
          <t>AZU-001</t>
        </is>
      </c>
      <c r="Q659" t="inlineStr">
        <is>
          <t>Azúcar blanca 2.5kg</t>
        </is>
      </c>
      <c r="R659" t="inlineStr">
        <is>
          <t>Abarrotes</t>
        </is>
      </c>
      <c r="S659" t="inlineStr">
        <is>
          <t>Granos del Pacífico</t>
        </is>
      </c>
      <c r="T659" t="inlineStr">
        <is>
          <t>2234-8890</t>
        </is>
      </c>
      <c r="U659" t="n">
        <v>3.1</v>
      </c>
      <c r="V659" t="n">
        <v>6</v>
      </c>
      <c r="W659" t="n">
        <v>0</v>
      </c>
      <c r="X659">
        <f>IFERROR(U659*V659*(1-W659/100),"")</f>
        <v/>
      </c>
      <c r="Y659">
        <f>IFERROR(ROUND(X659*0.13,2),"")</f>
        <v/>
      </c>
      <c r="Z659">
        <f>IFERROR(X659+Y659,"")</f>
        <v/>
      </c>
      <c r="AA659" t="inlineStr">
        <is>
          <t>Efectivo</t>
        </is>
      </c>
      <c r="AB659" t="inlineStr">
        <is>
          <t>pagó con billete de $100</t>
        </is>
      </c>
    </row>
    <row r="660">
      <c r="A660" t="inlineStr">
        <is>
          <t>F-10989</t>
        </is>
      </c>
      <c r="B660" s="3" t="n">
        <v>46278</v>
      </c>
      <c r="C660" t="inlineStr">
        <is>
          <t>Factura</t>
        </is>
      </c>
      <c r="D660" t="inlineStr">
        <is>
          <t>SS03</t>
        </is>
      </c>
      <c r="E660" t="inlineStr">
        <is>
          <t>soyapango</t>
        </is>
      </c>
      <c r="F660" t="inlineStr">
        <is>
          <t>Blvd. del Ejército km 4</t>
        </is>
      </c>
      <c r="G660" t="inlineStr">
        <is>
          <t>Soyapango</t>
        </is>
      </c>
      <c r="H660" t="inlineStr">
        <is>
          <t>San Salvador</t>
        </is>
      </c>
      <c r="I660" t="inlineStr">
        <is>
          <t>Karla Henríquez</t>
        </is>
      </c>
      <c r="J660" t="inlineStr">
        <is>
          <t>2277-3402</t>
        </is>
      </c>
      <c r="K660" t="inlineStr">
        <is>
          <t>Marta Gómez</t>
        </is>
      </c>
      <c r="L660" t="inlineStr">
        <is>
          <t>Xiomara Hernández Quintanilla</t>
        </is>
      </c>
      <c r="M660" t="inlineStr">
        <is>
          <t>06385104-8</t>
        </is>
      </c>
      <c r="N660" t="inlineStr">
        <is>
          <t>7931-3589</t>
        </is>
      </c>
      <c r="O660" t="inlineStr">
        <is>
          <t>Consumidor final</t>
        </is>
      </c>
      <c r="P660" t="inlineStr">
        <is>
          <t>PAN-003</t>
        </is>
      </c>
      <c r="Q660" t="inlineStr">
        <is>
          <t>Quesadilla salvadoreña</t>
        </is>
      </c>
      <c r="R660" t="inlineStr">
        <is>
          <t>PANADERIA</t>
        </is>
      </c>
      <c r="S660" t="inlineStr">
        <is>
          <t>Panificadora Ilopango</t>
        </is>
      </c>
      <c r="T660" t="inlineStr">
        <is>
          <t>2295-0081</t>
        </is>
      </c>
      <c r="U660" t="n">
        <v>2.5</v>
      </c>
      <c r="V660" t="n">
        <v>6</v>
      </c>
      <c r="W660" t="n">
        <v>0</v>
      </c>
      <c r="X660">
        <f>IFERROR(U660*V660*(1-W660/100),"")</f>
        <v/>
      </c>
      <c r="Y660">
        <f>IFERROR(ROUND(X660*0.13,2),"")</f>
        <v/>
      </c>
      <c r="Z660">
        <f>IFERROR(X660+Y660,"")</f>
        <v/>
      </c>
      <c r="AA660" t="inlineStr">
        <is>
          <t>Efectivo</t>
        </is>
      </c>
      <c r="AB660" t="inlineStr"/>
    </row>
    <row r="661">
      <c r="A661" t="inlineStr">
        <is>
          <t>F-10992</t>
        </is>
      </c>
      <c r="B661" s="3" t="n">
        <v>46211</v>
      </c>
      <c r="C661" t="inlineStr">
        <is>
          <t>Factura</t>
        </is>
      </c>
      <c r="D661" t="inlineStr">
        <is>
          <t>SS01</t>
        </is>
      </c>
      <c r="E661" t="inlineStr">
        <is>
          <t xml:space="preserve">san salvador centro </t>
        </is>
      </c>
      <c r="F661" t="inlineStr">
        <is>
          <t>4a Calle Poniente #215</t>
        </is>
      </c>
      <c r="G661" t="inlineStr">
        <is>
          <t>San Salvador</t>
        </is>
      </c>
      <c r="H661" t="inlineStr">
        <is>
          <t>San Salvador</t>
        </is>
      </c>
      <c r="I661" t="inlineStr">
        <is>
          <t>Roberto Alfaro</t>
        </is>
      </c>
      <c r="J661" t="inlineStr">
        <is>
          <t>2221-4580</t>
        </is>
      </c>
      <c r="K661" t="inlineStr">
        <is>
          <t>Daniela Orellana</t>
        </is>
      </c>
      <c r="L661" t="inlineStr">
        <is>
          <t>Ana Hernández Rivera</t>
        </is>
      </c>
      <c r="M661" t="inlineStr">
        <is>
          <t>07687780-8</t>
        </is>
      </c>
      <c r="N661" t="inlineStr">
        <is>
          <t>6468-4274</t>
        </is>
      </c>
      <c r="O661" t="inlineStr">
        <is>
          <t>Consumidor final</t>
        </is>
      </c>
      <c r="P661" t="inlineStr">
        <is>
          <t>CAF-002</t>
        </is>
      </c>
      <c r="Q661" t="inlineStr">
        <is>
          <t>Café en grano 1lb</t>
        </is>
      </c>
      <c r="R661" t="inlineStr">
        <is>
          <t>Abarrotes</t>
        </is>
      </c>
      <c r="S661" t="inlineStr">
        <is>
          <t>Café Volcán S.A.</t>
        </is>
      </c>
      <c r="T661" t="inlineStr">
        <is>
          <t>2510-3344</t>
        </is>
      </c>
      <c r="U661" t="n">
        <v>6.75</v>
      </c>
      <c r="V661" t="n">
        <v>24</v>
      </c>
      <c r="W661" t="n">
        <v>0</v>
      </c>
      <c r="X661">
        <f>IFERROR(U661*V661*(1-W661/100),"")</f>
        <v/>
      </c>
      <c r="Y661">
        <f>IFERROR(ROUND(X661*0.13,2),"")</f>
        <v/>
      </c>
      <c r="Z661">
        <f>IFERROR(X661+Y661,"")</f>
        <v/>
      </c>
      <c r="AA661" t="inlineStr">
        <is>
          <t>Efectivo</t>
        </is>
      </c>
      <c r="AB661" t="inlineStr"/>
    </row>
    <row r="662">
      <c r="A662" t="inlineStr">
        <is>
          <t>F-10992</t>
        </is>
      </c>
      <c r="B662" s="3" t="n">
        <v>46211</v>
      </c>
      <c r="C662" t="inlineStr">
        <is>
          <t>Factura</t>
        </is>
      </c>
      <c r="D662" t="inlineStr">
        <is>
          <t>SS01</t>
        </is>
      </c>
      <c r="E662" t="inlineStr">
        <is>
          <t>San Salvador Centro</t>
        </is>
      </c>
      <c r="F662" t="inlineStr">
        <is>
          <t>4a Calle Poniente #215</t>
        </is>
      </c>
      <c r="G662" t="inlineStr">
        <is>
          <t>San Salvador</t>
        </is>
      </c>
      <c r="H662" t="inlineStr">
        <is>
          <t>San Salvador</t>
        </is>
      </c>
      <c r="I662" t="inlineStr">
        <is>
          <t>Roberto Alfaro</t>
        </is>
      </c>
      <c r="J662" t="inlineStr">
        <is>
          <t>2221-4580</t>
        </is>
      </c>
      <c r="K662" t="inlineStr">
        <is>
          <t>Daniela Orellana</t>
        </is>
      </c>
      <c r="L662" t="inlineStr">
        <is>
          <t>Ana Hernández Rivera</t>
        </is>
      </c>
      <c r="M662" t="inlineStr">
        <is>
          <t>07687780-8</t>
        </is>
      </c>
      <c r="N662" t="inlineStr">
        <is>
          <t>6468-4274</t>
        </is>
      </c>
      <c r="O662" t="inlineStr">
        <is>
          <t>Consumidor final</t>
        </is>
      </c>
      <c r="P662" t="inlineStr">
        <is>
          <t>PAN-001</t>
        </is>
      </c>
      <c r="Q662" t="inlineStr">
        <is>
          <t>Pan francés bolsa 10u</t>
        </is>
      </c>
      <c r="R662" t="inlineStr">
        <is>
          <t>Panaderia</t>
        </is>
      </c>
      <c r="S662" t="inlineStr">
        <is>
          <t>Panificadora Ilopango</t>
        </is>
      </c>
      <c r="T662" t="inlineStr">
        <is>
          <t>2295-0081</t>
        </is>
      </c>
      <c r="U662" t="n">
        <v>1</v>
      </c>
      <c r="V662" t="n">
        <v>1</v>
      </c>
      <c r="W662" t="n">
        <v>0</v>
      </c>
      <c r="X662">
        <f>IFERROR(U662*V662*(1-W662/100),"")</f>
        <v/>
      </c>
      <c r="Y662">
        <f>IFERROR(ROUND(X662*0.13,2),"")</f>
        <v/>
      </c>
      <c r="Z662">
        <f>IFERROR(X662+Y662,"")</f>
        <v/>
      </c>
      <c r="AA662" t="inlineStr">
        <is>
          <t>Efectivo</t>
        </is>
      </c>
      <c r="AB662" t="inlineStr">
        <is>
          <t>precio especial autorizado por gerente</t>
        </is>
      </c>
    </row>
    <row r="663">
      <c r="A663" t="inlineStr">
        <is>
          <t>F-10993</t>
        </is>
      </c>
      <c r="B663" s="3" t="n">
        <v>46292</v>
      </c>
      <c r="C663" t="inlineStr">
        <is>
          <t>Factura</t>
        </is>
      </c>
      <c r="D663" t="inlineStr">
        <is>
          <t>SM01</t>
        </is>
      </c>
      <c r="E663" t="inlineStr">
        <is>
          <t>SAN MIGUEL</t>
        </is>
      </c>
      <c r="F663" t="inlineStr">
        <is>
          <t>Av. Roosevelt Sur #7</t>
        </is>
      </c>
      <c r="G663" t="inlineStr">
        <is>
          <t>San Miguel</t>
        </is>
      </c>
      <c r="H663" t="inlineStr">
        <is>
          <t>San Miguel</t>
        </is>
      </c>
      <c r="I663" t="inlineStr">
        <is>
          <t>Iris Portillo</t>
        </is>
      </c>
      <c r="J663" t="inlineStr">
        <is>
          <t>2661-5076</t>
        </is>
      </c>
      <c r="K663" t="inlineStr">
        <is>
          <t>Jorge Villalta</t>
        </is>
      </c>
      <c r="L663" t="inlineStr">
        <is>
          <t>Mario Castillo Lemus</t>
        </is>
      </c>
      <c r="M663" t="inlineStr">
        <is>
          <t>01650441-7</t>
        </is>
      </c>
      <c r="N663" t="inlineStr">
        <is>
          <t>7833-9440</t>
        </is>
      </c>
      <c r="O663" t="inlineStr">
        <is>
          <t>Consumidor final</t>
        </is>
      </c>
      <c r="P663" t="inlineStr">
        <is>
          <t>CAF-001</t>
        </is>
      </c>
      <c r="Q663" t="inlineStr">
        <is>
          <t>Café molido 400g</t>
        </is>
      </c>
      <c r="R663" t="inlineStr">
        <is>
          <t>Abarrotes</t>
        </is>
      </c>
      <c r="S663" t="inlineStr">
        <is>
          <t>Café Volcán S.A.</t>
        </is>
      </c>
      <c r="T663" t="inlineStr">
        <is>
          <t>2510-3344</t>
        </is>
      </c>
      <c r="U663" t="n">
        <v>4.5</v>
      </c>
      <c r="V663" t="n">
        <v>2</v>
      </c>
      <c r="W663" t="n">
        <v>0</v>
      </c>
      <c r="X663">
        <f>IFERROR(U663*V663*(1-W663/100),"")</f>
        <v/>
      </c>
      <c r="Y663">
        <f>IFERROR(ROUND(X663*0.13,2),"")</f>
        <v/>
      </c>
      <c r="Z663">
        <f>IFERROR(X663+Y663,"")</f>
        <v/>
      </c>
      <c r="AA663" t="inlineStr">
        <is>
          <t>Tarjeta</t>
        </is>
      </c>
      <c r="AB663" t="inlineStr"/>
    </row>
    <row r="664">
      <c r="A664" t="inlineStr">
        <is>
          <t>F-10994</t>
        </is>
      </c>
      <c r="B664" s="3" t="n">
        <v>46261</v>
      </c>
      <c r="C664" t="inlineStr">
        <is>
          <t>CCF</t>
        </is>
      </c>
      <c r="D664" t="inlineStr">
        <is>
          <t>SS01</t>
        </is>
      </c>
      <c r="E664" t="inlineStr">
        <is>
          <t>S.S. Centro</t>
        </is>
      </c>
      <c r="F664" t="inlineStr">
        <is>
          <t>4a Calle Poniente #215</t>
        </is>
      </c>
      <c r="G664" t="inlineStr">
        <is>
          <t>San Salvador</t>
        </is>
      </c>
      <c r="H664" t="inlineStr">
        <is>
          <t>San Salvador</t>
        </is>
      </c>
      <c r="I664" t="inlineStr">
        <is>
          <t>Roberto Alfaro</t>
        </is>
      </c>
      <c r="J664" t="inlineStr">
        <is>
          <t>2221-4580</t>
        </is>
      </c>
      <c r="K664" t="inlineStr">
        <is>
          <t>José Martínez</t>
        </is>
      </c>
      <c r="L664" t="inlineStr">
        <is>
          <t>Comedor Doña Tere</t>
        </is>
      </c>
      <c r="M664" t="inlineStr">
        <is>
          <t>197287-2</t>
        </is>
      </c>
      <c r="N664" t="inlineStr">
        <is>
          <t>6654-5678</t>
        </is>
      </c>
      <c r="O664" t="inlineStr">
        <is>
          <t>Contribuyente</t>
        </is>
      </c>
      <c r="P664" t="inlineStr">
        <is>
          <t>AZU-001</t>
        </is>
      </c>
      <c r="Q664" t="inlineStr">
        <is>
          <t>Azúcar blanca 2.5kg</t>
        </is>
      </c>
      <c r="R664" t="inlineStr">
        <is>
          <t>Abarrotes</t>
        </is>
      </c>
      <c r="S664" t="inlineStr">
        <is>
          <t>Granos del Pacífico</t>
        </is>
      </c>
      <c r="T664" t="inlineStr">
        <is>
          <t>2234-8890</t>
        </is>
      </c>
      <c r="U664" t="n">
        <v>3.1</v>
      </c>
      <c r="V664" t="n">
        <v>24</v>
      </c>
      <c r="W664" t="n">
        <v>0</v>
      </c>
      <c r="X664">
        <f>IFERROR(U664*V664*(1-W664/100),"")</f>
        <v/>
      </c>
      <c r="Y664">
        <f>IFERROR(ROUND(X664*0.13,2),"")</f>
        <v/>
      </c>
      <c r="Z664">
        <f>IFERROR(X664+Y664,"")</f>
        <v/>
      </c>
      <c r="AA664" t="inlineStr">
        <is>
          <t>Transferencia</t>
        </is>
      </c>
      <c r="AB664" t="inlineStr">
        <is>
          <t>precio especial autorizado por gerente</t>
        </is>
      </c>
    </row>
    <row r="665">
      <c r="A665" t="inlineStr">
        <is>
          <t>F-10994</t>
        </is>
      </c>
      <c r="B665" s="3" t="n">
        <v>46261</v>
      </c>
      <c r="C665" t="inlineStr">
        <is>
          <t>CCF</t>
        </is>
      </c>
      <c r="D665" t="inlineStr">
        <is>
          <t>SS01</t>
        </is>
      </c>
      <c r="E665" t="inlineStr">
        <is>
          <t>San Salvador Centro</t>
        </is>
      </c>
      <c r="F665" t="inlineStr">
        <is>
          <t>4a Calle Poniente #215</t>
        </is>
      </c>
      <c r="G665" t="inlineStr">
        <is>
          <t>San Salvador</t>
        </is>
      </c>
      <c r="H665" t="inlineStr">
        <is>
          <t>San Salvador</t>
        </is>
      </c>
      <c r="I665" t="inlineStr">
        <is>
          <t>Roberto Alfaro</t>
        </is>
      </c>
      <c r="J665" t="inlineStr">
        <is>
          <t>2221-4580</t>
        </is>
      </c>
      <c r="K665" t="inlineStr">
        <is>
          <t>José Martínez</t>
        </is>
      </c>
      <c r="L665" t="inlineStr">
        <is>
          <t>Comedor Doña Tere</t>
        </is>
      </c>
      <c r="M665" t="inlineStr">
        <is>
          <t>197287-2</t>
        </is>
      </c>
      <c r="N665" t="inlineStr">
        <is>
          <t>6654-5678</t>
        </is>
      </c>
      <c r="O665" t="inlineStr">
        <is>
          <t>Contribuyente</t>
        </is>
      </c>
      <c r="P665" t="inlineStr">
        <is>
          <t>BEB-001</t>
        </is>
      </c>
      <c r="Q665" t="inlineStr">
        <is>
          <t>Gaseosa 2.5L</t>
        </is>
      </c>
      <c r="R665" t="inlineStr">
        <is>
          <t>bebidas</t>
        </is>
      </c>
      <c r="S665" t="inlineStr">
        <is>
          <t>Bebidas Izalco</t>
        </is>
      </c>
      <c r="T665" t="inlineStr">
        <is>
          <t>2450-7700</t>
        </is>
      </c>
      <c r="U665" t="n">
        <v>1.95</v>
      </c>
      <c r="V665" t="n">
        <v>12</v>
      </c>
      <c r="W665" t="n">
        <v>0</v>
      </c>
      <c r="X665">
        <f>IFERROR(U665*V665*(1-W665/100),"")</f>
        <v/>
      </c>
      <c r="Y665">
        <f>IFERROR(ROUND(X665*0.13,2),"")</f>
        <v/>
      </c>
      <c r="Z665">
        <f>IFERROR(X665+Y665,"")</f>
        <v/>
      </c>
      <c r="AA665" t="inlineStr">
        <is>
          <t>Transferencia</t>
        </is>
      </c>
      <c r="AB665" t="inlineStr">
        <is>
          <t>entregar en bodega</t>
        </is>
      </c>
    </row>
    <row r="666">
      <c r="A666" t="inlineStr">
        <is>
          <t>F-10997</t>
        </is>
      </c>
      <c r="B666" s="3" t="n">
        <v>46244</v>
      </c>
      <c r="C666" t="inlineStr">
        <is>
          <t>FCF</t>
        </is>
      </c>
      <c r="D666" t="inlineStr">
        <is>
          <t>SO01</t>
        </is>
      </c>
      <c r="E666" t="inlineStr">
        <is>
          <t>SONSONATE</t>
        </is>
      </c>
      <c r="F666" t="inlineStr">
        <is>
          <t>Calle Obispo Marroquín #3</t>
        </is>
      </c>
      <c r="G666" t="inlineStr">
        <is>
          <t>Sonsonate</t>
        </is>
      </c>
      <c r="H666" t="inlineStr">
        <is>
          <t>Sonsonate</t>
        </is>
      </c>
      <c r="I666" t="inlineStr">
        <is>
          <t>Ernesto Chávez</t>
        </is>
      </c>
      <c r="J666" t="inlineStr">
        <is>
          <t>2451-2288</t>
        </is>
      </c>
      <c r="K666" t="inlineStr">
        <is>
          <t>Ricardo Funes</t>
        </is>
      </c>
      <c r="L666" t="inlineStr">
        <is>
          <t>Carlos Mejía García</t>
        </is>
      </c>
      <c r="M666" t="inlineStr">
        <is>
          <t>07315753-2</t>
        </is>
      </c>
      <c r="N666" t="inlineStr">
        <is>
          <t>2800-1990</t>
        </is>
      </c>
      <c r="O666" t="inlineStr">
        <is>
          <t>Consumidor final</t>
        </is>
      </c>
      <c r="P666" t="inlineStr">
        <is>
          <t>LAC-002</t>
        </is>
      </c>
      <c r="Q666" t="inlineStr">
        <is>
          <t>Crema 500ml</t>
        </is>
      </c>
      <c r="R666" t="inlineStr">
        <is>
          <t>Lacteos</t>
        </is>
      </c>
      <c r="S666" t="inlineStr">
        <is>
          <t>Lácteos Chalate</t>
        </is>
      </c>
      <c r="T666" t="inlineStr">
        <is>
          <t>2335-1020</t>
        </is>
      </c>
      <c r="U666" t="n">
        <v>2.25</v>
      </c>
      <c r="V666" t="n">
        <v>24</v>
      </c>
      <c r="W666" t="n">
        <v>0</v>
      </c>
      <c r="X666">
        <f>IFERROR(U666*V666*(1-W666/100),"")</f>
        <v/>
      </c>
      <c r="Y666">
        <f>IFERROR(ROUND(X666*0.13,2),"")</f>
        <v/>
      </c>
      <c r="Z666">
        <f>IFERROR(X666+Y666,"")</f>
        <v/>
      </c>
      <c r="AA666" t="inlineStr">
        <is>
          <t>Efectivo</t>
        </is>
      </c>
      <c r="AB666" t="inlineStr"/>
    </row>
    <row r="667">
      <c r="A667" t="inlineStr">
        <is>
          <t>F-10997</t>
        </is>
      </c>
      <c r="B667" t="inlineStr">
        <is>
          <t>10/08/2026</t>
        </is>
      </c>
      <c r="C667" t="inlineStr">
        <is>
          <t>FCF</t>
        </is>
      </c>
      <c r="D667" t="inlineStr">
        <is>
          <t>SO01</t>
        </is>
      </c>
      <c r="E667" t="inlineStr">
        <is>
          <t>Sonsonate</t>
        </is>
      </c>
      <c r="F667" t="inlineStr">
        <is>
          <t>Calle Obispo Marroquín #3</t>
        </is>
      </c>
      <c r="G667" t="inlineStr">
        <is>
          <t>Sonsonate</t>
        </is>
      </c>
      <c r="H667" t="inlineStr">
        <is>
          <t>Sonsonate</t>
        </is>
      </c>
      <c r="I667" t="inlineStr">
        <is>
          <t>Ernesto Chávez</t>
        </is>
      </c>
      <c r="J667" t="inlineStr">
        <is>
          <t>2451-2288</t>
        </is>
      </c>
      <c r="K667" t="inlineStr">
        <is>
          <t>Ricardo Funes</t>
        </is>
      </c>
      <c r="L667" t="inlineStr">
        <is>
          <t>Carlos Mejía García</t>
        </is>
      </c>
      <c r="M667" t="inlineStr">
        <is>
          <t>07315753-2</t>
        </is>
      </c>
      <c r="N667" t="inlineStr">
        <is>
          <t>2800-1990</t>
        </is>
      </c>
      <c r="O667" t="inlineStr">
        <is>
          <t>Consumidor final</t>
        </is>
      </c>
      <c r="P667" t="inlineStr">
        <is>
          <t>FRI-001</t>
        </is>
      </c>
      <c r="Q667" t="inlineStr">
        <is>
          <t>Frijol rojo de seda 2lb</t>
        </is>
      </c>
      <c r="R667" t="inlineStr">
        <is>
          <t>Abarrotes</t>
        </is>
      </c>
      <c r="S667" t="inlineStr">
        <is>
          <t>Granos del Pacífico</t>
        </is>
      </c>
      <c r="T667" t="inlineStr">
        <is>
          <t>2234-8890</t>
        </is>
      </c>
      <c r="U667" t="n">
        <v>2.4</v>
      </c>
      <c r="V667" t="n">
        <v>12</v>
      </c>
      <c r="W667" t="n">
        <v>0</v>
      </c>
      <c r="X667">
        <f>IFERROR(U667*V667*(1-W667/100),"")</f>
        <v/>
      </c>
      <c r="Y667">
        <f>IFERROR(ROUND(X667*0.13,2),"")</f>
        <v/>
      </c>
      <c r="Z667">
        <f>IFERROR(X667+Y667,"")</f>
        <v/>
      </c>
      <c r="AA667" t="inlineStr">
        <is>
          <t>Efectivo</t>
        </is>
      </c>
      <c r="AB667" t="inlineStr">
        <is>
          <t>pagó con billete de $100</t>
        </is>
      </c>
    </row>
    <row r="668">
      <c r="A668" t="inlineStr">
        <is>
          <t>F-10998</t>
        </is>
      </c>
      <c r="B668" t="inlineStr">
        <is>
          <t>12/07/2026</t>
        </is>
      </c>
      <c r="C668" t="inlineStr">
        <is>
          <t>Factura</t>
        </is>
      </c>
      <c r="D668" t="inlineStr">
        <is>
          <t>SS02</t>
        </is>
      </c>
      <c r="E668" t="inlineStr">
        <is>
          <t>Escalon</t>
        </is>
      </c>
      <c r="F668" t="inlineStr">
        <is>
          <t>Paseo General Escalón #3910</t>
        </is>
      </c>
      <c r="G668" t="inlineStr">
        <is>
          <t>San Salvador</t>
        </is>
      </c>
      <c r="H668" t="inlineStr">
        <is>
          <t>San Salvador</t>
        </is>
      </c>
      <c r="I668" t="inlineStr">
        <is>
          <t>Claudia Menjívar</t>
        </is>
      </c>
      <c r="J668" t="inlineStr">
        <is>
          <t>2264-1190</t>
        </is>
      </c>
      <c r="K668" t="inlineStr">
        <is>
          <t>Fátima Rosales</t>
        </is>
      </c>
      <c r="L668" t="inlineStr">
        <is>
          <t>Carmen Quintanilla Mejía</t>
        </is>
      </c>
      <c r="M668" t="inlineStr">
        <is>
          <t>05832730-5</t>
        </is>
      </c>
      <c r="N668" t="inlineStr">
        <is>
          <t>6863-9414</t>
        </is>
      </c>
      <c r="O668" t="inlineStr">
        <is>
          <t>Consumidor final</t>
        </is>
      </c>
      <c r="P668" t="inlineStr">
        <is>
          <t>CAF-002</t>
        </is>
      </c>
      <c r="Q668" t="inlineStr">
        <is>
          <t>Café en grano 1lb</t>
        </is>
      </c>
      <c r="R668" t="inlineStr">
        <is>
          <t>Abarrotes</t>
        </is>
      </c>
      <c r="S668" t="inlineStr">
        <is>
          <t>Café Volcán S.A.</t>
        </is>
      </c>
      <c r="T668" t="inlineStr">
        <is>
          <t>2510-3344</t>
        </is>
      </c>
      <c r="U668" t="n">
        <v>6.75</v>
      </c>
      <c r="V668" t="n">
        <v>1</v>
      </c>
      <c r="W668" t="n">
        <v>0</v>
      </c>
      <c r="X668">
        <f>IFERROR(U668*V668*(1-W668/100),"")</f>
        <v/>
      </c>
      <c r="Y668">
        <f>IFERROR(ROUND(X668*0.13,2),"")</f>
        <v/>
      </c>
      <c r="Z668">
        <f>IFERROR(X668+Y668,"")</f>
        <v/>
      </c>
      <c r="AA668" t="inlineStr">
        <is>
          <t>Tarjeta</t>
        </is>
      </c>
      <c r="AB668" t="inlineStr"/>
    </row>
    <row r="669">
      <c r="A669" t="inlineStr">
        <is>
          <t>F-10998</t>
        </is>
      </c>
      <c r="B669" s="3" t="n">
        <v>46215</v>
      </c>
      <c r="C669" t="inlineStr">
        <is>
          <t>Factura</t>
        </is>
      </c>
      <c r="D669" t="inlineStr">
        <is>
          <t>SS02</t>
        </is>
      </c>
      <c r="E669" t="inlineStr">
        <is>
          <t>Escalón</t>
        </is>
      </c>
      <c r="F669" t="inlineStr">
        <is>
          <t>Paseo General Escalón #3910</t>
        </is>
      </c>
      <c r="G669" t="inlineStr">
        <is>
          <t>San Salvador</t>
        </is>
      </c>
      <c r="H669" t="inlineStr">
        <is>
          <t>San Salvador</t>
        </is>
      </c>
      <c r="I669" t="inlineStr">
        <is>
          <t>Claudia Menjívar</t>
        </is>
      </c>
      <c r="J669" t="inlineStr">
        <is>
          <t>2264-1190</t>
        </is>
      </c>
      <c r="K669" t="inlineStr">
        <is>
          <t>Fátima Rosales</t>
        </is>
      </c>
      <c r="L669" t="inlineStr">
        <is>
          <t>CARMEN QUINTANILLA MEJÍA</t>
        </is>
      </c>
      <c r="M669" t="inlineStr">
        <is>
          <t>05832730-5</t>
        </is>
      </c>
      <c r="N669" t="inlineStr">
        <is>
          <t>6863-9414</t>
        </is>
      </c>
      <c r="O669" t="inlineStr">
        <is>
          <t>Consumidor final</t>
        </is>
      </c>
      <c r="P669" t="inlineStr">
        <is>
          <t>ARR-001</t>
        </is>
      </c>
      <c r="Q669" t="inlineStr">
        <is>
          <t>Arroz blanco 5lb</t>
        </is>
      </c>
      <c r="R669" t="inlineStr">
        <is>
          <t>Granos básicos</t>
        </is>
      </c>
      <c r="S669" t="inlineStr">
        <is>
          <t>Granos del Pacífico</t>
        </is>
      </c>
      <c r="T669" t="inlineStr">
        <is>
          <t>2234-8890</t>
        </is>
      </c>
      <c r="U669" t="n">
        <v>3.95</v>
      </c>
      <c r="V669" t="n">
        <v>12</v>
      </c>
      <c r="W669" t="n">
        <v>0</v>
      </c>
      <c r="X669">
        <f>IFERROR(U669*V669*(1-W669/100),"")</f>
        <v/>
      </c>
      <c r="Y669">
        <f>IFERROR(ROUND(X669*0.13,2),"")</f>
        <v/>
      </c>
      <c r="Z669">
        <f>IFERROR(X669+Y669,"")</f>
        <v/>
      </c>
      <c r="AA669" t="inlineStr">
        <is>
          <t>Tarjeta</t>
        </is>
      </c>
      <c r="AB669" t="inlineStr">
        <is>
          <t>Cliente frecuente</t>
        </is>
      </c>
    </row>
    <row r="670">
      <c r="A670" t="inlineStr">
        <is>
          <t>F-10998</t>
        </is>
      </c>
      <c r="B670" t="inlineStr">
        <is>
          <t>12/07/2026</t>
        </is>
      </c>
      <c r="C670" t="inlineStr">
        <is>
          <t>Factura</t>
        </is>
      </c>
      <c r="D670" t="inlineStr">
        <is>
          <t>SS02</t>
        </is>
      </c>
      <c r="E670" t="inlineStr">
        <is>
          <t>Escalon</t>
        </is>
      </c>
      <c r="F670" t="inlineStr">
        <is>
          <t>Paseo General Escalón #3910</t>
        </is>
      </c>
      <c r="G670" t="inlineStr">
        <is>
          <t>San Salvador</t>
        </is>
      </c>
      <c r="H670" t="inlineStr">
        <is>
          <t>San Salvador</t>
        </is>
      </c>
      <c r="I670" t="inlineStr">
        <is>
          <t>Claudia Menjívar</t>
        </is>
      </c>
      <c r="J670" t="inlineStr">
        <is>
          <t>2264-1190</t>
        </is>
      </c>
      <c r="K670" t="inlineStr">
        <is>
          <t>Fátima Rosales</t>
        </is>
      </c>
      <c r="L670" t="inlineStr">
        <is>
          <t>Carmen Quintanilla Mejía</t>
        </is>
      </c>
      <c r="M670" t="inlineStr">
        <is>
          <t>05832730-5</t>
        </is>
      </c>
      <c r="N670" t="inlineStr">
        <is>
          <t>6863-9414</t>
        </is>
      </c>
      <c r="O670" t="inlineStr">
        <is>
          <t>Consumidor final</t>
        </is>
      </c>
      <c r="P670" t="inlineStr">
        <is>
          <t>HIG-002</t>
        </is>
      </c>
      <c r="Q670" t="inlineStr">
        <is>
          <t>Papel higiénico 4 rollos</t>
        </is>
      </c>
      <c r="R670" t="inlineStr">
        <is>
          <t>Higiene</t>
        </is>
      </c>
      <c r="S670" t="inlineStr">
        <is>
          <t>Higiene Total C.A.</t>
        </is>
      </c>
      <c r="T670" t="inlineStr">
        <is>
          <t>2207-5566</t>
        </is>
      </c>
      <c r="U670" t="n">
        <v>2.15</v>
      </c>
      <c r="V670" t="n">
        <v>4</v>
      </c>
      <c r="W670" t="n">
        <v>0</v>
      </c>
      <c r="X670">
        <f>IFERROR(U670*V670*(1-W670/100),"")</f>
        <v/>
      </c>
      <c r="Y670">
        <f>IFERROR(ROUND(X670*0.13,2),"")</f>
        <v/>
      </c>
      <c r="Z670">
        <f>IFERROR(X670+Y670,"")</f>
        <v/>
      </c>
      <c r="AA670" t="inlineStr">
        <is>
          <t>Tarjeta</t>
        </is>
      </c>
      <c r="AB670" t="inlineStr">
        <is>
          <t>Cliente frecuente</t>
        </is>
      </c>
    </row>
    <row r="671">
      <c r="A671" t="inlineStr">
        <is>
          <t>F-11001</t>
        </is>
      </c>
      <c r="B671" t="inlineStr">
        <is>
          <t>12/08/2026</t>
        </is>
      </c>
      <c r="C671" t="inlineStr">
        <is>
          <t>Factura</t>
        </is>
      </c>
      <c r="D671" t="inlineStr">
        <is>
          <t>SA01</t>
        </is>
      </c>
      <c r="E671" t="inlineStr">
        <is>
          <t>STA ANA</t>
        </is>
      </c>
      <c r="F671" t="inlineStr">
        <is>
          <t>Av. Independencia Sur #12</t>
        </is>
      </c>
      <c r="G671" t="inlineStr">
        <is>
          <t>Santa Ana</t>
        </is>
      </c>
      <c r="H671" t="inlineStr">
        <is>
          <t>Santa Ana</t>
        </is>
      </c>
      <c r="I671" t="inlineStr">
        <is>
          <t>Mauricio Linares</t>
        </is>
      </c>
      <c r="J671" t="inlineStr">
        <is>
          <t>2440-9921</t>
        </is>
      </c>
      <c r="K671" t="inlineStr">
        <is>
          <t>Sofía Cáceres</t>
        </is>
      </c>
      <c r="L671" t="inlineStr">
        <is>
          <t>Walter Mejía Castillo</t>
        </is>
      </c>
      <c r="M671" t="inlineStr">
        <is>
          <t>02326285-9</t>
        </is>
      </c>
      <c r="N671" t="inlineStr">
        <is>
          <t>2959-3937</t>
        </is>
      </c>
      <c r="O671" t="inlineStr">
        <is>
          <t>Consumidor final</t>
        </is>
      </c>
      <c r="P671" t="inlineStr">
        <is>
          <t>LAC-001</t>
        </is>
      </c>
      <c r="Q671" t="inlineStr">
        <is>
          <t>Quesillo 1lb</t>
        </is>
      </c>
      <c r="R671" t="inlineStr">
        <is>
          <t>LACTEOS</t>
        </is>
      </c>
      <c r="S671" t="inlineStr">
        <is>
          <t>Lácteos Chalate</t>
        </is>
      </c>
      <c r="T671" t="inlineStr">
        <is>
          <t>7120-4455</t>
        </is>
      </c>
      <c r="U671" t="inlineStr">
        <is>
          <t>$3.80</t>
        </is>
      </c>
      <c r="V671" t="n">
        <v>1</v>
      </c>
      <c r="W671" t="n">
        <v>0</v>
      </c>
      <c r="X671">
        <f>IFERROR(U671*V671*(1-W671/100),"")</f>
        <v/>
      </c>
      <c r="Y671">
        <f>IFERROR(ROUND(X671*0.13,2),"")</f>
        <v/>
      </c>
      <c r="Z671">
        <f>IFERROR(X671+Y671,"")</f>
        <v/>
      </c>
      <c r="AA671" t="inlineStr">
        <is>
          <t>Bitcoin</t>
        </is>
      </c>
      <c r="AB671" t="inlineStr"/>
    </row>
    <row r="672">
      <c r="A672" t="inlineStr">
        <is>
          <t>F-11002</t>
        </is>
      </c>
      <c r="B672" s="3" t="n">
        <v>46238</v>
      </c>
      <c r="C672" t="inlineStr">
        <is>
          <t>Factura</t>
        </is>
      </c>
      <c r="D672" t="inlineStr">
        <is>
          <t>SA01</t>
        </is>
      </c>
      <c r="E672" t="inlineStr">
        <is>
          <t>Santa Ana</t>
        </is>
      </c>
      <c r="F672" t="inlineStr">
        <is>
          <t>Av. Independencia Sur #12</t>
        </is>
      </c>
      <c r="G672" t="inlineStr">
        <is>
          <t>Santa Ana</t>
        </is>
      </c>
      <c r="H672" t="inlineStr">
        <is>
          <t>Santa Ana</t>
        </is>
      </c>
      <c r="I672" t="inlineStr">
        <is>
          <t>Mauricio Linares</t>
        </is>
      </c>
      <c r="J672" t="inlineStr">
        <is>
          <t>2440-9921</t>
        </is>
      </c>
      <c r="K672" t="inlineStr">
        <is>
          <t>Sofía Cáceres</t>
        </is>
      </c>
      <c r="L672" t="inlineStr">
        <is>
          <t>Rosa Flores Cornejo</t>
        </is>
      </c>
      <c r="M672" t="inlineStr">
        <is>
          <t>00476760-8</t>
        </is>
      </c>
      <c r="N672" t="inlineStr">
        <is>
          <t>7668-7502</t>
        </is>
      </c>
      <c r="O672" t="inlineStr">
        <is>
          <t>Consumidor final</t>
        </is>
      </c>
      <c r="P672" t="inlineStr">
        <is>
          <t>BEB-003</t>
        </is>
      </c>
      <c r="Q672" t="inlineStr">
        <is>
          <t>Horchata en polvo 400g</t>
        </is>
      </c>
      <c r="R672" t="inlineStr">
        <is>
          <t>Abarrotes</t>
        </is>
      </c>
      <c r="S672" t="inlineStr">
        <is>
          <t>Bebidas Izalco</t>
        </is>
      </c>
      <c r="T672" t="inlineStr">
        <is>
          <t>2450-7700</t>
        </is>
      </c>
      <c r="U672" t="inlineStr">
        <is>
          <t>$2.60</t>
        </is>
      </c>
      <c r="V672" t="n">
        <v>1</v>
      </c>
      <c r="W672" t="n">
        <v>0</v>
      </c>
      <c r="X672">
        <f>IFERROR(U672*V672*(1-W672/100),"")</f>
        <v/>
      </c>
      <c r="Y672">
        <f>IFERROR(ROUND(X672*0.13,2),"")</f>
        <v/>
      </c>
      <c r="Z672">
        <f>IFERROR(X672+Y672,"")</f>
        <v/>
      </c>
      <c r="AA672" t="inlineStr">
        <is>
          <t>Tarjeta</t>
        </is>
      </c>
      <c r="AB672" t="inlineStr">
        <is>
          <t>entregar en bodega</t>
        </is>
      </c>
    </row>
    <row r="673">
      <c r="A673" t="inlineStr">
        <is>
          <t>F-11002</t>
        </is>
      </c>
      <c r="B673" s="3" t="n">
        <v>46238</v>
      </c>
      <c r="C673" t="inlineStr">
        <is>
          <t>Factura</t>
        </is>
      </c>
      <c r="D673" t="inlineStr">
        <is>
          <t>SA01</t>
        </is>
      </c>
      <c r="E673" t="inlineStr">
        <is>
          <t>Santa Ana</t>
        </is>
      </c>
      <c r="F673" t="inlineStr">
        <is>
          <t>Av. Independencia Sur #12</t>
        </is>
      </c>
      <c r="G673" t="inlineStr">
        <is>
          <t>Santa Ana</t>
        </is>
      </c>
      <c r="H673" t="inlineStr">
        <is>
          <t>Santa Ana</t>
        </is>
      </c>
      <c r="I673" t="inlineStr">
        <is>
          <t>Mauricio Linares</t>
        </is>
      </c>
      <c r="J673" t="inlineStr">
        <is>
          <t>2440-9921</t>
        </is>
      </c>
      <c r="K673" t="inlineStr">
        <is>
          <t>Sofía Cáceres</t>
        </is>
      </c>
      <c r="L673" t="inlineStr">
        <is>
          <t>Rosa Flores Cornejo</t>
        </is>
      </c>
      <c r="M673" t="inlineStr"/>
      <c r="N673" t="inlineStr">
        <is>
          <t>7668-7502</t>
        </is>
      </c>
      <c r="O673" t="inlineStr">
        <is>
          <t>Consumidor final</t>
        </is>
      </c>
      <c r="P673" t="inlineStr">
        <is>
          <t>ARR-001</t>
        </is>
      </c>
      <c r="Q673" t="inlineStr">
        <is>
          <t>Arroz blanco 5lb</t>
        </is>
      </c>
      <c r="R673" t="inlineStr">
        <is>
          <t>Granos básicos</t>
        </is>
      </c>
      <c r="S673" t="inlineStr">
        <is>
          <t>Granos del Pacífico</t>
        </is>
      </c>
      <c r="T673" t="inlineStr">
        <is>
          <t>2234-8890</t>
        </is>
      </c>
      <c r="U673" t="n">
        <v>3.95</v>
      </c>
      <c r="V673" t="n">
        <v>1</v>
      </c>
      <c r="W673" t="n">
        <v>0</v>
      </c>
      <c r="X673">
        <f>IFERROR(U673*V673*(1-W673/100),"")</f>
        <v/>
      </c>
      <c r="Y673">
        <f>IFERROR(ROUND(X673*0.13,2),"")</f>
        <v/>
      </c>
      <c r="Z673">
        <f>IFERROR(X673+Y673,"")</f>
        <v/>
      </c>
      <c r="AA673" t="inlineStr">
        <is>
          <t>Tarjeta</t>
        </is>
      </c>
      <c r="AB673" t="inlineStr"/>
    </row>
    <row r="674">
      <c r="A674" t="inlineStr">
        <is>
          <t>F-11002</t>
        </is>
      </c>
      <c r="B674" s="3" t="n">
        <v>46238</v>
      </c>
      <c r="C674" t="inlineStr">
        <is>
          <t>Factura</t>
        </is>
      </c>
      <c r="D674" t="inlineStr">
        <is>
          <t>SA01</t>
        </is>
      </c>
      <c r="E674" t="inlineStr">
        <is>
          <t>Santa Ana</t>
        </is>
      </c>
      <c r="F674" t="inlineStr">
        <is>
          <t>Av. Independencia Sur #12</t>
        </is>
      </c>
      <c r="G674" t="inlineStr">
        <is>
          <t>Santa Ana</t>
        </is>
      </c>
      <c r="H674" t="inlineStr">
        <is>
          <t>Santa Ana</t>
        </is>
      </c>
      <c r="I674" t="inlineStr">
        <is>
          <t>Mauricio Linares</t>
        </is>
      </c>
      <c r="J674" t="inlineStr">
        <is>
          <t>2440-9921</t>
        </is>
      </c>
      <c r="K674" t="inlineStr">
        <is>
          <t>Sofía Cáceres</t>
        </is>
      </c>
      <c r="L674" t="inlineStr">
        <is>
          <t>Rosa Flores Cornejo</t>
        </is>
      </c>
      <c r="M674" t="inlineStr">
        <is>
          <t>00476760-8</t>
        </is>
      </c>
      <c r="N674" t="inlineStr">
        <is>
          <t>7668-7502</t>
        </is>
      </c>
      <c r="O674" t="inlineStr">
        <is>
          <t>Consumidor final</t>
        </is>
      </c>
      <c r="P674" t="inlineStr">
        <is>
          <t>HIG-003</t>
        </is>
      </c>
      <c r="Q674" t="inlineStr">
        <is>
          <t>Jabón de lavar barra</t>
        </is>
      </c>
      <c r="R674" t="inlineStr">
        <is>
          <t>Limpieza</t>
        </is>
      </c>
      <c r="S674" t="inlineStr">
        <is>
          <t>Higiene Total C.A.</t>
        </is>
      </c>
      <c r="T674" t="inlineStr">
        <is>
          <t>2207-5566</t>
        </is>
      </c>
      <c r="U674" t="n">
        <v>0.75</v>
      </c>
      <c r="V674" t="n">
        <v>1</v>
      </c>
      <c r="W674" t="n">
        <v>0</v>
      </c>
      <c r="X674">
        <f>IFERROR(U674*V674*(1-W674/100),"")</f>
        <v/>
      </c>
      <c r="Y674">
        <f>IFERROR(ROUND(X674*0.13,2),"")</f>
        <v/>
      </c>
      <c r="Z674">
        <f>IFERROR(X674+Y674,"")</f>
        <v/>
      </c>
      <c r="AA674" t="inlineStr">
        <is>
          <t>Tarjeta</t>
        </is>
      </c>
      <c r="AB674" t="inlineStr">
        <is>
          <t>Llamar al 7788-1234 antes de entregar</t>
        </is>
      </c>
    </row>
    <row r="675">
      <c r="A675" t="inlineStr">
        <is>
          <t>11002</t>
        </is>
      </c>
      <c r="B675" s="3" t="n">
        <v>46238</v>
      </c>
      <c r="C675" t="inlineStr">
        <is>
          <t>Factura</t>
        </is>
      </c>
      <c r="D675" t="inlineStr">
        <is>
          <t>SA01</t>
        </is>
      </c>
      <c r="E675" t="inlineStr">
        <is>
          <t>Santa  Ana</t>
        </is>
      </c>
      <c r="F675" t="inlineStr">
        <is>
          <t>Av. Independencia Sur #12</t>
        </is>
      </c>
      <c r="G675" t="inlineStr">
        <is>
          <t>Santa Ana</t>
        </is>
      </c>
      <c r="H675" t="inlineStr">
        <is>
          <t>Santa Ana</t>
        </is>
      </c>
      <c r="I675" t="inlineStr">
        <is>
          <t>Mauricio Linares</t>
        </is>
      </c>
      <c r="J675" t="inlineStr">
        <is>
          <t>2440-9921</t>
        </is>
      </c>
      <c r="K675" t="inlineStr">
        <is>
          <t>Sofía Cáceres</t>
        </is>
      </c>
      <c r="L675" t="inlineStr">
        <is>
          <t>Rosa Flores Cornejo</t>
        </is>
      </c>
      <c r="M675" t="inlineStr"/>
      <c r="N675" t="inlineStr">
        <is>
          <t>7668-7502</t>
        </is>
      </c>
      <c r="O675" t="inlineStr">
        <is>
          <t>Consumidor final</t>
        </is>
      </c>
      <c r="P675" t="inlineStr">
        <is>
          <t>BEB-001</t>
        </is>
      </c>
      <c r="Q675" t="inlineStr">
        <is>
          <t>Gaseosa 2.5L</t>
        </is>
      </c>
      <c r="R675" t="inlineStr">
        <is>
          <t>Bebidas</t>
        </is>
      </c>
      <c r="S675" t="inlineStr">
        <is>
          <t>Bebidas Izalco</t>
        </is>
      </c>
      <c r="T675" t="inlineStr">
        <is>
          <t>2450-7700</t>
        </is>
      </c>
      <c r="U675" t="n">
        <v>1.95</v>
      </c>
      <c r="V675" t="n">
        <v>2</v>
      </c>
      <c r="W675" t="n">
        <v>0</v>
      </c>
      <c r="X675">
        <f>IFERROR(U675*V675*(1-W675/100),"")</f>
        <v/>
      </c>
      <c r="Y675">
        <f>IFERROR(ROUND(X675*0.13,2),"")</f>
        <v/>
      </c>
      <c r="Z675">
        <f>IFERROR(X675+Y675,"")</f>
        <v/>
      </c>
      <c r="AA675" t="inlineStr">
        <is>
          <t>Tarjeta</t>
        </is>
      </c>
      <c r="AB675" t="inlineStr">
        <is>
          <t>Llamar al 7788-1234 antes de entregar</t>
        </is>
      </c>
    </row>
    <row r="676">
      <c r="A676" t="inlineStr">
        <is>
          <t>F-11004</t>
        </is>
      </c>
      <c r="B676" s="3" t="n">
        <v>46258</v>
      </c>
      <c r="C676" t="inlineStr">
        <is>
          <t>Factura</t>
        </is>
      </c>
      <c r="D676" t="inlineStr">
        <is>
          <t>SS02</t>
        </is>
      </c>
      <c r="E676" t="inlineStr">
        <is>
          <t>Col. Escalón</t>
        </is>
      </c>
      <c r="F676" t="inlineStr">
        <is>
          <t>Paseo General Escalón #3910</t>
        </is>
      </c>
      <c r="G676" t="inlineStr">
        <is>
          <t>San Salvador</t>
        </is>
      </c>
      <c r="H676" t="inlineStr">
        <is>
          <t>San Salvador</t>
        </is>
      </c>
      <c r="I676" t="inlineStr">
        <is>
          <t>Claudia Menjívar</t>
        </is>
      </c>
      <c r="J676" t="inlineStr">
        <is>
          <t>2264-1190</t>
        </is>
      </c>
      <c r="K676" t="inlineStr">
        <is>
          <t>Fátima Rosales</t>
        </is>
      </c>
      <c r="L676" t="inlineStr">
        <is>
          <t>Edwin Alvarado García</t>
        </is>
      </c>
      <c r="M676" t="inlineStr">
        <is>
          <t>03264621-6</t>
        </is>
      </c>
      <c r="N676" t="inlineStr">
        <is>
          <t>2560-1229</t>
        </is>
      </c>
      <c r="O676" t="inlineStr">
        <is>
          <t>Consumidor final</t>
        </is>
      </c>
      <c r="P676" t="inlineStr">
        <is>
          <t>AZU-001</t>
        </is>
      </c>
      <c r="Q676" t="inlineStr">
        <is>
          <t>Azúcar blanca 2.5kg</t>
        </is>
      </c>
      <c r="R676" t="inlineStr">
        <is>
          <t>Abarrotes</t>
        </is>
      </c>
      <c r="S676" t="inlineStr">
        <is>
          <t>Granos del Pacífico</t>
        </is>
      </c>
      <c r="T676" t="inlineStr">
        <is>
          <t>2234-8890</t>
        </is>
      </c>
      <c r="U676" t="n">
        <v>3.1</v>
      </c>
      <c r="V676" t="n">
        <v>2</v>
      </c>
      <c r="W676" t="n">
        <v>0</v>
      </c>
      <c r="X676">
        <f>IFERROR(U676*V676*(1-W676/100),"")</f>
        <v/>
      </c>
      <c r="Y676">
        <f>IFERROR(ROUND(X676*0.13,2),"")</f>
        <v/>
      </c>
      <c r="Z676">
        <f>IFERROR(X676+Y676,"")</f>
        <v/>
      </c>
      <c r="AA676" t="inlineStr">
        <is>
          <t>Tarjeta</t>
        </is>
      </c>
      <c r="AB676" t="inlineStr"/>
    </row>
    <row r="677">
      <c r="A677" t="inlineStr">
        <is>
          <t>F-11004</t>
        </is>
      </c>
      <c r="B677" s="3" t="n">
        <v>46258</v>
      </c>
      <c r="C677" t="inlineStr">
        <is>
          <t>Factura</t>
        </is>
      </c>
      <c r="D677" t="inlineStr">
        <is>
          <t>SS02</t>
        </is>
      </c>
      <c r="E677" t="inlineStr">
        <is>
          <t>ESCALON</t>
        </is>
      </c>
      <c r="F677" t="inlineStr">
        <is>
          <t>Paseo General Escalón #3910</t>
        </is>
      </c>
      <c r="G677" t="inlineStr">
        <is>
          <t>San Salvador</t>
        </is>
      </c>
      <c r="H677" t="inlineStr">
        <is>
          <t>San Salvador</t>
        </is>
      </c>
      <c r="I677" t="inlineStr">
        <is>
          <t>Claudia Menjívar</t>
        </is>
      </c>
      <c r="J677" t="inlineStr">
        <is>
          <t>2264-1190</t>
        </is>
      </c>
      <c r="K677" t="inlineStr">
        <is>
          <t>Fátima Rosales</t>
        </is>
      </c>
      <c r="L677" t="inlineStr">
        <is>
          <t>EDWIN ALVARADO GARCÍA</t>
        </is>
      </c>
      <c r="M677" t="inlineStr">
        <is>
          <t>03264621-6</t>
        </is>
      </c>
      <c r="N677" t="inlineStr">
        <is>
          <t>2560-1229</t>
        </is>
      </c>
      <c r="O677" t="inlineStr">
        <is>
          <t>Consumidor final</t>
        </is>
      </c>
      <c r="P677" t="inlineStr">
        <is>
          <t>BEB-002</t>
        </is>
      </c>
      <c r="Q677" t="inlineStr">
        <is>
          <t>Agua purificada 1 galón</t>
        </is>
      </c>
      <c r="R677" t="inlineStr">
        <is>
          <t>Bebidas</t>
        </is>
      </c>
      <c r="S677" t="inlineStr">
        <is>
          <t>Bebidas Izalco</t>
        </is>
      </c>
      <c r="T677" t="inlineStr">
        <is>
          <t>2450-7700</t>
        </is>
      </c>
      <c r="U677" t="n">
        <v>1.1</v>
      </c>
      <c r="V677" t="n">
        <v>1</v>
      </c>
      <c r="W677" t="n">
        <v>0</v>
      </c>
      <c r="X677">
        <f>IFERROR(U677*V677*(1-W677/100),"")</f>
        <v/>
      </c>
      <c r="Y677">
        <f>IFERROR(ROUND(X677*0.13,2),"")</f>
        <v/>
      </c>
      <c r="Z677">
        <f>IFERROR(X677+Y677,"")</f>
        <v/>
      </c>
      <c r="AA677" t="inlineStr">
        <is>
          <t>Tarjeta</t>
        </is>
      </c>
      <c r="AB677" t="inlineStr">
        <is>
          <t>pagó con billete de $100</t>
        </is>
      </c>
    </row>
    <row r="678">
      <c r="A678" t="inlineStr">
        <is>
          <t>F-11004</t>
        </is>
      </c>
      <c r="B678" t="inlineStr">
        <is>
          <t>24/08/2026</t>
        </is>
      </c>
      <c r="C678" t="inlineStr">
        <is>
          <t>Factura</t>
        </is>
      </c>
      <c r="D678" t="inlineStr">
        <is>
          <t>SS02</t>
        </is>
      </c>
      <c r="E678" t="inlineStr">
        <is>
          <t>Col. Escalón</t>
        </is>
      </c>
      <c r="F678" t="inlineStr">
        <is>
          <t>Paseo General Escalón #3910</t>
        </is>
      </c>
      <c r="G678" t="inlineStr">
        <is>
          <t>San Salvador</t>
        </is>
      </c>
      <c r="H678" t="inlineStr">
        <is>
          <t>San Salvador</t>
        </is>
      </c>
      <c r="I678" t="inlineStr">
        <is>
          <t>Claudia Menjívar</t>
        </is>
      </c>
      <c r="J678" t="inlineStr">
        <is>
          <t>2264-1190</t>
        </is>
      </c>
      <c r="K678" t="inlineStr">
        <is>
          <t>Fátima Rosales</t>
        </is>
      </c>
      <c r="L678" t="inlineStr">
        <is>
          <t>Edwin Alvarado García</t>
        </is>
      </c>
      <c r="M678" t="inlineStr">
        <is>
          <t>03264621-6</t>
        </is>
      </c>
      <c r="N678" t="inlineStr">
        <is>
          <t>2560-1229</t>
        </is>
      </c>
      <c r="O678" t="inlineStr">
        <is>
          <t>Consumidor final</t>
        </is>
      </c>
      <c r="P678" t="inlineStr">
        <is>
          <t>PAN-001</t>
        </is>
      </c>
      <c r="Q678" t="inlineStr">
        <is>
          <t>Pan francés bolsa 10u</t>
        </is>
      </c>
      <c r="R678" t="inlineStr">
        <is>
          <t>Panaderia</t>
        </is>
      </c>
      <c r="S678" t="inlineStr">
        <is>
          <t>Panificadora Ilopango</t>
        </is>
      </c>
      <c r="T678" t="inlineStr">
        <is>
          <t>2295-0081</t>
        </is>
      </c>
      <c r="U678" t="n">
        <v>1</v>
      </c>
      <c r="V678" t="n">
        <v>1</v>
      </c>
      <c r="W678" t="n">
        <v>0</v>
      </c>
      <c r="X678">
        <f>IFERROR(U678*V678*(1-W678/100),"")</f>
        <v/>
      </c>
      <c r="Y678">
        <f>IFERROR(ROUND(X678*0.13,2),"")</f>
        <v/>
      </c>
      <c r="Z678">
        <f>IFERROR(X678+Y678,"")</f>
        <v/>
      </c>
      <c r="AA678" t="inlineStr">
        <is>
          <t>Tarjeta</t>
        </is>
      </c>
      <c r="AB678" t="inlineStr">
        <is>
          <t>pagó con billete de $100</t>
        </is>
      </c>
    </row>
    <row r="679">
      <c r="A679" t="inlineStr">
        <is>
          <t>F-11004</t>
        </is>
      </c>
      <c r="B679" t="inlineStr">
        <is>
          <t>24/08/2026</t>
        </is>
      </c>
      <c r="C679" t="inlineStr">
        <is>
          <t>Factura</t>
        </is>
      </c>
      <c r="D679" t="inlineStr">
        <is>
          <t>SS02</t>
        </is>
      </c>
      <c r="E679" t="inlineStr">
        <is>
          <t>Col. Escalón</t>
        </is>
      </c>
      <c r="F679" t="inlineStr">
        <is>
          <t>Paseo General Escalón #3910</t>
        </is>
      </c>
      <c r="G679" t="inlineStr">
        <is>
          <t>San Salvador</t>
        </is>
      </c>
      <c r="H679" t="inlineStr">
        <is>
          <t>San Salvador</t>
        </is>
      </c>
      <c r="I679" t="inlineStr">
        <is>
          <t>Claudia Menjívar</t>
        </is>
      </c>
      <c r="J679" t="inlineStr">
        <is>
          <t>2264-1190</t>
        </is>
      </c>
      <c r="K679" t="inlineStr">
        <is>
          <t>Fátima Rosales</t>
        </is>
      </c>
      <c r="L679" t="inlineStr">
        <is>
          <t>Edwin Alvarado García</t>
        </is>
      </c>
      <c r="M679" t="inlineStr">
        <is>
          <t>03264621-6</t>
        </is>
      </c>
      <c r="N679" t="inlineStr">
        <is>
          <t>2560-1229</t>
        </is>
      </c>
      <c r="O679" t="inlineStr">
        <is>
          <t>Consumidor final</t>
        </is>
      </c>
      <c r="P679" t="inlineStr">
        <is>
          <t>HAR-001</t>
        </is>
      </c>
      <c r="Q679" t="inlineStr">
        <is>
          <t>Harina de maíz 2lb</t>
        </is>
      </c>
      <c r="R679" t="inlineStr">
        <is>
          <t>Abarrotes</t>
        </is>
      </c>
      <c r="S679" t="inlineStr">
        <is>
          <t>Granos del Pacífico</t>
        </is>
      </c>
      <c r="T679" t="inlineStr">
        <is>
          <t>2234-8890</t>
        </is>
      </c>
      <c r="U679" t="n">
        <v>1.35</v>
      </c>
      <c r="V679" t="n">
        <v>1</v>
      </c>
      <c r="W679" t="n">
        <v>0</v>
      </c>
      <c r="X679">
        <f>IFERROR(U679*V679*(1-W679/100),"")</f>
        <v/>
      </c>
      <c r="Y679">
        <f>IFERROR(ROUND(X679*0.13,2),"")</f>
        <v/>
      </c>
      <c r="Z679">
        <f>IFERROR(X679+Y679,"")</f>
        <v/>
      </c>
      <c r="AA679" t="inlineStr">
        <is>
          <t>Tarjeta</t>
        </is>
      </c>
      <c r="AB679" t="inlineStr"/>
    </row>
    <row r="680">
      <c r="A680" t="inlineStr">
        <is>
          <t>F-11006</t>
        </is>
      </c>
      <c r="B680" s="3" t="n">
        <v>46291</v>
      </c>
      <c r="C680" t="inlineStr">
        <is>
          <t>Factura</t>
        </is>
      </c>
      <c r="D680" t="inlineStr">
        <is>
          <t>SS01</t>
        </is>
      </c>
      <c r="E680" t="inlineStr">
        <is>
          <t>S.S. Centro</t>
        </is>
      </c>
      <c r="F680" t="inlineStr">
        <is>
          <t>4a Calle Poniente #215</t>
        </is>
      </c>
      <c r="G680" t="inlineStr">
        <is>
          <t>San Salvador</t>
        </is>
      </c>
      <c r="H680" t="inlineStr">
        <is>
          <t>San Salvador</t>
        </is>
      </c>
      <c r="I680" t="inlineStr">
        <is>
          <t>Roberto Alfaro</t>
        </is>
      </c>
      <c r="J680" t="inlineStr">
        <is>
          <t>2221-4580</t>
        </is>
      </c>
      <c r="K680" t="inlineStr">
        <is>
          <t>José Martínez</t>
        </is>
      </c>
      <c r="L680" t="inlineStr">
        <is>
          <t>Silvia Argueta Mejía</t>
        </is>
      </c>
      <c r="M680" t="inlineStr">
        <is>
          <t>07045862-9</t>
        </is>
      </c>
      <c r="N680" t="inlineStr">
        <is>
          <t>6625-9486</t>
        </is>
      </c>
      <c r="O680" t="inlineStr">
        <is>
          <t>Consumidor final</t>
        </is>
      </c>
      <c r="P680" t="inlineStr">
        <is>
          <t>BEB-001</t>
        </is>
      </c>
      <c r="Q680" t="inlineStr">
        <is>
          <t>Gaseosa 2.5L</t>
        </is>
      </c>
      <c r="R680" t="inlineStr">
        <is>
          <t>Bebidas</t>
        </is>
      </c>
      <c r="S680" t="inlineStr">
        <is>
          <t>Bebidas Izalco</t>
        </is>
      </c>
      <c r="T680" t="inlineStr">
        <is>
          <t>2450-7700</t>
        </is>
      </c>
      <c r="U680" t="inlineStr">
        <is>
          <t>$1.95</t>
        </is>
      </c>
      <c r="V680" t="n">
        <v>1</v>
      </c>
      <c r="W680" t="n">
        <v>0</v>
      </c>
      <c r="X680">
        <f>IFERROR(U680*V680*(1-W680/100),"")</f>
        <v/>
      </c>
      <c r="Y680">
        <f>IFERROR(ROUND(X680*0.13,2),"")</f>
        <v/>
      </c>
      <c r="Z680">
        <f>IFERROR(X680+Y680,"")</f>
        <v/>
      </c>
      <c r="AA680" t="inlineStr">
        <is>
          <t>Efectivo</t>
        </is>
      </c>
      <c r="AB680" t="inlineStr">
        <is>
          <t>precio especial autorizado por gerente</t>
        </is>
      </c>
    </row>
    <row r="681">
      <c r="A681" t="inlineStr">
        <is>
          <t>F-11006</t>
        </is>
      </c>
      <c r="B681" s="3" t="n">
        <v>46291</v>
      </c>
      <c r="C681" t="inlineStr">
        <is>
          <t>Factura</t>
        </is>
      </c>
      <c r="D681" t="inlineStr">
        <is>
          <t>SS01</t>
        </is>
      </c>
      <c r="E681" t="inlineStr">
        <is>
          <t>San Salvador Centro</t>
        </is>
      </c>
      <c r="F681" t="inlineStr">
        <is>
          <t>4a Calle Poniente #215</t>
        </is>
      </c>
      <c r="G681" t="inlineStr">
        <is>
          <t>San Salvador</t>
        </is>
      </c>
      <c r="H681" t="inlineStr">
        <is>
          <t>San Salvador</t>
        </is>
      </c>
      <c r="I681" t="inlineStr">
        <is>
          <t>Roberto Alfaro</t>
        </is>
      </c>
      <c r="J681" t="inlineStr">
        <is>
          <t>2221-4580</t>
        </is>
      </c>
      <c r="K681" t="inlineStr">
        <is>
          <t>José Martínez</t>
        </is>
      </c>
      <c r="L681" t="inlineStr">
        <is>
          <t>Silvia Argueta Mejía</t>
        </is>
      </c>
      <c r="M681" t="inlineStr">
        <is>
          <t>07045862-9</t>
        </is>
      </c>
      <c r="N681" t="inlineStr">
        <is>
          <t>6625-9486</t>
        </is>
      </c>
      <c r="O681" t="inlineStr">
        <is>
          <t>Consumidor final</t>
        </is>
      </c>
      <c r="P681" t="inlineStr">
        <is>
          <t>BEB-003</t>
        </is>
      </c>
      <c r="Q681" t="inlineStr">
        <is>
          <t>Horchata en polvo 400g</t>
        </is>
      </c>
      <c r="R681" t="inlineStr">
        <is>
          <t>Bebidas</t>
        </is>
      </c>
      <c r="S681" t="inlineStr">
        <is>
          <t>Bebidas Izalco</t>
        </is>
      </c>
      <c r="T681" t="inlineStr">
        <is>
          <t>2450-7700</t>
        </is>
      </c>
      <c r="U681" t="n">
        <v>2.6</v>
      </c>
      <c r="V681" t="n">
        <v>1</v>
      </c>
      <c r="W681" t="n">
        <v>0</v>
      </c>
      <c r="X681">
        <f>IFERROR(U681*V681*(1-W681/100),"")</f>
        <v/>
      </c>
      <c r="Y681">
        <f>IFERROR(ROUND(X681*0.13,2),"")</f>
        <v/>
      </c>
      <c r="Z681">
        <f>IFERROR(X681+Y681,"")</f>
        <v/>
      </c>
      <c r="AA681" t="inlineStr">
        <is>
          <t>Efectivo</t>
        </is>
      </c>
      <c r="AB681" t="inlineStr"/>
    </row>
    <row r="682">
      <c r="A682" t="inlineStr">
        <is>
          <t>F-11008</t>
        </is>
      </c>
      <c r="B682" s="3" t="n">
        <v>46277</v>
      </c>
      <c r="C682" t="inlineStr">
        <is>
          <t>FCF</t>
        </is>
      </c>
      <c r="D682" t="inlineStr">
        <is>
          <t>SS02</t>
        </is>
      </c>
      <c r="E682" t="inlineStr">
        <is>
          <t>Escalon</t>
        </is>
      </c>
      <c r="F682" t="inlineStr">
        <is>
          <t>Paseo General Escalón #3910</t>
        </is>
      </c>
      <c r="G682" t="inlineStr">
        <is>
          <t>San Salvador</t>
        </is>
      </c>
      <c r="H682" t="inlineStr">
        <is>
          <t>San Salvador</t>
        </is>
      </c>
      <c r="I682" t="inlineStr">
        <is>
          <t>Claudia Menjívar</t>
        </is>
      </c>
      <c r="J682" t="inlineStr">
        <is>
          <t>2264-1190</t>
        </is>
      </c>
      <c r="K682" t="inlineStr">
        <is>
          <t>Kevin Benítez</t>
        </is>
      </c>
      <c r="L682" t="inlineStr">
        <is>
          <t>Rosa López Castillo</t>
        </is>
      </c>
      <c r="M682" t="inlineStr">
        <is>
          <t>09782214-9</t>
        </is>
      </c>
      <c r="N682" t="inlineStr">
        <is>
          <t>6806-3209</t>
        </is>
      </c>
      <c r="O682" t="inlineStr">
        <is>
          <t>Consumidor final</t>
        </is>
      </c>
      <c r="P682" t="inlineStr">
        <is>
          <t>PAN-001</t>
        </is>
      </c>
      <c r="Q682" t="inlineStr">
        <is>
          <t>Pan francés bolsa 10u</t>
        </is>
      </c>
      <c r="R682" t="inlineStr">
        <is>
          <t>Panadería</t>
        </is>
      </c>
      <c r="S682" t="inlineStr">
        <is>
          <t>Panificadora Ilopango</t>
        </is>
      </c>
      <c r="T682" t="inlineStr">
        <is>
          <t>2295-0081</t>
        </is>
      </c>
      <c r="U682" t="n">
        <v>1</v>
      </c>
      <c r="V682" t="n">
        <v>1</v>
      </c>
      <c r="W682" t="n">
        <v>0</v>
      </c>
      <c r="X682">
        <f>IFERROR(U682*V682*(1-W682/100),"")</f>
        <v/>
      </c>
      <c r="Y682">
        <f>IFERROR(ROUND(X682*0.13,2),"")</f>
        <v/>
      </c>
      <c r="Z682">
        <f>IFERROR(X682+Y682,"")</f>
        <v/>
      </c>
      <c r="AA682" t="inlineStr">
        <is>
          <t>Chivo</t>
        </is>
      </c>
      <c r="AB682" t="inlineStr"/>
    </row>
    <row r="683">
      <c r="A683" t="inlineStr">
        <is>
          <t>F-11010</t>
        </is>
      </c>
      <c r="B683" s="3" t="n">
        <v>46260</v>
      </c>
      <c r="C683" t="inlineStr">
        <is>
          <t>Factura</t>
        </is>
      </c>
      <c r="D683" t="inlineStr">
        <is>
          <t>SS02</t>
        </is>
      </c>
      <c r="E683" t="inlineStr">
        <is>
          <t>Escalón</t>
        </is>
      </c>
      <c r="F683" t="inlineStr">
        <is>
          <t>Paseo General Escalón #3910</t>
        </is>
      </c>
      <c r="G683" t="inlineStr">
        <is>
          <t>San Salvador</t>
        </is>
      </c>
      <c r="H683" t="inlineStr">
        <is>
          <t>San Salvador</t>
        </is>
      </c>
      <c r="I683" t="inlineStr">
        <is>
          <t>Claudia Menjívar</t>
        </is>
      </c>
      <c r="J683" t="inlineStr">
        <is>
          <t>2264-1190</t>
        </is>
      </c>
      <c r="K683" t="inlineStr">
        <is>
          <t>Fátima Rosales</t>
        </is>
      </c>
      <c r="L683" t="inlineStr">
        <is>
          <t>René Cornejo Cornejo</t>
        </is>
      </c>
      <c r="M683" t="inlineStr">
        <is>
          <t>03632979-1</t>
        </is>
      </c>
      <c r="N683" t="inlineStr">
        <is>
          <t>7833-5595</t>
        </is>
      </c>
      <c r="O683" t="inlineStr">
        <is>
          <t>Consumidor final</t>
        </is>
      </c>
      <c r="P683" t="inlineStr">
        <is>
          <t>LAC-001</t>
        </is>
      </c>
      <c r="Q683" t="inlineStr">
        <is>
          <t>Quesillo 1lb</t>
        </is>
      </c>
      <c r="R683" t="inlineStr">
        <is>
          <t>LACTEOS</t>
        </is>
      </c>
      <c r="S683" t="inlineStr">
        <is>
          <t>Lácteos Chalate</t>
        </is>
      </c>
      <c r="T683" t="inlineStr">
        <is>
          <t>2335-1020</t>
        </is>
      </c>
      <c r="U683" t="n">
        <v>3.5</v>
      </c>
      <c r="V683" t="n">
        <v>6</v>
      </c>
      <c r="W683" t="n">
        <v>0</v>
      </c>
      <c r="X683">
        <f>IFERROR(U683*V683*(1-W683/100),"")</f>
        <v/>
      </c>
      <c r="Y683">
        <f>IFERROR(ROUND(X683*0.13,2),"")</f>
        <v/>
      </c>
      <c r="Z683">
        <f>IFERROR(X683+Y683,"")</f>
        <v/>
      </c>
      <c r="AA683" t="inlineStr">
        <is>
          <t>Efectivo</t>
        </is>
      </c>
      <c r="AB683" t="inlineStr"/>
    </row>
    <row r="684">
      <c r="A684" t="inlineStr">
        <is>
          <t>11010</t>
        </is>
      </c>
      <c r="B684" s="3" t="n">
        <v>46260</v>
      </c>
      <c r="C684" t="inlineStr">
        <is>
          <t>Factura</t>
        </is>
      </c>
      <c r="D684" t="inlineStr">
        <is>
          <t>SS02</t>
        </is>
      </c>
      <c r="E684" t="inlineStr">
        <is>
          <t>Escalón</t>
        </is>
      </c>
      <c r="F684" t="inlineStr">
        <is>
          <t>Paseo General Escalón #3910</t>
        </is>
      </c>
      <c r="G684" t="inlineStr">
        <is>
          <t>San Salvador</t>
        </is>
      </c>
      <c r="H684" t="inlineStr">
        <is>
          <t>San Salvador</t>
        </is>
      </c>
      <c r="I684" t="inlineStr">
        <is>
          <t>Claudia Menjívar</t>
        </is>
      </c>
      <c r="J684" t="inlineStr">
        <is>
          <t>2264-1190</t>
        </is>
      </c>
      <c r="K684" t="inlineStr">
        <is>
          <t>Fátima Rosales</t>
        </is>
      </c>
      <c r="L684" t="inlineStr">
        <is>
          <t>René Cornejo Cornejo</t>
        </is>
      </c>
      <c r="M684" t="inlineStr">
        <is>
          <t>03632979-1</t>
        </is>
      </c>
      <c r="N684" t="inlineStr">
        <is>
          <t>7833-5595</t>
        </is>
      </c>
      <c r="O684" t="inlineStr">
        <is>
          <t>Consumidor final</t>
        </is>
      </c>
      <c r="P684" t="inlineStr">
        <is>
          <t>PAN-002</t>
        </is>
      </c>
      <c r="Q684" t="inlineStr">
        <is>
          <t>Semita alta</t>
        </is>
      </c>
      <c r="R684" t="inlineStr">
        <is>
          <t>Panadería</t>
        </is>
      </c>
      <c r="S684" t="inlineStr">
        <is>
          <t>Panificadora Ilopango</t>
        </is>
      </c>
      <c r="T684" t="inlineStr">
        <is>
          <t>2295-0081</t>
        </is>
      </c>
      <c r="U684" t="n">
        <v>1.75</v>
      </c>
      <c r="V684" t="n">
        <v>1</v>
      </c>
      <c r="W684" t="n">
        <v>0</v>
      </c>
      <c r="X684">
        <f>IFERROR(U684*V684*(1-W684/100),"")</f>
        <v/>
      </c>
      <c r="Y684">
        <f>IFERROR(ROUND(X684*0.13,2),"")</f>
        <v/>
      </c>
      <c r="Z684">
        <f>IFERROR(X684+Y684,"")</f>
        <v/>
      </c>
      <c r="AA684" t="inlineStr">
        <is>
          <t>Efectivo</t>
        </is>
      </c>
      <c r="AB684" t="inlineStr">
        <is>
          <t>Llamar al 7788-1234 antes de entregar</t>
        </is>
      </c>
    </row>
    <row r="685">
      <c r="A685" t="inlineStr">
        <is>
          <t>F-11010</t>
        </is>
      </c>
      <c r="B685" t="inlineStr">
        <is>
          <t>26/08/2026</t>
        </is>
      </c>
      <c r="C685" t="inlineStr">
        <is>
          <t>Factura</t>
        </is>
      </c>
      <c r="D685" t="inlineStr">
        <is>
          <t>SS02</t>
        </is>
      </c>
      <c r="E685" t="inlineStr">
        <is>
          <t>Escalón</t>
        </is>
      </c>
      <c r="F685" t="inlineStr">
        <is>
          <t>Paseo General Escalón #3910</t>
        </is>
      </c>
      <c r="G685" t="inlineStr">
        <is>
          <t>San Salvador</t>
        </is>
      </c>
      <c r="H685" t="inlineStr">
        <is>
          <t>San Salvador</t>
        </is>
      </c>
      <c r="I685" t="inlineStr">
        <is>
          <t>Claudia Menjívar</t>
        </is>
      </c>
      <c r="J685" t="inlineStr">
        <is>
          <t>2264-1190</t>
        </is>
      </c>
      <c r="K685" t="inlineStr">
        <is>
          <t>Fátima Rosales</t>
        </is>
      </c>
      <c r="L685" t="inlineStr">
        <is>
          <t>René Cornejo Cornejo</t>
        </is>
      </c>
      <c r="M685" t="inlineStr">
        <is>
          <t>03632979-1</t>
        </is>
      </c>
      <c r="N685" t="inlineStr">
        <is>
          <t>7833-5595</t>
        </is>
      </c>
      <c r="O685" t="inlineStr">
        <is>
          <t>Consumidor final</t>
        </is>
      </c>
      <c r="P685" t="inlineStr">
        <is>
          <t>ARR-001</t>
        </is>
      </c>
      <c r="Q685" t="inlineStr">
        <is>
          <t>Arroz blanco 5lb</t>
        </is>
      </c>
      <c r="R685" t="inlineStr">
        <is>
          <t>Abarrotes</t>
        </is>
      </c>
      <c r="S685" t="inlineStr">
        <is>
          <t>Granos del Pacífico</t>
        </is>
      </c>
      <c r="T685" t="inlineStr">
        <is>
          <t>2234-8890</t>
        </is>
      </c>
      <c r="U685" t="n">
        <v>3.95</v>
      </c>
      <c r="V685" t="n">
        <v>12</v>
      </c>
      <c r="W685" t="n">
        <v>0</v>
      </c>
      <c r="X685">
        <f>IFERROR(U685*V685*(1-W685/100),"")</f>
        <v/>
      </c>
      <c r="Y685">
        <f>IFERROR(ROUND(X685*0.13,2),"")</f>
        <v/>
      </c>
      <c r="Z685">
        <f>IFERROR(X685+Y685,"")</f>
        <v/>
      </c>
      <c r="AA685" t="inlineStr">
        <is>
          <t>Efectivo</t>
        </is>
      </c>
      <c r="AB685" t="inlineStr"/>
    </row>
    <row r="686">
      <c r="A686" t="inlineStr">
        <is>
          <t>F-11012</t>
        </is>
      </c>
      <c r="B686" s="3" t="n">
        <v>46277</v>
      </c>
      <c r="C686" t="inlineStr">
        <is>
          <t>Factura</t>
        </is>
      </c>
      <c r="D686" t="inlineStr">
        <is>
          <t>LL01</t>
        </is>
      </c>
      <c r="E686" t="inlineStr">
        <is>
          <t>Sta. Tecla</t>
        </is>
      </c>
      <c r="F686" t="inlineStr">
        <is>
          <t>Calle Daniel Hernández #18</t>
        </is>
      </c>
      <c r="G686" t="inlineStr">
        <is>
          <t>Santa Tecla</t>
        </is>
      </c>
      <c r="H686" t="inlineStr">
        <is>
          <t>La Libertad</t>
        </is>
      </c>
      <c r="I686" t="inlineStr">
        <is>
          <t>Óscar Rivas</t>
        </is>
      </c>
      <c r="J686" t="inlineStr">
        <is>
          <t>2228-7731</t>
        </is>
      </c>
      <c r="K686" t="inlineStr">
        <is>
          <t>Andrea Pineda</t>
        </is>
      </c>
      <c r="L686" t="inlineStr">
        <is>
          <t>Edwin Rivera Guevara</t>
        </is>
      </c>
      <c r="M686" t="inlineStr">
        <is>
          <t>03840762-1</t>
        </is>
      </c>
      <c r="N686" t="inlineStr">
        <is>
          <t>7817-8484</t>
        </is>
      </c>
      <c r="O686" t="inlineStr">
        <is>
          <t>Consumidor final</t>
        </is>
      </c>
      <c r="P686" t="inlineStr">
        <is>
          <t>PAN-001</t>
        </is>
      </c>
      <c r="Q686" t="inlineStr">
        <is>
          <t>Pan francés bolsa 10u</t>
        </is>
      </c>
      <c r="R686" t="inlineStr">
        <is>
          <t>Panaderia</t>
        </is>
      </c>
      <c r="S686" t="inlineStr">
        <is>
          <t>Panificadora Ilopango</t>
        </is>
      </c>
      <c r="T686" t="inlineStr">
        <is>
          <t>2295-0081</t>
        </is>
      </c>
      <c r="U686" t="n">
        <v>1</v>
      </c>
      <c r="V686" t="n">
        <v>1</v>
      </c>
      <c r="W686" t="n">
        <v>0</v>
      </c>
      <c r="X686">
        <f>IFERROR(U686*V686*(1-W686/100),"")</f>
        <v/>
      </c>
      <c r="Y686">
        <f>IFERROR(ROUND(X686*0.13,2),"")</f>
        <v/>
      </c>
      <c r="Z686">
        <f>IFERROR(X686+Y686,"")</f>
        <v/>
      </c>
      <c r="AA686" t="inlineStr">
        <is>
          <t>Transferencia</t>
        </is>
      </c>
      <c r="AB686" t="inlineStr"/>
    </row>
    <row r="687">
      <c r="A687" t="inlineStr">
        <is>
          <t>F-11014</t>
        </is>
      </c>
      <c r="B687" s="3" t="n">
        <v>46216</v>
      </c>
      <c r="C687" t="inlineStr">
        <is>
          <t>FCF</t>
        </is>
      </c>
      <c r="D687" t="inlineStr">
        <is>
          <t>SS01</t>
        </is>
      </c>
      <c r="E687" t="inlineStr">
        <is>
          <t xml:space="preserve">san salvador centro </t>
        </is>
      </c>
      <c r="F687" t="inlineStr">
        <is>
          <t>4a Calle Poniente #215</t>
        </is>
      </c>
      <c r="G687" t="inlineStr">
        <is>
          <t>San Salvador</t>
        </is>
      </c>
      <c r="H687" t="inlineStr">
        <is>
          <t>San Salvador</t>
        </is>
      </c>
      <c r="I687" t="inlineStr">
        <is>
          <t>Roberto Alfaro</t>
        </is>
      </c>
      <c r="J687" t="inlineStr">
        <is>
          <t>2221-4580</t>
        </is>
      </c>
      <c r="K687" t="inlineStr">
        <is>
          <t>Daniela Orellana</t>
        </is>
      </c>
      <c r="L687" t="inlineStr">
        <is>
          <t>Carmen Quintanilla Mejía</t>
        </is>
      </c>
      <c r="M687" t="inlineStr">
        <is>
          <t>05832730-5</t>
        </is>
      </c>
      <c r="N687" t="inlineStr">
        <is>
          <t>6863-9414</t>
        </is>
      </c>
      <c r="O687" t="inlineStr">
        <is>
          <t>Consumidor final</t>
        </is>
      </c>
      <c r="P687" t="inlineStr">
        <is>
          <t>CAF-002</t>
        </is>
      </c>
      <c r="Q687" t="inlineStr">
        <is>
          <t>Café en grano 1lb</t>
        </is>
      </c>
      <c r="R687" t="inlineStr">
        <is>
          <t>Abarrotes</t>
        </is>
      </c>
      <c r="S687" t="inlineStr">
        <is>
          <t>Café Volcán S.A.</t>
        </is>
      </c>
      <c r="T687" t="inlineStr">
        <is>
          <t>2510-3344</t>
        </is>
      </c>
      <c r="U687" t="n">
        <v>6.75</v>
      </c>
      <c r="V687" t="n">
        <v>6</v>
      </c>
      <c r="W687" t="n">
        <v>0</v>
      </c>
      <c r="X687">
        <f>IFERROR(U687*V687*(1-W687/100),"")</f>
        <v/>
      </c>
      <c r="Y687">
        <f>IFERROR(ROUND(X687*0.13,2),"")</f>
        <v/>
      </c>
      <c r="Z687">
        <f>IFERROR(X687+Y687,"")</f>
        <v/>
      </c>
      <c r="AA687" t="inlineStr">
        <is>
          <t>TARJETA</t>
        </is>
      </c>
      <c r="AB687" t="inlineStr">
        <is>
          <t>Cliente frecuente</t>
        </is>
      </c>
    </row>
    <row r="688">
      <c r="A688" t="inlineStr">
        <is>
          <t>F-11014</t>
        </is>
      </c>
      <c r="B688" s="3" t="n">
        <v>46216</v>
      </c>
      <c r="C688" t="inlineStr">
        <is>
          <t>FCF</t>
        </is>
      </c>
      <c r="D688" t="inlineStr">
        <is>
          <t>SS01</t>
        </is>
      </c>
      <c r="E688" t="inlineStr">
        <is>
          <t>S.S. Centro</t>
        </is>
      </c>
      <c r="F688" t="inlineStr">
        <is>
          <t>4a Calle Poniente #215</t>
        </is>
      </c>
      <c r="G688" t="inlineStr">
        <is>
          <t>San Salvador</t>
        </is>
      </c>
      <c r="H688" t="inlineStr">
        <is>
          <t>San Salvador</t>
        </is>
      </c>
      <c r="I688" t="inlineStr">
        <is>
          <t>Roberto Alfaro</t>
        </is>
      </c>
      <c r="J688" t="inlineStr">
        <is>
          <t>2221-4580</t>
        </is>
      </c>
      <c r="K688" t="inlineStr">
        <is>
          <t>Daniela Orellana</t>
        </is>
      </c>
      <c r="L688" t="inlineStr">
        <is>
          <t>Carmen Quintanilla Mejía</t>
        </is>
      </c>
      <c r="M688" t="inlineStr">
        <is>
          <t>05832730-5</t>
        </is>
      </c>
      <c r="N688" t="inlineStr">
        <is>
          <t>6863-9414</t>
        </is>
      </c>
      <c r="O688" t="inlineStr">
        <is>
          <t>Consumidor final</t>
        </is>
      </c>
      <c r="P688" t="inlineStr">
        <is>
          <t>LAC-002</t>
        </is>
      </c>
      <c r="Q688" t="inlineStr">
        <is>
          <t>Crema 500ml</t>
        </is>
      </c>
      <c r="R688" t="inlineStr">
        <is>
          <t>Lacteos</t>
        </is>
      </c>
      <c r="S688" t="inlineStr">
        <is>
          <t>Lácteos Chalate</t>
        </is>
      </c>
      <c r="T688" t="inlineStr">
        <is>
          <t>2335-1020</t>
        </is>
      </c>
      <c r="U688" t="inlineStr">
        <is>
          <t>2,25</t>
        </is>
      </c>
      <c r="V688" t="n">
        <v>1</v>
      </c>
      <c r="W688" t="n">
        <v>0</v>
      </c>
      <c r="X688">
        <f>IFERROR(U688*V688*(1-W688/100),"")</f>
        <v/>
      </c>
      <c r="Y688">
        <f>IFERROR(ROUND(X688*0.13,2),"")</f>
        <v/>
      </c>
      <c r="Z688">
        <f>IFERROR(X688+Y688,"")</f>
        <v/>
      </c>
      <c r="AA688" t="inlineStr">
        <is>
          <t>TARJETA</t>
        </is>
      </c>
      <c r="AB688" t="inlineStr"/>
    </row>
    <row r="689">
      <c r="A689" t="inlineStr">
        <is>
          <t>F-11014</t>
        </is>
      </c>
      <c r="B689" s="3" t="n">
        <v>46216</v>
      </c>
      <c r="C689" t="inlineStr">
        <is>
          <t>FCF</t>
        </is>
      </c>
      <c r="D689" t="inlineStr">
        <is>
          <t>SS01</t>
        </is>
      </c>
      <c r="E689" t="inlineStr">
        <is>
          <t>SAN SALVADOR CENTRO</t>
        </is>
      </c>
      <c r="F689" t="inlineStr">
        <is>
          <t>4a Calle Poniente #215</t>
        </is>
      </c>
      <c r="G689" t="inlineStr">
        <is>
          <t>San Salvador</t>
        </is>
      </c>
      <c r="H689" t="inlineStr">
        <is>
          <t>San Salvador</t>
        </is>
      </c>
      <c r="I689" t="inlineStr">
        <is>
          <t>Roberto Alfaro</t>
        </is>
      </c>
      <c r="J689" t="inlineStr">
        <is>
          <t>2221-4580</t>
        </is>
      </c>
      <c r="K689" t="inlineStr">
        <is>
          <t>Daniela Orellana</t>
        </is>
      </c>
      <c r="L689" t="inlineStr">
        <is>
          <t>Carmen Quintanilla Mejía</t>
        </is>
      </c>
      <c r="M689" t="inlineStr">
        <is>
          <t>05832730-5</t>
        </is>
      </c>
      <c r="N689" t="inlineStr">
        <is>
          <t>6863-9414</t>
        </is>
      </c>
      <c r="O689" t="inlineStr">
        <is>
          <t>Consumidor final</t>
        </is>
      </c>
      <c r="P689" t="inlineStr">
        <is>
          <t>HIG-001</t>
        </is>
      </c>
      <c r="Q689" t="inlineStr">
        <is>
          <t>Detergente 1kg</t>
        </is>
      </c>
      <c r="R689" t="inlineStr">
        <is>
          <t>Limpieza</t>
        </is>
      </c>
      <c r="S689" t="inlineStr">
        <is>
          <t>Higiene Total C.A.</t>
        </is>
      </c>
      <c r="T689" t="inlineStr">
        <is>
          <t>2207-5566</t>
        </is>
      </c>
      <c r="U689" t="n">
        <v>3.45</v>
      </c>
      <c r="V689" t="n">
        <v>24</v>
      </c>
      <c r="W689" t="n">
        <v>0</v>
      </c>
      <c r="X689">
        <f>IFERROR(U689*V689*(1-W689/100),"")</f>
        <v/>
      </c>
      <c r="Y689">
        <f>IFERROR(ROUND(X689*0.13,2),"")</f>
        <v/>
      </c>
      <c r="Z689">
        <f>IFERROR(X689+Y689,"")</f>
        <v/>
      </c>
      <c r="AA689" t="inlineStr">
        <is>
          <t>TARJETA</t>
        </is>
      </c>
      <c r="AB689" t="inlineStr"/>
    </row>
    <row r="690">
      <c r="A690" t="inlineStr">
        <is>
          <t>F-11014</t>
        </is>
      </c>
      <c r="B690" s="3" t="n">
        <v>46216</v>
      </c>
      <c r="C690" t="inlineStr">
        <is>
          <t>FCF</t>
        </is>
      </c>
      <c r="D690" t="inlineStr">
        <is>
          <t>SS01</t>
        </is>
      </c>
      <c r="E690" t="inlineStr">
        <is>
          <t>SAN SALVADOR CENTRO</t>
        </is>
      </c>
      <c r="F690" t="inlineStr">
        <is>
          <t>4a Calle Poniente #215</t>
        </is>
      </c>
      <c r="G690" t="inlineStr">
        <is>
          <t>San Salvador</t>
        </is>
      </c>
      <c r="H690" t="inlineStr">
        <is>
          <t>San Salvador</t>
        </is>
      </c>
      <c r="I690" t="inlineStr">
        <is>
          <t>Roberto Alfaro</t>
        </is>
      </c>
      <c r="J690" t="inlineStr">
        <is>
          <t>2221-4580</t>
        </is>
      </c>
      <c r="K690" t="inlineStr">
        <is>
          <t>Daniela Orellana</t>
        </is>
      </c>
      <c r="L690" t="inlineStr">
        <is>
          <t>Carmen Quintanilla Mejía</t>
        </is>
      </c>
      <c r="M690" t="inlineStr">
        <is>
          <t>05832730-5</t>
        </is>
      </c>
      <c r="N690" t="inlineStr">
        <is>
          <t>6863-9414</t>
        </is>
      </c>
      <c r="O690" t="inlineStr">
        <is>
          <t>Consumidor final</t>
        </is>
      </c>
      <c r="P690" t="inlineStr">
        <is>
          <t>HIG-002</t>
        </is>
      </c>
      <c r="Q690" t="inlineStr">
        <is>
          <t>Papel higiénico 4 rollos</t>
        </is>
      </c>
      <c r="R690" t="inlineStr">
        <is>
          <t>Higiene</t>
        </is>
      </c>
      <c r="S690" t="inlineStr">
        <is>
          <t>Higiene Total C.A.</t>
        </is>
      </c>
      <c r="T690" t="inlineStr">
        <is>
          <t>2207-5566</t>
        </is>
      </c>
      <c r="U690" t="n">
        <v>2.15</v>
      </c>
      <c r="V690" t="n">
        <v>1</v>
      </c>
      <c r="W690" t="n">
        <v>0</v>
      </c>
      <c r="X690">
        <f>IFERROR(U690*V690*(1-W690/100),"")</f>
        <v/>
      </c>
      <c r="Y690">
        <f>IFERROR(ROUND(X690*0.13,2),"")</f>
        <v/>
      </c>
      <c r="Z690">
        <f>IFERROR(X690+Y690,"")</f>
        <v/>
      </c>
      <c r="AA690" t="inlineStr">
        <is>
          <t>TARJETA</t>
        </is>
      </c>
      <c r="AB690" t="inlineStr"/>
    </row>
    <row r="691">
      <c r="A691" t="inlineStr">
        <is>
          <t>F-11015</t>
        </is>
      </c>
      <c r="B691" t="inlineStr">
        <is>
          <t>2026-08-06</t>
        </is>
      </c>
      <c r="C691" t="inlineStr">
        <is>
          <t>factura</t>
        </is>
      </c>
      <c r="D691" t="inlineStr">
        <is>
          <t>SO01</t>
        </is>
      </c>
      <c r="E691" t="inlineStr">
        <is>
          <t>Sonsonate</t>
        </is>
      </c>
      <c r="F691" t="inlineStr">
        <is>
          <t>Calle Obispo Marroquín #3</t>
        </is>
      </c>
      <c r="G691" t="inlineStr">
        <is>
          <t>Sonsonate</t>
        </is>
      </c>
      <c r="H691" t="inlineStr">
        <is>
          <t>Sonsonate</t>
        </is>
      </c>
      <c r="I691" t="inlineStr">
        <is>
          <t>Ernesto Chávez</t>
        </is>
      </c>
      <c r="J691" t="inlineStr">
        <is>
          <t>2451-2288</t>
        </is>
      </c>
      <c r="K691" t="inlineStr">
        <is>
          <t>Ricardo Funes</t>
        </is>
      </c>
      <c r="L691" t="inlineStr">
        <is>
          <t>RENÉ FLORES GARCÍA</t>
        </is>
      </c>
      <c r="M691" t="inlineStr">
        <is>
          <t>08499785-5</t>
        </is>
      </c>
      <c r="N691" t="inlineStr">
        <is>
          <t>6702-2047</t>
        </is>
      </c>
      <c r="O691" t="inlineStr">
        <is>
          <t>Consumidor final</t>
        </is>
      </c>
      <c r="P691" t="inlineStr">
        <is>
          <t>HIG-003</t>
        </is>
      </c>
      <c r="Q691" t="inlineStr">
        <is>
          <t>Jabón de lavar barra</t>
        </is>
      </c>
      <c r="R691" t="inlineStr">
        <is>
          <t>Limpieza</t>
        </is>
      </c>
      <c r="S691" t="inlineStr">
        <is>
          <t>Higiene Total C.A.</t>
        </is>
      </c>
      <c r="T691" t="inlineStr">
        <is>
          <t>2207-5566</t>
        </is>
      </c>
      <c r="U691" t="n">
        <v>0.75</v>
      </c>
      <c r="V691" t="n">
        <v>12</v>
      </c>
      <c r="W691" t="n">
        <v>0</v>
      </c>
      <c r="X691">
        <f>IFERROR(U691*V691*(1-W691/100),"")</f>
        <v/>
      </c>
      <c r="Y691">
        <f>IFERROR(ROUND(X691*0.13,2),"")</f>
        <v/>
      </c>
      <c r="Z691">
        <f>IFERROR(X691+Y691,"")</f>
        <v/>
      </c>
      <c r="AA691" t="inlineStr">
        <is>
          <t>Tarjeta</t>
        </is>
      </c>
      <c r="AB691" t="inlineStr"/>
    </row>
    <row r="692">
      <c r="A692" t="inlineStr">
        <is>
          <t>F-11015</t>
        </is>
      </c>
      <c r="B692" t="inlineStr">
        <is>
          <t>2026-08-06</t>
        </is>
      </c>
      <c r="C692" t="inlineStr">
        <is>
          <t>factura</t>
        </is>
      </c>
      <c r="D692" t="inlineStr">
        <is>
          <t>SO01</t>
        </is>
      </c>
      <c r="E692" t="inlineStr">
        <is>
          <t>Sonsonate</t>
        </is>
      </c>
      <c r="F692" t="inlineStr">
        <is>
          <t>Calle Obispo Marroquín #3</t>
        </is>
      </c>
      <c r="G692" t="inlineStr">
        <is>
          <t>Sonsonate</t>
        </is>
      </c>
      <c r="H692" t="inlineStr">
        <is>
          <t>Sonsonate</t>
        </is>
      </c>
      <c r="I692" t="inlineStr">
        <is>
          <t>Ernesto Chávez</t>
        </is>
      </c>
      <c r="J692" t="inlineStr">
        <is>
          <t>2451-2288</t>
        </is>
      </c>
      <c r="K692" t="inlineStr">
        <is>
          <t>Ricardo Funes</t>
        </is>
      </c>
      <c r="L692" t="inlineStr">
        <is>
          <t>René Flores García</t>
        </is>
      </c>
      <c r="M692" t="inlineStr">
        <is>
          <t>08499785-5</t>
        </is>
      </c>
      <c r="N692" t="inlineStr">
        <is>
          <t>6702-2047</t>
        </is>
      </c>
      <c r="O692" t="inlineStr">
        <is>
          <t>Consumidor final</t>
        </is>
      </c>
      <c r="P692" t="inlineStr">
        <is>
          <t>AZU-001</t>
        </is>
      </c>
      <c r="Q692" t="inlineStr">
        <is>
          <t>Azúcar blanca 2.5kg</t>
        </is>
      </c>
      <c r="R692" t="inlineStr">
        <is>
          <t>Abarrotes</t>
        </is>
      </c>
      <c r="S692" t="inlineStr">
        <is>
          <t>Granos del Pacífico</t>
        </is>
      </c>
      <c r="T692" t="inlineStr">
        <is>
          <t>2234-8890</t>
        </is>
      </c>
      <c r="U692" t="n">
        <v>3.1</v>
      </c>
      <c r="V692" t="n">
        <v>24</v>
      </c>
      <c r="W692" t="n">
        <v>0</v>
      </c>
      <c r="X692">
        <f>IFERROR(U692*V692*(1-W692/100),"")</f>
        <v/>
      </c>
      <c r="Y692">
        <f>IFERROR(ROUND(X692*0.13,2),"")</f>
        <v/>
      </c>
      <c r="Z692">
        <f>IFERROR(X692+Y692,"")</f>
        <v/>
      </c>
      <c r="AA692" t="inlineStr">
        <is>
          <t>Tarjeta</t>
        </is>
      </c>
      <c r="AB692" t="inlineStr">
        <is>
          <t>Llamar al 7788-1234 antes de entregar</t>
        </is>
      </c>
    </row>
    <row r="693">
      <c r="A693" t="inlineStr">
        <is>
          <t>F-11015</t>
        </is>
      </c>
      <c r="B693" s="3" t="n">
        <v>46240</v>
      </c>
      <c r="C693" t="inlineStr">
        <is>
          <t>factura</t>
        </is>
      </c>
      <c r="D693" t="inlineStr">
        <is>
          <t>SO01</t>
        </is>
      </c>
      <c r="E693" t="inlineStr">
        <is>
          <t>Sonsonate</t>
        </is>
      </c>
      <c r="F693" t="inlineStr">
        <is>
          <t>Calle Obispo Marroquín #3</t>
        </is>
      </c>
      <c r="G693" t="inlineStr">
        <is>
          <t>Sonsonate</t>
        </is>
      </c>
      <c r="H693" t="inlineStr">
        <is>
          <t>Sonsonate</t>
        </is>
      </c>
      <c r="I693" t="inlineStr">
        <is>
          <t>Ernesto Chávez</t>
        </is>
      </c>
      <c r="J693" t="inlineStr">
        <is>
          <t>2451-2288</t>
        </is>
      </c>
      <c r="K693" t="inlineStr">
        <is>
          <t>Ricardo Funes</t>
        </is>
      </c>
      <c r="L693" t="inlineStr">
        <is>
          <t>René Flores García</t>
        </is>
      </c>
      <c r="M693" t="inlineStr">
        <is>
          <t>08499785-5</t>
        </is>
      </c>
      <c r="N693" t="inlineStr">
        <is>
          <t>6702-2047</t>
        </is>
      </c>
      <c r="O693" t="inlineStr">
        <is>
          <t>Consumidor final</t>
        </is>
      </c>
      <c r="P693" t="inlineStr">
        <is>
          <t>ARR-001</t>
        </is>
      </c>
      <c r="Q693" t="inlineStr">
        <is>
          <t>Arroz blanco 5lb</t>
        </is>
      </c>
      <c r="R693" t="inlineStr">
        <is>
          <t>Granos básicos</t>
        </is>
      </c>
      <c r="S693" t="inlineStr">
        <is>
          <t>Granos del Pacífico</t>
        </is>
      </c>
      <c r="T693" t="inlineStr">
        <is>
          <t>2234-8890</t>
        </is>
      </c>
      <c r="U693" t="n">
        <v>3.95</v>
      </c>
      <c r="V693" t="n">
        <v>2</v>
      </c>
      <c r="W693" t="n">
        <v>0</v>
      </c>
      <c r="X693">
        <f>IFERROR(U693*V693*(1-W693/100),"")</f>
        <v/>
      </c>
      <c r="Y693">
        <f>IFERROR(ROUND(X693*0.13,2),"")</f>
        <v/>
      </c>
      <c r="Z693">
        <f>IFERROR(X693+Y693,"")</f>
        <v/>
      </c>
      <c r="AA693" t="inlineStr">
        <is>
          <t>Tarjeta</t>
        </is>
      </c>
      <c r="AB693" t="inlineStr">
        <is>
          <t>entregar en bodega</t>
        </is>
      </c>
    </row>
    <row r="694">
      <c r="A694" t="inlineStr">
        <is>
          <t>F-11016</t>
        </is>
      </c>
      <c r="B694" s="3" t="n">
        <v>46210</v>
      </c>
      <c r="C694" t="inlineStr">
        <is>
          <t>Factura</t>
        </is>
      </c>
      <c r="D694" t="inlineStr">
        <is>
          <t>LL01</t>
        </is>
      </c>
      <c r="E694" t="inlineStr">
        <is>
          <t>Sta. Tecla</t>
        </is>
      </c>
      <c r="F694" t="inlineStr">
        <is>
          <t>Calle Daniel Hernández #18</t>
        </is>
      </c>
      <c r="G694" t="inlineStr">
        <is>
          <t>Santa Tecla</t>
        </is>
      </c>
      <c r="H694" t="inlineStr">
        <is>
          <t>La Libertad</t>
        </is>
      </c>
      <c r="I694" t="inlineStr">
        <is>
          <t>Óscar Rivas</t>
        </is>
      </c>
      <c r="J694" t="inlineStr">
        <is>
          <t>2228-7731</t>
        </is>
      </c>
      <c r="K694" t="inlineStr">
        <is>
          <t>Luis Escobar</t>
        </is>
      </c>
      <c r="L694" t="inlineStr">
        <is>
          <t>René Alvarado Lemus</t>
        </is>
      </c>
      <c r="M694" t="inlineStr">
        <is>
          <t>07676586-8</t>
        </is>
      </c>
      <c r="N694" t="inlineStr">
        <is>
          <t>6907-6114</t>
        </is>
      </c>
      <c r="O694" t="inlineStr">
        <is>
          <t>Consumidor final</t>
        </is>
      </c>
      <c r="P694" t="inlineStr">
        <is>
          <t>CAF-001</t>
        </is>
      </c>
      <c r="Q694" t="inlineStr">
        <is>
          <t>Café molido 400g</t>
        </is>
      </c>
      <c r="R694" t="inlineStr">
        <is>
          <t>ABARROTES</t>
        </is>
      </c>
      <c r="S694" t="inlineStr">
        <is>
          <t>Café Volcán S.A.</t>
        </is>
      </c>
      <c r="T694" t="inlineStr">
        <is>
          <t>2510-3344</t>
        </is>
      </c>
      <c r="U694" t="n">
        <v>4.25</v>
      </c>
      <c r="V694" t="n">
        <v>24</v>
      </c>
      <c r="W694" t="n">
        <v>0</v>
      </c>
      <c r="X694">
        <f>IFERROR(U694*V694*(1-W694/100),"")</f>
        <v/>
      </c>
      <c r="Y694">
        <f>IFERROR(ROUND(X694*0.13,2),"")</f>
        <v/>
      </c>
      <c r="Z694">
        <f>IFERROR(X694+Y694,"")</f>
        <v/>
      </c>
      <c r="AA694" t="inlineStr">
        <is>
          <t>Tarjeta</t>
        </is>
      </c>
      <c r="AB694" t="inlineStr">
        <is>
          <t>entregar en bodega</t>
        </is>
      </c>
    </row>
    <row r="695">
      <c r="A695" t="inlineStr">
        <is>
          <t>F-11016</t>
        </is>
      </c>
      <c r="B695" s="3" t="n">
        <v>46210</v>
      </c>
      <c r="C695" t="inlineStr">
        <is>
          <t>Factura</t>
        </is>
      </c>
      <c r="D695" t="inlineStr">
        <is>
          <t>LL01</t>
        </is>
      </c>
      <c r="E695" t="inlineStr">
        <is>
          <t>SANTA TECLA</t>
        </is>
      </c>
      <c r="F695" t="inlineStr">
        <is>
          <t>Calle Daniel Hernández #18</t>
        </is>
      </c>
      <c r="G695" t="inlineStr">
        <is>
          <t>Santa Tecla</t>
        </is>
      </c>
      <c r="H695" t="inlineStr">
        <is>
          <t>La Libertad</t>
        </is>
      </c>
      <c r="I695" t="inlineStr">
        <is>
          <t>Óscar Rivas</t>
        </is>
      </c>
      <c r="J695" t="inlineStr">
        <is>
          <t>2228-7731</t>
        </is>
      </c>
      <c r="K695" t="inlineStr">
        <is>
          <t>Luis Escobar</t>
        </is>
      </c>
      <c r="L695" t="inlineStr">
        <is>
          <t>René Alvarado Lemus</t>
        </is>
      </c>
      <c r="M695" t="inlineStr">
        <is>
          <t>07676586-8</t>
        </is>
      </c>
      <c r="N695" t="inlineStr">
        <is>
          <t>6907-6114</t>
        </is>
      </c>
      <c r="O695" t="inlineStr">
        <is>
          <t>Consumidor final</t>
        </is>
      </c>
      <c r="P695" t="inlineStr">
        <is>
          <t>BEB-002</t>
        </is>
      </c>
      <c r="Q695" t="inlineStr">
        <is>
          <t>Agua purificada 1 galón</t>
        </is>
      </c>
      <c r="R695" t="inlineStr">
        <is>
          <t>Bebidas</t>
        </is>
      </c>
      <c r="S695" t="inlineStr">
        <is>
          <t>Bebidas Izalco</t>
        </is>
      </c>
      <c r="T695" t="inlineStr">
        <is>
          <t>2450-7700</t>
        </is>
      </c>
      <c r="U695" t="n">
        <v>1.1</v>
      </c>
      <c r="V695" t="n">
        <v>4</v>
      </c>
      <c r="W695" t="n">
        <v>0</v>
      </c>
      <c r="X695">
        <f>IFERROR(U695*V695*(1-W695/100),"")</f>
        <v/>
      </c>
      <c r="Y695">
        <f>IFERROR(ROUND(X695*0.13,2),"")</f>
        <v/>
      </c>
      <c r="Z695">
        <f>IFERROR(X695+Y695,"")</f>
        <v/>
      </c>
      <c r="AA695" t="inlineStr">
        <is>
          <t>Tarjeta</t>
        </is>
      </c>
      <c r="AB695" t="inlineStr">
        <is>
          <t>Llamar al 7788-1234 antes de entregar</t>
        </is>
      </c>
    </row>
    <row r="696">
      <c r="A696" t="inlineStr">
        <is>
          <t>F-11016</t>
        </is>
      </c>
      <c r="B696" t="inlineStr">
        <is>
          <t>07/07/2026</t>
        </is>
      </c>
      <c r="C696" t="inlineStr">
        <is>
          <t>Factura</t>
        </is>
      </c>
      <c r="D696" t="inlineStr">
        <is>
          <t>LL01</t>
        </is>
      </c>
      <c r="E696" t="inlineStr">
        <is>
          <t>SANTA TECLA</t>
        </is>
      </c>
      <c r="F696" t="inlineStr">
        <is>
          <t>Calle Daniel Hernández #18</t>
        </is>
      </c>
      <c r="G696" t="inlineStr">
        <is>
          <t>Santa Tecla</t>
        </is>
      </c>
      <c r="H696" t="inlineStr">
        <is>
          <t>La Libertad</t>
        </is>
      </c>
      <c r="I696" t="inlineStr">
        <is>
          <t>Óscar Rivas</t>
        </is>
      </c>
      <c r="J696" t="inlineStr">
        <is>
          <t>2228-7731</t>
        </is>
      </c>
      <c r="K696" t="inlineStr">
        <is>
          <t>Luis Escobar</t>
        </is>
      </c>
      <c r="L696" t="inlineStr">
        <is>
          <t>René Alvarado Lemus</t>
        </is>
      </c>
      <c r="M696" t="inlineStr">
        <is>
          <t>07676586-8</t>
        </is>
      </c>
      <c r="N696" t="inlineStr">
        <is>
          <t>6907-6114</t>
        </is>
      </c>
      <c r="O696" t="inlineStr">
        <is>
          <t>Consumidor final</t>
        </is>
      </c>
      <c r="P696" t="inlineStr">
        <is>
          <t>AZU-001</t>
        </is>
      </c>
      <c r="Q696" t="inlineStr">
        <is>
          <t>Azúcar blanca 2.5kg</t>
        </is>
      </c>
      <c r="R696" t="inlineStr">
        <is>
          <t>Abarrotes</t>
        </is>
      </c>
      <c r="S696" t="inlineStr">
        <is>
          <t>Granos del Pacífico</t>
        </is>
      </c>
      <c r="T696" t="inlineStr">
        <is>
          <t>2234-8890</t>
        </is>
      </c>
      <c r="U696" t="n">
        <v>3.1</v>
      </c>
      <c r="V696" t="n">
        <v>1</v>
      </c>
      <c r="W696" t="n">
        <v>0</v>
      </c>
      <c r="X696">
        <f>IFERROR(U696*V696*(1-W696/100),"")</f>
        <v/>
      </c>
      <c r="Y696">
        <f>IFERROR(ROUND(X696*0.13,2),"")</f>
        <v/>
      </c>
      <c r="Z696">
        <f>IFERROR(X696+Y696,"")</f>
        <v/>
      </c>
      <c r="AA696" t="inlineStr">
        <is>
          <t>Tarjeta</t>
        </is>
      </c>
      <c r="AB696" t="inlineStr"/>
    </row>
    <row r="697">
      <c r="A697" t="inlineStr">
        <is>
          <t>F-11018</t>
        </is>
      </c>
      <c r="B697" t="inlineStr">
        <is>
          <t>2026-08-12</t>
        </is>
      </c>
      <c r="C697" t="inlineStr">
        <is>
          <t>Factura</t>
        </is>
      </c>
      <c r="D697" t="inlineStr">
        <is>
          <t>LL02</t>
        </is>
      </c>
      <c r="E697" t="inlineStr">
        <is>
          <t>La Libertad Puerto</t>
        </is>
      </c>
      <c r="F697" t="inlineStr">
        <is>
          <t>Calle El Malecón, Local 4</t>
        </is>
      </c>
      <c r="G697" t="inlineStr">
        <is>
          <t>La Libertad</t>
        </is>
      </c>
      <c r="H697" t="inlineStr">
        <is>
          <t>La Libertad</t>
        </is>
      </c>
      <c r="I697" t="inlineStr">
        <is>
          <t>Wendy Aguilar</t>
        </is>
      </c>
      <c r="J697" t="inlineStr">
        <is>
          <t>2335-6140</t>
        </is>
      </c>
      <c r="K697" t="inlineStr">
        <is>
          <t>Gabriela Saravia</t>
        </is>
      </c>
      <c r="L697" t="inlineStr">
        <is>
          <t>Walter Hernández Flores</t>
        </is>
      </c>
      <c r="M697" t="inlineStr">
        <is>
          <t>01412764-4</t>
        </is>
      </c>
      <c r="N697" t="inlineStr">
        <is>
          <t>6659-5342</t>
        </is>
      </c>
      <c r="O697" t="inlineStr">
        <is>
          <t>Consumidor final</t>
        </is>
      </c>
      <c r="P697" t="inlineStr">
        <is>
          <t>HIG-001</t>
        </is>
      </c>
      <c r="Q697" t="inlineStr">
        <is>
          <t>Detergente 1kg</t>
        </is>
      </c>
      <c r="R697" t="inlineStr">
        <is>
          <t>Limpieza</t>
        </is>
      </c>
      <c r="S697" t="inlineStr">
        <is>
          <t>Higiene Total C.A.</t>
        </is>
      </c>
      <c r="T697" t="inlineStr">
        <is>
          <t>2207-5566</t>
        </is>
      </c>
      <c r="U697" t="n">
        <v>3.45</v>
      </c>
      <c r="V697" t="n">
        <v>24</v>
      </c>
      <c r="W697" t="n">
        <v>0</v>
      </c>
      <c r="X697">
        <f>IFERROR(U697*V697*(1-W697/100),"")</f>
        <v/>
      </c>
      <c r="Y697">
        <f>IFERROR(ROUND(X697*0.13,2),"")</f>
        <v/>
      </c>
      <c r="Z697">
        <f>IFERROR(X697+Y697,"")</f>
        <v/>
      </c>
      <c r="AA697" t="inlineStr">
        <is>
          <t>Efectivo</t>
        </is>
      </c>
      <c r="AB697" t="inlineStr">
        <is>
          <t>precio especial autorizado por gerente</t>
        </is>
      </c>
    </row>
    <row r="698">
      <c r="A698" t="inlineStr">
        <is>
          <t>F-11018</t>
        </is>
      </c>
      <c r="B698" s="3" t="n">
        <v>46246</v>
      </c>
      <c r="C698" t="inlineStr">
        <is>
          <t>Factura</t>
        </is>
      </c>
      <c r="D698" t="inlineStr">
        <is>
          <t>LL02</t>
        </is>
      </c>
      <c r="E698" t="inlineStr">
        <is>
          <t>Pto. La Libertad</t>
        </is>
      </c>
      <c r="F698" t="inlineStr">
        <is>
          <t>Calle El Malecón, Local 4</t>
        </is>
      </c>
      <c r="G698" t="inlineStr">
        <is>
          <t>La Libertad</t>
        </is>
      </c>
      <c r="H698" t="inlineStr">
        <is>
          <t>La Libertad</t>
        </is>
      </c>
      <c r="I698" t="inlineStr">
        <is>
          <t>Wendy Aguilar</t>
        </is>
      </c>
      <c r="J698" t="inlineStr">
        <is>
          <t>2335-6140</t>
        </is>
      </c>
      <c r="K698" t="inlineStr">
        <is>
          <t>Gabriela Saravia</t>
        </is>
      </c>
      <c r="L698" t="inlineStr">
        <is>
          <t>Walter Hernández Flores</t>
        </is>
      </c>
      <c r="M698" t="inlineStr">
        <is>
          <t>01412764-4</t>
        </is>
      </c>
      <c r="N698" t="inlineStr">
        <is>
          <t>6659-5342</t>
        </is>
      </c>
      <c r="O698" t="inlineStr">
        <is>
          <t>Consumidor final</t>
        </is>
      </c>
      <c r="P698" t="inlineStr">
        <is>
          <t>BEB-003</t>
        </is>
      </c>
      <c r="Q698" t="inlineStr">
        <is>
          <t>Horchata en polvo 400g</t>
        </is>
      </c>
      <c r="R698" t="inlineStr">
        <is>
          <t>Abarrotes</t>
        </is>
      </c>
      <c r="S698" t="inlineStr">
        <is>
          <t>Bebidas Izalco</t>
        </is>
      </c>
      <c r="T698" t="inlineStr">
        <is>
          <t>2450-7700</t>
        </is>
      </c>
      <c r="U698" t="n">
        <v>2.6</v>
      </c>
      <c r="V698" t="n">
        <v>1</v>
      </c>
      <c r="W698" t="n">
        <v>0</v>
      </c>
      <c r="X698">
        <f>IFERROR(U698*V698*(1-W698/100),"")</f>
        <v/>
      </c>
      <c r="Y698">
        <f>IFERROR(ROUND(X698*0.13,2),"")</f>
        <v/>
      </c>
      <c r="Z698">
        <f>IFERROR(X698+Y698,"")</f>
        <v/>
      </c>
      <c r="AA698" t="inlineStr">
        <is>
          <t>Efectivo</t>
        </is>
      </c>
      <c r="AB698" t="inlineStr"/>
    </row>
    <row r="699">
      <c r="A699" t="inlineStr">
        <is>
          <t>F-11018</t>
        </is>
      </c>
      <c r="B699" t="inlineStr">
        <is>
          <t>2026-08-12</t>
        </is>
      </c>
      <c r="C699" t="inlineStr">
        <is>
          <t>Factura</t>
        </is>
      </c>
      <c r="D699" t="inlineStr">
        <is>
          <t>LL02</t>
        </is>
      </c>
      <c r="E699" t="inlineStr">
        <is>
          <t>Puerto de La Libertad</t>
        </is>
      </c>
      <c r="F699" t="inlineStr">
        <is>
          <t>Calle El Malecón, Local 4</t>
        </is>
      </c>
      <c r="G699" t="inlineStr">
        <is>
          <t>La Libertad</t>
        </is>
      </c>
      <c r="H699" t="inlineStr">
        <is>
          <t>La Libertad</t>
        </is>
      </c>
      <c r="I699" t="inlineStr">
        <is>
          <t>Wendy Aguilar</t>
        </is>
      </c>
      <c r="J699" t="inlineStr">
        <is>
          <t>2335-6140</t>
        </is>
      </c>
      <c r="K699" t="inlineStr">
        <is>
          <t>Gabriela Saravia</t>
        </is>
      </c>
      <c r="L699" t="inlineStr">
        <is>
          <t>WALTER HERNÁNDEZ FLORES</t>
        </is>
      </c>
      <c r="M699" t="inlineStr">
        <is>
          <t>01412764-4</t>
        </is>
      </c>
      <c r="N699" t="inlineStr">
        <is>
          <t>6659-5342</t>
        </is>
      </c>
      <c r="O699" t="inlineStr">
        <is>
          <t>Consumidor final</t>
        </is>
      </c>
      <c r="P699" t="inlineStr">
        <is>
          <t>LAC-001</t>
        </is>
      </c>
      <c r="Q699" t="inlineStr">
        <is>
          <t>Quesillo 1lb</t>
        </is>
      </c>
      <c r="R699" t="inlineStr">
        <is>
          <t>Lácteos</t>
        </is>
      </c>
      <c r="S699" t="inlineStr">
        <is>
          <t>Lácteos Chalate</t>
        </is>
      </c>
      <c r="T699" t="inlineStr">
        <is>
          <t>2335-1020</t>
        </is>
      </c>
      <c r="U699" t="n">
        <v>3.8</v>
      </c>
      <c r="V699" t="n">
        <v>1</v>
      </c>
      <c r="W699" t="n">
        <v>0</v>
      </c>
      <c r="X699">
        <f>IFERROR(U699*V699*(1-W699/100),"")</f>
        <v/>
      </c>
      <c r="Y699">
        <f>IFERROR(ROUND(X699*0.13,2),"")</f>
        <v/>
      </c>
      <c r="Z699">
        <f>IFERROR(X699+Y699,"")</f>
        <v/>
      </c>
      <c r="AA699" t="inlineStr">
        <is>
          <t>Efectivo</t>
        </is>
      </c>
      <c r="AB699" t="inlineStr">
        <is>
          <t>precio especial autorizado por gerente</t>
        </is>
      </c>
    </row>
    <row r="700">
      <c r="A700" t="inlineStr">
        <is>
          <t>F-11018</t>
        </is>
      </c>
      <c r="B700" t="inlineStr">
        <is>
          <t>12/08/2026</t>
        </is>
      </c>
      <c r="C700" t="inlineStr">
        <is>
          <t>Factura</t>
        </is>
      </c>
      <c r="D700" t="inlineStr">
        <is>
          <t>LL02</t>
        </is>
      </c>
      <c r="E700" t="inlineStr">
        <is>
          <t>La Libertad Puerto</t>
        </is>
      </c>
      <c r="F700" t="inlineStr">
        <is>
          <t>Calle El Malecón, Local 4</t>
        </is>
      </c>
      <c r="G700" t="inlineStr">
        <is>
          <t>La Libertad</t>
        </is>
      </c>
      <c r="H700" t="inlineStr">
        <is>
          <t>La Libertad</t>
        </is>
      </c>
      <c r="I700" t="inlineStr">
        <is>
          <t>Wendy Aguilar</t>
        </is>
      </c>
      <c r="J700" t="inlineStr">
        <is>
          <t>2335-6140</t>
        </is>
      </c>
      <c r="K700" t="inlineStr">
        <is>
          <t>Gabriela Saravia</t>
        </is>
      </c>
      <c r="L700" t="inlineStr">
        <is>
          <t>Walter Hernández Flores</t>
        </is>
      </c>
      <c r="M700" t="inlineStr"/>
      <c r="N700" t="inlineStr">
        <is>
          <t>6659-5342</t>
        </is>
      </c>
      <c r="O700" t="inlineStr">
        <is>
          <t>Consumidor final</t>
        </is>
      </c>
      <c r="P700" t="inlineStr">
        <is>
          <t>LAC-003</t>
        </is>
      </c>
      <c r="Q700" t="inlineStr">
        <is>
          <t>Leche entera 1L</t>
        </is>
      </c>
      <c r="R700" t="inlineStr">
        <is>
          <t>Lácteos</t>
        </is>
      </c>
      <c r="S700" t="inlineStr">
        <is>
          <t>Lácteos Chalate</t>
        </is>
      </c>
      <c r="T700" t="inlineStr">
        <is>
          <t>7120-4455</t>
        </is>
      </c>
      <c r="U700" t="inlineStr">
        <is>
          <t>1,20</t>
        </is>
      </c>
      <c r="V700" t="n">
        <v>2</v>
      </c>
      <c r="W700" t="n">
        <v>0</v>
      </c>
      <c r="X700">
        <f>IFERROR(U700*V700*(1-W700/100),"")</f>
        <v/>
      </c>
      <c r="Y700">
        <f>IFERROR(ROUND(X700*0.13,2),"")</f>
        <v/>
      </c>
      <c r="Z700">
        <f>IFERROR(X700+Y700,"")</f>
        <v/>
      </c>
      <c r="AA700" t="inlineStr">
        <is>
          <t>Efectivo</t>
        </is>
      </c>
      <c r="AB700" t="inlineStr">
        <is>
          <t>Cliente frecuente</t>
        </is>
      </c>
    </row>
    <row r="701">
      <c r="A701" t="inlineStr">
        <is>
          <t>F-11020</t>
        </is>
      </c>
      <c r="B701" s="3" t="n">
        <v>46243</v>
      </c>
      <c r="C701" t="inlineStr">
        <is>
          <t>factura</t>
        </is>
      </c>
      <c r="D701" t="inlineStr">
        <is>
          <t>SS03</t>
        </is>
      </c>
      <c r="E701" t="inlineStr">
        <is>
          <t>Soyapango</t>
        </is>
      </c>
      <c r="F701" t="inlineStr">
        <is>
          <t>Blvd. del Ejército km 4</t>
        </is>
      </c>
      <c r="G701" t="inlineStr">
        <is>
          <t>Soyapango</t>
        </is>
      </c>
      <c r="H701" t="inlineStr">
        <is>
          <t>San Salvador</t>
        </is>
      </c>
      <c r="I701" t="inlineStr">
        <is>
          <t>Karla Henríquez</t>
        </is>
      </c>
      <c r="J701" t="inlineStr">
        <is>
          <t>2277-3402</t>
        </is>
      </c>
      <c r="K701" t="inlineStr">
        <is>
          <t>Marta Gómez</t>
        </is>
      </c>
      <c r="L701" t="inlineStr">
        <is>
          <t>Edwin Castillo Romero</t>
        </is>
      </c>
      <c r="M701" t="inlineStr">
        <is>
          <t>07552102-5</t>
        </is>
      </c>
      <c r="N701" t="inlineStr">
        <is>
          <t>2609-8644</t>
        </is>
      </c>
      <c r="O701" t="inlineStr">
        <is>
          <t>Consumidor final</t>
        </is>
      </c>
      <c r="P701" t="inlineStr">
        <is>
          <t>BEB-001</t>
        </is>
      </c>
      <c r="Q701" t="inlineStr">
        <is>
          <t>Gaseosa 2.5L</t>
        </is>
      </c>
      <c r="R701" t="inlineStr">
        <is>
          <t>Bebidas</t>
        </is>
      </c>
      <c r="S701" t="inlineStr">
        <is>
          <t>Bebidas Izalco</t>
        </is>
      </c>
      <c r="T701" t="inlineStr">
        <is>
          <t>2450-7700</t>
        </is>
      </c>
      <c r="U701" t="inlineStr">
        <is>
          <t>$1.95</t>
        </is>
      </c>
      <c r="V701" t="n">
        <v>24</v>
      </c>
      <c r="W701" t="n">
        <v>0</v>
      </c>
      <c r="X701">
        <f>IFERROR(U701*V701*(1-W701/100),"")</f>
        <v/>
      </c>
      <c r="Y701">
        <f>IFERROR(ROUND(X701*0.13,2),"")</f>
        <v/>
      </c>
      <c r="Z701">
        <f>IFERROR(X701+Y701,"")</f>
        <v/>
      </c>
      <c r="AA701" t="inlineStr">
        <is>
          <t>Tarjeta</t>
        </is>
      </c>
      <c r="AB701" t="inlineStr">
        <is>
          <t>Llamar al 7788-1234 antes de entregar</t>
        </is>
      </c>
    </row>
    <row r="702">
      <c r="A702" t="inlineStr">
        <is>
          <t>F-11020</t>
        </is>
      </c>
      <c r="B702" s="3" t="n">
        <v>46243</v>
      </c>
      <c r="C702" t="inlineStr">
        <is>
          <t>factura</t>
        </is>
      </c>
      <c r="D702" t="inlineStr">
        <is>
          <t>SS03</t>
        </is>
      </c>
      <c r="E702" t="inlineStr">
        <is>
          <t>soyapango</t>
        </is>
      </c>
      <c r="F702" t="inlineStr">
        <is>
          <t>Blvd. del Ejército km 4</t>
        </is>
      </c>
      <c r="G702" t="inlineStr">
        <is>
          <t>Soyapango</t>
        </is>
      </c>
      <c r="H702" t="inlineStr">
        <is>
          <t>San Salvador</t>
        </is>
      </c>
      <c r="I702" t="inlineStr">
        <is>
          <t>Karla Henríquez</t>
        </is>
      </c>
      <c r="J702" t="inlineStr">
        <is>
          <t>2277-3402</t>
        </is>
      </c>
      <c r="K702" t="inlineStr">
        <is>
          <t>Marta Gómez</t>
        </is>
      </c>
      <c r="L702" t="inlineStr">
        <is>
          <t>Edwin Castillo Romero</t>
        </is>
      </c>
      <c r="M702" t="inlineStr">
        <is>
          <t>07552102-5</t>
        </is>
      </c>
      <c r="N702" t="inlineStr">
        <is>
          <t>2609-8644</t>
        </is>
      </c>
      <c r="O702" t="inlineStr">
        <is>
          <t>Consumidor final</t>
        </is>
      </c>
      <c r="P702" t="inlineStr">
        <is>
          <t>AZU-001</t>
        </is>
      </c>
      <c r="Q702" t="inlineStr">
        <is>
          <t>Azúcar blanca 2.5kg</t>
        </is>
      </c>
      <c r="R702" t="inlineStr">
        <is>
          <t>Abarrotes</t>
        </is>
      </c>
      <c r="S702" t="inlineStr">
        <is>
          <t>Granos del Pacífico</t>
        </is>
      </c>
      <c r="T702" t="inlineStr">
        <is>
          <t>2234-8890</t>
        </is>
      </c>
      <c r="U702" t="n">
        <v>3.1</v>
      </c>
      <c r="V702" t="n">
        <v>1</v>
      </c>
      <c r="W702" t="n">
        <v>0</v>
      </c>
      <c r="X702">
        <f>IFERROR(U702*V702*(1-W702/100),"")</f>
        <v/>
      </c>
      <c r="Y702">
        <f>IFERROR(ROUND(X702*0.13,2),"")</f>
        <v/>
      </c>
      <c r="Z702">
        <f>IFERROR(X702+Y702,"")</f>
        <v/>
      </c>
      <c r="AA702" t="inlineStr">
        <is>
          <t>Tarjeta</t>
        </is>
      </c>
      <c r="AB702" t="inlineStr"/>
    </row>
    <row r="703">
      <c r="A703" t="inlineStr">
        <is>
          <t>F-11022</t>
        </is>
      </c>
      <c r="B703" t="inlineStr">
        <is>
          <t>2026-08-13</t>
        </is>
      </c>
      <c r="C703" t="inlineStr">
        <is>
          <t>factura</t>
        </is>
      </c>
      <c r="D703" t="inlineStr">
        <is>
          <t>SM01</t>
        </is>
      </c>
      <c r="E703" t="inlineStr">
        <is>
          <t>San Miguel</t>
        </is>
      </c>
      <c r="F703" t="inlineStr">
        <is>
          <t>Av. Roosevelt Sur #7</t>
        </is>
      </c>
      <c r="G703" t="inlineStr">
        <is>
          <t>San Miguel</t>
        </is>
      </c>
      <c r="H703" t="inlineStr">
        <is>
          <t>San Miguel</t>
        </is>
      </c>
      <c r="I703" t="inlineStr">
        <is>
          <t>Iris Portillo</t>
        </is>
      </c>
      <c r="J703" t="inlineStr">
        <is>
          <t>2661-5076</t>
        </is>
      </c>
      <c r="K703" t="inlineStr">
        <is>
          <t>Jorge Villalta</t>
        </is>
      </c>
      <c r="L703" t="inlineStr">
        <is>
          <t>Rosa Argueta Alvarado</t>
        </is>
      </c>
      <c r="M703" t="inlineStr">
        <is>
          <t>05070765-0</t>
        </is>
      </c>
      <c r="N703" t="inlineStr">
        <is>
          <t>6692-3069</t>
        </is>
      </c>
      <c r="O703" t="inlineStr">
        <is>
          <t>Consumidor final</t>
        </is>
      </c>
      <c r="P703" t="inlineStr">
        <is>
          <t>LAC-003</t>
        </is>
      </c>
      <c r="Q703" t="inlineStr">
        <is>
          <t>Leche entera 1L</t>
        </is>
      </c>
      <c r="R703" t="inlineStr">
        <is>
          <t>Lácteos</t>
        </is>
      </c>
      <c r="S703" t="inlineStr">
        <is>
          <t>Lácteos Chalate</t>
        </is>
      </c>
      <c r="T703" t="inlineStr">
        <is>
          <t>2335-1020</t>
        </is>
      </c>
      <c r="U703" t="n">
        <v>1.2</v>
      </c>
      <c r="V703" t="n">
        <v>1</v>
      </c>
      <c r="W703" t="n">
        <v>0</v>
      </c>
      <c r="X703">
        <f>IFERROR(U703*V703*(1-W703/100),"")</f>
        <v/>
      </c>
      <c r="Y703">
        <f>IFERROR(ROUND(X703*0.13,2),"")</f>
        <v/>
      </c>
      <c r="Z703">
        <f>IFERROR(X703+Y703,"")</f>
        <v/>
      </c>
      <c r="AA703" t="inlineStr">
        <is>
          <t>Transferencia</t>
        </is>
      </c>
      <c r="AB703" t="inlineStr"/>
    </row>
    <row r="704">
      <c r="A704" t="inlineStr">
        <is>
          <t>F-11022</t>
        </is>
      </c>
      <c r="B704" s="3" t="n">
        <v>46247</v>
      </c>
      <c r="C704" t="inlineStr">
        <is>
          <t>factura</t>
        </is>
      </c>
      <c r="D704" t="inlineStr"/>
      <c r="E704" t="inlineStr">
        <is>
          <t>San Miguel</t>
        </is>
      </c>
      <c r="F704" t="inlineStr">
        <is>
          <t>Av. Roosevelt Sur #7</t>
        </is>
      </c>
      <c r="G704" t="inlineStr">
        <is>
          <t>San Miguel</t>
        </is>
      </c>
      <c r="H704" t="inlineStr">
        <is>
          <t>San Miguel</t>
        </is>
      </c>
      <c r="I704" t="inlineStr">
        <is>
          <t>Iris Portillo</t>
        </is>
      </c>
      <c r="J704" t="inlineStr">
        <is>
          <t>2661-5076</t>
        </is>
      </c>
      <c r="K704" t="inlineStr">
        <is>
          <t>Jorge Villalta</t>
        </is>
      </c>
      <c r="L704" t="inlineStr">
        <is>
          <t>Rosa Argueta Alvarado</t>
        </is>
      </c>
      <c r="M704" t="inlineStr">
        <is>
          <t>05070765-0</t>
        </is>
      </c>
      <c r="N704" t="inlineStr">
        <is>
          <t>6692-3069</t>
        </is>
      </c>
      <c r="O704" t="inlineStr">
        <is>
          <t>Consumidor final</t>
        </is>
      </c>
      <c r="P704" t="inlineStr">
        <is>
          <t>HIG-002</t>
        </is>
      </c>
      <c r="Q704" t="inlineStr">
        <is>
          <t>Papel higiénico 4 rollos</t>
        </is>
      </c>
      <c r="R704" t="inlineStr">
        <is>
          <t>Limpieza</t>
        </is>
      </c>
      <c r="S704" t="inlineStr">
        <is>
          <t>Higiene Total C.A.</t>
        </is>
      </c>
      <c r="T704" t="inlineStr">
        <is>
          <t>2207-5566</t>
        </is>
      </c>
      <c r="U704" t="n">
        <v>2.15</v>
      </c>
      <c r="V704" t="n">
        <v>3</v>
      </c>
      <c r="W704" t="n">
        <v>0</v>
      </c>
      <c r="X704">
        <f>IFERROR(U704*V704*(1-W704/100),"")</f>
        <v/>
      </c>
      <c r="Y704">
        <f>IFERROR(ROUND(X704*0.13,2),"")</f>
        <v/>
      </c>
      <c r="Z704">
        <f>IFERROR(X704+Y704,"")</f>
        <v/>
      </c>
      <c r="AA704" t="inlineStr">
        <is>
          <t>Transferencia</t>
        </is>
      </c>
      <c r="AB704" t="inlineStr"/>
    </row>
    <row r="705">
      <c r="A705" t="inlineStr">
        <is>
          <t>F-11025</t>
        </is>
      </c>
      <c r="B705" s="3" t="n">
        <v>46208</v>
      </c>
      <c r="C705" t="inlineStr">
        <is>
          <t>Factura</t>
        </is>
      </c>
      <c r="D705" t="inlineStr">
        <is>
          <t>LL02</t>
        </is>
      </c>
      <c r="E705" t="inlineStr">
        <is>
          <t>Puerto de La Libertad</t>
        </is>
      </c>
      <c r="F705" t="inlineStr">
        <is>
          <t>Calle El Malecón, Local 4</t>
        </is>
      </c>
      <c r="G705" t="inlineStr">
        <is>
          <t>La Libertad</t>
        </is>
      </c>
      <c r="H705" t="inlineStr">
        <is>
          <t>La Libertad</t>
        </is>
      </c>
      <c r="I705" t="inlineStr">
        <is>
          <t>Wendy Aguilar</t>
        </is>
      </c>
      <c r="J705" t="inlineStr">
        <is>
          <t>2335-6140</t>
        </is>
      </c>
      <c r="K705" t="inlineStr">
        <is>
          <t>Gabriela Saravia</t>
        </is>
      </c>
      <c r="L705" t="inlineStr">
        <is>
          <t>Douglas Pérez Guevara</t>
        </is>
      </c>
      <c r="M705" t="inlineStr">
        <is>
          <t>09863904-2</t>
        </is>
      </c>
      <c r="N705" t="inlineStr">
        <is>
          <t>7997-9269</t>
        </is>
      </c>
      <c r="O705" t="inlineStr">
        <is>
          <t>Consumidor final</t>
        </is>
      </c>
      <c r="P705" t="inlineStr">
        <is>
          <t>FRI-001</t>
        </is>
      </c>
      <c r="Q705" t="inlineStr">
        <is>
          <t>Frijol rojo de seda 2lb</t>
        </is>
      </c>
      <c r="R705" t="inlineStr">
        <is>
          <t>Abarrotes</t>
        </is>
      </c>
      <c r="S705" t="inlineStr">
        <is>
          <t>Granos del Pacífico</t>
        </is>
      </c>
      <c r="T705" t="inlineStr">
        <is>
          <t>2234-8890</t>
        </is>
      </c>
      <c r="U705" t="n">
        <v>2.4</v>
      </c>
      <c r="V705" t="n">
        <v>2</v>
      </c>
      <c r="W705" t="n">
        <v>0</v>
      </c>
      <c r="X705">
        <f>IFERROR(U705*V705*(1-W705/100),"")</f>
        <v/>
      </c>
      <c r="Y705">
        <f>IFERROR(ROUND(X705*0.13,2),"")</f>
        <v/>
      </c>
      <c r="Z705">
        <f>IFERROR(X705+Y705,"")</f>
        <v/>
      </c>
      <c r="AA705" t="inlineStr">
        <is>
          <t>efectivo</t>
        </is>
      </c>
      <c r="AB705" t="inlineStr">
        <is>
          <t>entregar en bodega</t>
        </is>
      </c>
    </row>
    <row r="706">
      <c r="A706" t="inlineStr">
        <is>
          <t>F-11025</t>
        </is>
      </c>
      <c r="B706" s="3" t="n">
        <v>46208</v>
      </c>
      <c r="C706" t="inlineStr">
        <is>
          <t>Factura</t>
        </is>
      </c>
      <c r="D706" t="inlineStr">
        <is>
          <t>LL02</t>
        </is>
      </c>
      <c r="E706" t="inlineStr">
        <is>
          <t>Puerto de La Libertad</t>
        </is>
      </c>
      <c r="F706" t="inlineStr">
        <is>
          <t>Calle El Malecón, Local 4</t>
        </is>
      </c>
      <c r="G706" t="inlineStr">
        <is>
          <t>La Libertad</t>
        </is>
      </c>
      <c r="H706" t="inlineStr">
        <is>
          <t>La Libertad</t>
        </is>
      </c>
      <c r="I706" t="inlineStr">
        <is>
          <t>Wendy Aguilar</t>
        </is>
      </c>
      <c r="J706" t="inlineStr">
        <is>
          <t>2335-6140</t>
        </is>
      </c>
      <c r="K706" t="inlineStr">
        <is>
          <t>Gabriela Saravia</t>
        </is>
      </c>
      <c r="L706" t="inlineStr">
        <is>
          <t>Douglas Pérez Guevara</t>
        </is>
      </c>
      <c r="M706" t="inlineStr">
        <is>
          <t>09863904-2</t>
        </is>
      </c>
      <c r="N706" t="inlineStr">
        <is>
          <t>7997-9269</t>
        </is>
      </c>
      <c r="O706" t="inlineStr">
        <is>
          <t>Consumidor final</t>
        </is>
      </c>
      <c r="P706" t="inlineStr">
        <is>
          <t>LAC-002</t>
        </is>
      </c>
      <c r="Q706" t="inlineStr">
        <is>
          <t>Crema 500ml</t>
        </is>
      </c>
      <c r="R706" t="inlineStr">
        <is>
          <t>Lacteos</t>
        </is>
      </c>
      <c r="S706" t="inlineStr">
        <is>
          <t>Lácteos Chalate</t>
        </is>
      </c>
      <c r="T706" t="inlineStr">
        <is>
          <t>7120-4455</t>
        </is>
      </c>
      <c r="U706" t="n">
        <v>2.25</v>
      </c>
      <c r="V706" t="n">
        <v>1</v>
      </c>
      <c r="W706" t="n">
        <v>0</v>
      </c>
      <c r="X706">
        <f>IFERROR(U706*V706*(1-W706/100),"")</f>
        <v/>
      </c>
      <c r="Y706">
        <f>IFERROR(ROUND(X706*0.13,2),"")</f>
        <v/>
      </c>
      <c r="Z706">
        <f>IFERROR(X706+Y706,"")</f>
        <v/>
      </c>
      <c r="AA706" t="inlineStr">
        <is>
          <t>efectivo</t>
        </is>
      </c>
      <c r="AB706" t="inlineStr">
        <is>
          <t>pagó con billete de $100</t>
        </is>
      </c>
    </row>
    <row r="707">
      <c r="A707" t="inlineStr">
        <is>
          <t>F-11025</t>
        </is>
      </c>
      <c r="B707" s="3" t="n">
        <v>46208</v>
      </c>
      <c r="C707" t="inlineStr">
        <is>
          <t>Factura</t>
        </is>
      </c>
      <c r="D707" t="inlineStr">
        <is>
          <t>LL02</t>
        </is>
      </c>
      <c r="E707" t="inlineStr">
        <is>
          <t>Pto. La Libertad</t>
        </is>
      </c>
      <c r="F707" t="inlineStr">
        <is>
          <t>Calle El Malecón, Local 4</t>
        </is>
      </c>
      <c r="G707" t="inlineStr">
        <is>
          <t>La Libertad</t>
        </is>
      </c>
      <c r="H707" t="inlineStr">
        <is>
          <t>La Libertad</t>
        </is>
      </c>
      <c r="I707" t="inlineStr">
        <is>
          <t>Wendy Aguilar</t>
        </is>
      </c>
      <c r="J707" t="inlineStr">
        <is>
          <t>2335-6140</t>
        </is>
      </c>
      <c r="K707" t="inlineStr">
        <is>
          <t>Gabriela Saravia</t>
        </is>
      </c>
      <c r="L707" t="inlineStr">
        <is>
          <t>Douglas Pérez Guevara</t>
        </is>
      </c>
      <c r="M707" t="inlineStr">
        <is>
          <t>09863904-2</t>
        </is>
      </c>
      <c r="N707" t="inlineStr">
        <is>
          <t>7997-9269</t>
        </is>
      </c>
      <c r="O707" t="inlineStr">
        <is>
          <t>Consumidor final</t>
        </is>
      </c>
      <c r="P707" t="inlineStr">
        <is>
          <t>ARR-001</t>
        </is>
      </c>
      <c r="Q707" t="inlineStr">
        <is>
          <t>Arroz blanco 5lb</t>
        </is>
      </c>
      <c r="R707" t="inlineStr">
        <is>
          <t>Abarrotes</t>
        </is>
      </c>
      <c r="S707" t="inlineStr">
        <is>
          <t>Granos del Pacífico</t>
        </is>
      </c>
      <c r="T707" t="inlineStr">
        <is>
          <t>2234-8890</t>
        </is>
      </c>
      <c r="U707" t="n">
        <v>3.95</v>
      </c>
      <c r="V707" t="n">
        <v>24</v>
      </c>
      <c r="W707" t="n">
        <v>0</v>
      </c>
      <c r="X707">
        <f>IFERROR(U707*V707*(1-W707/100),"")</f>
        <v/>
      </c>
      <c r="Y707">
        <f>IFERROR(ROUND(X707*0.13,2),"")</f>
        <v/>
      </c>
      <c r="Z707">
        <f>IFERROR(X707+Y707,"")</f>
        <v/>
      </c>
      <c r="AA707" t="inlineStr">
        <is>
          <t>efectivo</t>
        </is>
      </c>
      <c r="AB707" t="inlineStr">
        <is>
          <t>precio especial autorizado por gerente</t>
        </is>
      </c>
    </row>
    <row r="708">
      <c r="A708" t="inlineStr">
        <is>
          <t>F-11025</t>
        </is>
      </c>
      <c r="B708" s="3" t="n">
        <v>46208</v>
      </c>
      <c r="C708" t="inlineStr">
        <is>
          <t>Factura</t>
        </is>
      </c>
      <c r="D708" t="inlineStr"/>
      <c r="E708" t="inlineStr">
        <is>
          <t>Pto. La Libertad</t>
        </is>
      </c>
      <c r="F708" t="inlineStr">
        <is>
          <t>Calle El Malecón, Local 4</t>
        </is>
      </c>
      <c r="G708" t="inlineStr">
        <is>
          <t>La Libertad</t>
        </is>
      </c>
      <c r="H708" t="inlineStr">
        <is>
          <t>La Libertad</t>
        </is>
      </c>
      <c r="I708" t="inlineStr">
        <is>
          <t>Wendy Aguilar</t>
        </is>
      </c>
      <c r="J708" t="inlineStr">
        <is>
          <t>2335-6140</t>
        </is>
      </c>
      <c r="K708" t="inlineStr">
        <is>
          <t>Gabriela Saravia</t>
        </is>
      </c>
      <c r="L708" t="inlineStr">
        <is>
          <t>Douglas Pérez Guevara</t>
        </is>
      </c>
      <c r="M708" t="inlineStr">
        <is>
          <t>09863904-2</t>
        </is>
      </c>
      <c r="N708" t="inlineStr">
        <is>
          <t>7997-9269</t>
        </is>
      </c>
      <c r="O708" t="inlineStr">
        <is>
          <t>Consumidor final</t>
        </is>
      </c>
      <c r="P708" t="inlineStr">
        <is>
          <t>PAN-002</t>
        </is>
      </c>
      <c r="Q708" t="inlineStr">
        <is>
          <t>Semita alta</t>
        </is>
      </c>
      <c r="R708" t="inlineStr">
        <is>
          <t>Panadería</t>
        </is>
      </c>
      <c r="S708" t="inlineStr">
        <is>
          <t>Panificadora Ilopango</t>
        </is>
      </c>
      <c r="T708" t="inlineStr">
        <is>
          <t>2295-0081</t>
        </is>
      </c>
      <c r="U708" t="n">
        <v>1.75</v>
      </c>
      <c r="V708" t="n">
        <v>1</v>
      </c>
      <c r="W708" t="n">
        <v>0</v>
      </c>
      <c r="X708">
        <f>IFERROR(U708*V708*(1-W708/100),"")</f>
        <v/>
      </c>
      <c r="Y708">
        <f>IFERROR(ROUND(X708*0.13,2),"")</f>
        <v/>
      </c>
      <c r="Z708">
        <f>IFERROR(X708+Y708,"")</f>
        <v/>
      </c>
      <c r="AA708" t="inlineStr">
        <is>
          <t>efectivo</t>
        </is>
      </c>
      <c r="AB708" t="inlineStr"/>
    </row>
    <row r="709">
      <c r="A709" t="inlineStr">
        <is>
          <t>F-11028</t>
        </is>
      </c>
      <c r="B709" s="3" t="n">
        <v>46244</v>
      </c>
      <c r="C709" t="inlineStr">
        <is>
          <t>Factura</t>
        </is>
      </c>
      <c r="D709" t="inlineStr">
        <is>
          <t>SA01</t>
        </is>
      </c>
      <c r="E709" t="inlineStr">
        <is>
          <t>Santa Ana</t>
        </is>
      </c>
      <c r="F709" t="inlineStr">
        <is>
          <t>Av. Independencia Sur #12</t>
        </is>
      </c>
      <c r="G709" t="inlineStr">
        <is>
          <t>Santa Ana</t>
        </is>
      </c>
      <c r="H709" t="inlineStr">
        <is>
          <t>Santa Ana</t>
        </is>
      </c>
      <c r="I709" t="inlineStr">
        <is>
          <t>Mauricio Linares</t>
        </is>
      </c>
      <c r="J709" t="inlineStr">
        <is>
          <t>2440-9921</t>
        </is>
      </c>
      <c r="K709" t="inlineStr">
        <is>
          <t>Sofía Cáceres</t>
        </is>
      </c>
      <c r="L709" t="inlineStr">
        <is>
          <t>Edwin Rivera Guevara</t>
        </is>
      </c>
      <c r="M709" t="inlineStr">
        <is>
          <t>03840762-1</t>
        </is>
      </c>
      <c r="N709" t="inlineStr">
        <is>
          <t>7817-8484</t>
        </is>
      </c>
      <c r="O709" t="inlineStr">
        <is>
          <t>Consumidor final</t>
        </is>
      </c>
      <c r="P709" t="inlineStr">
        <is>
          <t>PAN-003</t>
        </is>
      </c>
      <c r="Q709" t="inlineStr">
        <is>
          <t>Quesadilla salvadoreña</t>
        </is>
      </c>
      <c r="R709" t="inlineStr">
        <is>
          <t>Panadería</t>
        </is>
      </c>
      <c r="S709" t="inlineStr">
        <is>
          <t>Panificadora Ilopango</t>
        </is>
      </c>
      <c r="T709" t="inlineStr">
        <is>
          <t>2295-0081</t>
        </is>
      </c>
      <c r="U709" t="n">
        <v>2.5</v>
      </c>
      <c r="V709" t="n">
        <v>1</v>
      </c>
      <c r="W709" t="n">
        <v>0</v>
      </c>
      <c r="X709">
        <f>IFERROR(U709*V709*(1-W709/100),"")</f>
        <v/>
      </c>
      <c r="Y709">
        <f>IFERROR(ROUND(X709*0.13,2),"")</f>
        <v/>
      </c>
      <c r="Z709">
        <f>IFERROR(X709+Y709,"")</f>
        <v/>
      </c>
      <c r="AA709" t="inlineStr">
        <is>
          <t>Efectivo</t>
        </is>
      </c>
      <c r="AB709" t="inlineStr"/>
    </row>
    <row r="710">
      <c r="A710" t="inlineStr">
        <is>
          <t>F-11031</t>
        </is>
      </c>
      <c r="B710" s="3" t="n">
        <v>46238</v>
      </c>
      <c r="C710" t="inlineStr">
        <is>
          <t>Factura</t>
        </is>
      </c>
      <c r="D710" t="inlineStr">
        <is>
          <t>SS03</t>
        </is>
      </c>
      <c r="E710" t="inlineStr">
        <is>
          <t>Soyapango</t>
        </is>
      </c>
      <c r="F710" t="inlineStr">
        <is>
          <t>Blvd. del Ejército km 4</t>
        </is>
      </c>
      <c r="G710" t="inlineStr">
        <is>
          <t>Soyapango</t>
        </is>
      </c>
      <c r="H710" t="inlineStr">
        <is>
          <t>San Salvador</t>
        </is>
      </c>
      <c r="I710" t="inlineStr">
        <is>
          <t>Karla Henríquez</t>
        </is>
      </c>
      <c r="J710" t="inlineStr">
        <is>
          <t>2277-3402</t>
        </is>
      </c>
      <c r="K710" t="inlineStr">
        <is>
          <t>Carlos Molina</t>
        </is>
      </c>
      <c r="L710" t="inlineStr">
        <is>
          <t>René Sorto Quintanilla</t>
        </is>
      </c>
      <c r="M710" t="inlineStr">
        <is>
          <t>06328066-3</t>
        </is>
      </c>
      <c r="N710" t="inlineStr">
        <is>
          <t>6778-4597</t>
        </is>
      </c>
      <c r="O710" t="inlineStr">
        <is>
          <t>Consumidor final</t>
        </is>
      </c>
      <c r="P710" t="inlineStr">
        <is>
          <t>PAN-002</t>
        </is>
      </c>
      <c r="Q710" t="inlineStr">
        <is>
          <t>Semita alta</t>
        </is>
      </c>
      <c r="R710" t="inlineStr">
        <is>
          <t>Panadería</t>
        </is>
      </c>
      <c r="S710" t="inlineStr">
        <is>
          <t>Panificadora Ilopango</t>
        </is>
      </c>
      <c r="T710" t="inlineStr">
        <is>
          <t>2295-0081</t>
        </is>
      </c>
      <c r="U710" t="n">
        <v>1.75</v>
      </c>
      <c r="V710" t="n">
        <v>6</v>
      </c>
      <c r="W710" t="n">
        <v>0</v>
      </c>
      <c r="X710">
        <f>IFERROR(U710*V710*(1-W710/100),"")</f>
        <v/>
      </c>
      <c r="Y710">
        <f>IFERROR(ROUND(X710*0.13,2),"")</f>
        <v/>
      </c>
      <c r="Z710">
        <f>IFERROR(X710+Y710,"")</f>
        <v/>
      </c>
      <c r="AA710" t="inlineStr">
        <is>
          <t>Transferencia</t>
        </is>
      </c>
      <c r="AB710" t="inlineStr">
        <is>
          <t>pagó con billete de $100</t>
        </is>
      </c>
    </row>
    <row r="711">
      <c r="A711" t="inlineStr">
        <is>
          <t>F-11031</t>
        </is>
      </c>
      <c r="B711" s="3" t="n">
        <v>46238</v>
      </c>
      <c r="C711" t="inlineStr">
        <is>
          <t>Factura</t>
        </is>
      </c>
      <c r="D711" t="inlineStr">
        <is>
          <t>SS03</t>
        </is>
      </c>
      <c r="E711" t="inlineStr">
        <is>
          <t>Soyapango</t>
        </is>
      </c>
      <c r="F711" t="inlineStr">
        <is>
          <t>Blvd. del Ejército km 4</t>
        </is>
      </c>
      <c r="G711" t="inlineStr">
        <is>
          <t>Soyapango</t>
        </is>
      </c>
      <c r="H711" t="inlineStr">
        <is>
          <t>San Salvador</t>
        </is>
      </c>
      <c r="I711" t="inlineStr">
        <is>
          <t>Karla Henríquez</t>
        </is>
      </c>
      <c r="J711" t="inlineStr">
        <is>
          <t>2277-3402</t>
        </is>
      </c>
      <c r="K711" t="inlineStr">
        <is>
          <t>Carlos Molina</t>
        </is>
      </c>
      <c r="L711" t="inlineStr">
        <is>
          <t>René Sorto Quintanilla</t>
        </is>
      </c>
      <c r="M711" t="inlineStr">
        <is>
          <t>06328066-3</t>
        </is>
      </c>
      <c r="N711" t="inlineStr">
        <is>
          <t>6778-4597</t>
        </is>
      </c>
      <c r="O711" t="inlineStr">
        <is>
          <t>Consumidor final</t>
        </is>
      </c>
      <c r="P711" t="inlineStr">
        <is>
          <t>BEB-002</t>
        </is>
      </c>
      <c r="Q711" t="inlineStr">
        <is>
          <t>Agua purificada 1 galón</t>
        </is>
      </c>
      <c r="R711" t="inlineStr">
        <is>
          <t>Bebidas</t>
        </is>
      </c>
      <c r="S711" t="inlineStr">
        <is>
          <t>Bebidas Izalco</t>
        </is>
      </c>
      <c r="T711" t="inlineStr">
        <is>
          <t>2450-7700</t>
        </is>
      </c>
      <c r="U711" t="n">
        <v>1.1</v>
      </c>
      <c r="V711" t="n">
        <v>12</v>
      </c>
      <c r="W711" t="n">
        <v>0</v>
      </c>
      <c r="X711">
        <f>IFERROR(U711*V711*(1-W711/100),"")</f>
        <v/>
      </c>
      <c r="Y711">
        <f>IFERROR(ROUND(X711*0.13,2),"")</f>
        <v/>
      </c>
      <c r="Z711">
        <f>IFERROR(X711+Y711,"")</f>
        <v/>
      </c>
      <c r="AA711" t="inlineStr">
        <is>
          <t>Transferencia</t>
        </is>
      </c>
      <c r="AB711" t="inlineStr"/>
    </row>
    <row r="712">
      <c r="A712" t="inlineStr">
        <is>
          <t>F-11032</t>
        </is>
      </c>
      <c r="B712" s="3" t="n">
        <v>46281</v>
      </c>
      <c r="C712" t="inlineStr">
        <is>
          <t>CCF</t>
        </is>
      </c>
      <c r="D712" t="inlineStr">
        <is>
          <t>SS02</t>
        </is>
      </c>
      <c r="E712" t="inlineStr">
        <is>
          <t>Escalon</t>
        </is>
      </c>
      <c r="F712" t="inlineStr">
        <is>
          <t>Paseo General Escalón #3910</t>
        </is>
      </c>
      <c r="G712" t="inlineStr">
        <is>
          <t>San Salvador</t>
        </is>
      </c>
      <c r="H712" t="inlineStr">
        <is>
          <t>San Salvador</t>
        </is>
      </c>
      <c r="I712" t="inlineStr">
        <is>
          <t>Claudia Menjívar</t>
        </is>
      </c>
      <c r="J712" t="inlineStr">
        <is>
          <t>2264-1190</t>
        </is>
      </c>
      <c r="K712" t="inlineStr">
        <is>
          <t>Fátima Rosales</t>
        </is>
      </c>
      <c r="L712" t="inlineStr">
        <is>
          <t>Hotel Brisas del Mar</t>
        </is>
      </c>
      <c r="M712" t="inlineStr">
        <is>
          <t>280004-0</t>
        </is>
      </c>
      <c r="N712" t="inlineStr">
        <is>
          <t>2129-2911</t>
        </is>
      </c>
      <c r="O712" t="inlineStr">
        <is>
          <t>Contribuyente</t>
        </is>
      </c>
      <c r="P712" t="inlineStr">
        <is>
          <t>AZU-001</t>
        </is>
      </c>
      <c r="Q712" t="inlineStr">
        <is>
          <t>Azúcar blanca 2.5kg</t>
        </is>
      </c>
      <c r="R712" t="inlineStr">
        <is>
          <t>Abarrotes</t>
        </is>
      </c>
      <c r="S712" t="inlineStr">
        <is>
          <t>Granos del Pacífico</t>
        </is>
      </c>
      <c r="T712" t="inlineStr">
        <is>
          <t>2234-8890</t>
        </is>
      </c>
      <c r="U712" t="n">
        <v>3.1</v>
      </c>
      <c r="V712" t="n">
        <v>12</v>
      </c>
      <c r="W712" t="n">
        <v>0</v>
      </c>
      <c r="X712">
        <f>IFERROR(U712*V712*(1-W712/100),"")</f>
        <v/>
      </c>
      <c r="Y712">
        <f>IFERROR(ROUND(X712*0.13,2),"")</f>
        <v/>
      </c>
      <c r="Z712">
        <f>IFERROR(X712+Y712,"")</f>
        <v/>
      </c>
      <c r="AA712" t="inlineStr">
        <is>
          <t>efectivo</t>
        </is>
      </c>
      <c r="AB712" t="inlineStr">
        <is>
          <t>entregar en bodega</t>
        </is>
      </c>
    </row>
    <row r="713">
      <c r="A713" t="inlineStr">
        <is>
          <t>F-11032</t>
        </is>
      </c>
      <c r="B713" t="inlineStr">
        <is>
          <t>16-Sep-26</t>
        </is>
      </c>
      <c r="C713" t="inlineStr">
        <is>
          <t>CCF</t>
        </is>
      </c>
      <c r="D713" t="inlineStr">
        <is>
          <t>SS02</t>
        </is>
      </c>
      <c r="E713" t="inlineStr">
        <is>
          <t>Escalón</t>
        </is>
      </c>
      <c r="F713" t="inlineStr">
        <is>
          <t>Paseo General Escalón #3910</t>
        </is>
      </c>
      <c r="G713" t="inlineStr">
        <is>
          <t>San Salvador</t>
        </is>
      </c>
      <c r="H713" t="inlineStr">
        <is>
          <t>San Salvador</t>
        </is>
      </c>
      <c r="I713" t="inlineStr">
        <is>
          <t>Claudia Menjívar</t>
        </is>
      </c>
      <c r="J713" t="inlineStr">
        <is>
          <t>2264-1190</t>
        </is>
      </c>
      <c r="K713" t="inlineStr">
        <is>
          <t>Fátima Rosales</t>
        </is>
      </c>
      <c r="L713" t="inlineStr">
        <is>
          <t>Hotel Brisas del Mar</t>
        </is>
      </c>
      <c r="M713" t="inlineStr">
        <is>
          <t>280004-0</t>
        </is>
      </c>
      <c r="N713" t="inlineStr">
        <is>
          <t>2129-2911</t>
        </is>
      </c>
      <c r="O713" t="inlineStr">
        <is>
          <t>Contribuyente</t>
        </is>
      </c>
      <c r="P713" t="inlineStr">
        <is>
          <t>HIG-001</t>
        </is>
      </c>
      <c r="Q713" t="inlineStr">
        <is>
          <t>Detergente 1kg</t>
        </is>
      </c>
      <c r="R713" t="inlineStr">
        <is>
          <t>Higiene</t>
        </is>
      </c>
      <c r="S713" t="inlineStr">
        <is>
          <t>Higiene Total C.A.</t>
        </is>
      </c>
      <c r="T713" t="inlineStr">
        <is>
          <t>2207-5566</t>
        </is>
      </c>
      <c r="U713" t="inlineStr">
        <is>
          <t>3,45</t>
        </is>
      </c>
      <c r="V713" t="n">
        <v>2</v>
      </c>
      <c r="W713" t="n">
        <v>0</v>
      </c>
      <c r="X713">
        <f>IFERROR(U713*V713*(1-W713/100),"")</f>
        <v/>
      </c>
      <c r="Y713">
        <f>IFERROR(ROUND(X713*0.13,2),"")</f>
        <v/>
      </c>
      <c r="Z713">
        <f>IFERROR(X713+Y713,"")</f>
        <v/>
      </c>
      <c r="AA713" t="inlineStr">
        <is>
          <t>efectivo</t>
        </is>
      </c>
      <c r="AB713" t="inlineStr"/>
    </row>
    <row r="714">
      <c r="A714" t="inlineStr">
        <is>
          <t>F-11035</t>
        </is>
      </c>
      <c r="B714" s="3" t="n">
        <v>46231</v>
      </c>
      <c r="C714" t="inlineStr">
        <is>
          <t>Factura</t>
        </is>
      </c>
      <c r="D714" t="inlineStr">
        <is>
          <t>SS01</t>
        </is>
      </c>
      <c r="E714" t="inlineStr">
        <is>
          <t>S.S. Centro</t>
        </is>
      </c>
      <c r="F714" t="inlineStr">
        <is>
          <t>4a Calle Poniente #215</t>
        </is>
      </c>
      <c r="G714" t="inlineStr">
        <is>
          <t>San Salvador</t>
        </is>
      </c>
      <c r="H714" t="inlineStr">
        <is>
          <t>San Salvador</t>
        </is>
      </c>
      <c r="I714" t="inlineStr">
        <is>
          <t>Roberto Alfaro</t>
        </is>
      </c>
      <c r="J714" t="inlineStr">
        <is>
          <t>2221-4580</t>
        </is>
      </c>
      <c r="K714" t="inlineStr">
        <is>
          <t>José Martínez</t>
        </is>
      </c>
      <c r="L714" t="inlineStr">
        <is>
          <t>José Sorto López</t>
        </is>
      </c>
      <c r="M714" t="inlineStr">
        <is>
          <t>04721627-5</t>
        </is>
      </c>
      <c r="N714" t="inlineStr">
        <is>
          <t>6844-3004</t>
        </is>
      </c>
      <c r="O714" t="inlineStr">
        <is>
          <t>Consumidor final</t>
        </is>
      </c>
      <c r="P714" t="inlineStr">
        <is>
          <t>AZU-001</t>
        </is>
      </c>
      <c r="Q714" t="inlineStr">
        <is>
          <t>Azúcar blanca 2.5kg</t>
        </is>
      </c>
      <c r="R714" t="inlineStr">
        <is>
          <t>Abarrotes</t>
        </is>
      </c>
      <c r="S714" t="inlineStr">
        <is>
          <t>Granos del Pacífico</t>
        </is>
      </c>
      <c r="T714" t="inlineStr">
        <is>
          <t>2234-8890</t>
        </is>
      </c>
      <c r="U714" t="inlineStr">
        <is>
          <t>3,10</t>
        </is>
      </c>
      <c r="V714" t="n">
        <v>1</v>
      </c>
      <c r="W714" t="n">
        <v>0</v>
      </c>
      <c r="X714">
        <f>IFERROR(U714*V714*(1-W714/100),"")</f>
        <v/>
      </c>
      <c r="Y714">
        <f>IFERROR(ROUND(X714*0.13,2),"")</f>
        <v/>
      </c>
      <c r="Z714">
        <f>IFERROR(X714+Y714,"")</f>
        <v/>
      </c>
      <c r="AA714" t="inlineStr">
        <is>
          <t>Tarjeta</t>
        </is>
      </c>
      <c r="AB714" t="inlineStr"/>
    </row>
    <row r="715">
      <c r="A715" t="inlineStr">
        <is>
          <t>11037</t>
        </is>
      </c>
      <c r="B715" t="inlineStr">
        <is>
          <t>01/09/2026</t>
        </is>
      </c>
      <c r="C715" t="inlineStr">
        <is>
          <t>Factura</t>
        </is>
      </c>
      <c r="D715" t="inlineStr">
        <is>
          <t>SO01</t>
        </is>
      </c>
      <c r="E715" t="inlineStr">
        <is>
          <t>Sonsonate</t>
        </is>
      </c>
      <c r="F715" t="inlineStr">
        <is>
          <t>Calle Obispo Marroquín #3</t>
        </is>
      </c>
      <c r="G715" t="inlineStr">
        <is>
          <t>Sonsonate</t>
        </is>
      </c>
      <c r="H715" t="inlineStr">
        <is>
          <t>Sonsonate</t>
        </is>
      </c>
      <c r="I715" t="inlineStr">
        <is>
          <t>Ernesto Chávez</t>
        </is>
      </c>
      <c r="J715" t="inlineStr">
        <is>
          <t>2451-2288</t>
        </is>
      </c>
      <c r="K715" t="inlineStr">
        <is>
          <t>Ricardo Funes</t>
        </is>
      </c>
      <c r="L715" t="inlineStr">
        <is>
          <t>Jorge García Hernández</t>
        </is>
      </c>
      <c r="M715" t="inlineStr">
        <is>
          <t>09167886-4</t>
        </is>
      </c>
      <c r="N715" t="inlineStr">
        <is>
          <t>7875-6853</t>
        </is>
      </c>
      <c r="O715" t="inlineStr">
        <is>
          <t>Consumidor final</t>
        </is>
      </c>
      <c r="P715" t="inlineStr">
        <is>
          <t>LAC-003</t>
        </is>
      </c>
      <c r="Q715" t="inlineStr">
        <is>
          <t>Leche entera 1L</t>
        </is>
      </c>
      <c r="R715" t="inlineStr">
        <is>
          <t>Lácteos</t>
        </is>
      </c>
      <c r="S715" t="inlineStr">
        <is>
          <t>Lácteos Chalate</t>
        </is>
      </c>
      <c r="T715" t="inlineStr">
        <is>
          <t>2335-1020</t>
        </is>
      </c>
      <c r="U715" t="n">
        <v>1.2</v>
      </c>
      <c r="V715" t="n">
        <v>1</v>
      </c>
      <c r="W715" t="n">
        <v>0</v>
      </c>
      <c r="X715">
        <f>IFERROR(U715*V715*(1-W715/100),"")</f>
        <v/>
      </c>
      <c r="Y715">
        <f>IFERROR(ROUND(X715*0.13,2),"")</f>
        <v/>
      </c>
      <c r="Z715">
        <f>IFERROR(X715+Y715,"")</f>
        <v/>
      </c>
      <c r="AA715" t="inlineStr">
        <is>
          <t>Chivo</t>
        </is>
      </c>
      <c r="AB715" t="inlineStr">
        <is>
          <t>precio especial autorizado por gerente</t>
        </is>
      </c>
    </row>
    <row r="716">
      <c r="A716" t="inlineStr">
        <is>
          <t>F-11039</t>
        </is>
      </c>
      <c r="B716" t="inlineStr">
        <is>
          <t>2026-08-23</t>
        </is>
      </c>
      <c r="C716" t="inlineStr">
        <is>
          <t>Factura</t>
        </is>
      </c>
      <c r="D716" t="inlineStr">
        <is>
          <t>SS01</t>
        </is>
      </c>
      <c r="E716" t="inlineStr">
        <is>
          <t>S.S. Centro</t>
        </is>
      </c>
      <c r="F716" t="inlineStr">
        <is>
          <t>4a Calle Poniente #215</t>
        </is>
      </c>
      <c r="G716" t="inlineStr">
        <is>
          <t>San Salvador</t>
        </is>
      </c>
      <c r="H716" t="inlineStr">
        <is>
          <t>San Salvador</t>
        </is>
      </c>
      <c r="I716" t="inlineStr">
        <is>
          <t>Roberto Alfaro</t>
        </is>
      </c>
      <c r="J716" t="inlineStr">
        <is>
          <t>2221-4580</t>
        </is>
      </c>
      <c r="K716" t="inlineStr">
        <is>
          <t>Daniela Orellana</t>
        </is>
      </c>
      <c r="L716" t="inlineStr">
        <is>
          <t>Douglas Ramírez Romero</t>
        </is>
      </c>
      <c r="M716" t="inlineStr">
        <is>
          <t>09442743-4</t>
        </is>
      </c>
      <c r="N716" t="inlineStr">
        <is>
          <t>7669-3172</t>
        </is>
      </c>
      <c r="O716" t="inlineStr">
        <is>
          <t>Consumidor final</t>
        </is>
      </c>
      <c r="P716" t="inlineStr">
        <is>
          <t>BEB-002</t>
        </is>
      </c>
      <c r="Q716" t="inlineStr">
        <is>
          <t>Agua purificada 1 galón</t>
        </is>
      </c>
      <c r="R716" t="inlineStr">
        <is>
          <t>Bebidas</t>
        </is>
      </c>
      <c r="S716" t="inlineStr">
        <is>
          <t>Bebidas Izalco</t>
        </is>
      </c>
      <c r="T716" t="inlineStr">
        <is>
          <t>2450-7700</t>
        </is>
      </c>
      <c r="U716" t="n">
        <v>1.1</v>
      </c>
      <c r="V716" t="n">
        <v>3</v>
      </c>
      <c r="W716" t="n">
        <v>0</v>
      </c>
      <c r="X716">
        <f>IFERROR(U716*V716*(1-W716/100),"")</f>
        <v/>
      </c>
      <c r="Y716">
        <f>IFERROR(ROUND(X716*0.13,2),"")</f>
        <v/>
      </c>
      <c r="Z716">
        <f>IFERROR(X716+Y716,"")</f>
        <v/>
      </c>
      <c r="AA716" t="inlineStr">
        <is>
          <t>Transferencia</t>
        </is>
      </c>
      <c r="AB716" t="inlineStr">
        <is>
          <t>Llamar al 7788-1234 antes de entregar</t>
        </is>
      </c>
    </row>
    <row r="717">
      <c r="A717" t="inlineStr">
        <is>
          <t>11039</t>
        </is>
      </c>
      <c r="B717" s="3" t="n">
        <v>46257</v>
      </c>
      <c r="C717" t="inlineStr">
        <is>
          <t>Factura</t>
        </is>
      </c>
      <c r="D717" t="inlineStr">
        <is>
          <t>SS01</t>
        </is>
      </c>
      <c r="E717" t="inlineStr">
        <is>
          <t>SAN SALVADOR CENTRO</t>
        </is>
      </c>
      <c r="F717" t="inlineStr">
        <is>
          <t>4a Calle Poniente #215</t>
        </is>
      </c>
      <c r="G717" t="inlineStr">
        <is>
          <t>San Salvador</t>
        </is>
      </c>
      <c r="H717" t="inlineStr">
        <is>
          <t>San Salvador</t>
        </is>
      </c>
      <c r="I717" t="inlineStr">
        <is>
          <t>Roberto Alfaro</t>
        </is>
      </c>
      <c r="J717" t="inlineStr">
        <is>
          <t>2221-4580</t>
        </is>
      </c>
      <c r="K717" t="inlineStr">
        <is>
          <t>Daniela Orellana</t>
        </is>
      </c>
      <c r="L717" t="inlineStr">
        <is>
          <t>Douglas Ramírez Romero</t>
        </is>
      </c>
      <c r="M717" t="inlineStr">
        <is>
          <t>09442743-4</t>
        </is>
      </c>
      <c r="N717" t="inlineStr">
        <is>
          <t>7669-3172</t>
        </is>
      </c>
      <c r="O717" t="inlineStr">
        <is>
          <t>Consumidor final</t>
        </is>
      </c>
      <c r="P717" t="inlineStr">
        <is>
          <t>LAC-003</t>
        </is>
      </c>
      <c r="Q717" t="inlineStr">
        <is>
          <t>Leche entera 1L</t>
        </is>
      </c>
      <c r="R717" t="inlineStr">
        <is>
          <t>Lácteos</t>
        </is>
      </c>
      <c r="S717" t="inlineStr">
        <is>
          <t>Lácteos Chalate</t>
        </is>
      </c>
      <c r="T717" t="inlineStr">
        <is>
          <t>2335-1020</t>
        </is>
      </c>
      <c r="U717" t="n">
        <v>1.2</v>
      </c>
      <c r="V717" t="n">
        <v>-1</v>
      </c>
      <c r="W717" t="n">
        <v>0</v>
      </c>
      <c r="X717">
        <f>IFERROR(U717*V717*(1-W717/100),"")</f>
        <v/>
      </c>
      <c r="Y717">
        <f>IFERROR(ROUND(X717*0.13,2),"")</f>
        <v/>
      </c>
      <c r="Z717">
        <f>IFERROR(X717+Y717,"")</f>
        <v/>
      </c>
      <c r="AA717" t="inlineStr">
        <is>
          <t>Transferencia</t>
        </is>
      </c>
      <c r="AB717" t="inlineStr"/>
    </row>
    <row r="718">
      <c r="A718" t="inlineStr">
        <is>
          <t>F-11039</t>
        </is>
      </c>
      <c r="B718" s="3" t="n">
        <v>46257</v>
      </c>
      <c r="C718" t="inlineStr">
        <is>
          <t>Factura</t>
        </is>
      </c>
      <c r="D718" t="inlineStr">
        <is>
          <t>SS01</t>
        </is>
      </c>
      <c r="E718" t="inlineStr">
        <is>
          <t>S.S. Centro</t>
        </is>
      </c>
      <c r="F718" t="inlineStr">
        <is>
          <t>4a Calle Poniente #215</t>
        </is>
      </c>
      <c r="G718" t="inlineStr">
        <is>
          <t>San Salvador</t>
        </is>
      </c>
      <c r="H718" t="inlineStr">
        <is>
          <t>San Salvador</t>
        </is>
      </c>
      <c r="I718" t="inlineStr">
        <is>
          <t>Roberto Alfaro</t>
        </is>
      </c>
      <c r="J718" t="inlineStr">
        <is>
          <t>2221-4580</t>
        </is>
      </c>
      <c r="K718" t="inlineStr">
        <is>
          <t>Daniela Orellana</t>
        </is>
      </c>
      <c r="L718" t="inlineStr">
        <is>
          <t>Douglas Ramírez Romero</t>
        </is>
      </c>
      <c r="M718" t="inlineStr"/>
      <c r="N718" t="inlineStr">
        <is>
          <t>7669-3172</t>
        </is>
      </c>
      <c r="O718" t="inlineStr">
        <is>
          <t>Consumidor final</t>
        </is>
      </c>
      <c r="P718" t="inlineStr">
        <is>
          <t>HIG-002</t>
        </is>
      </c>
      <c r="Q718" t="inlineStr">
        <is>
          <t>Papel higiénico 4 rollos</t>
        </is>
      </c>
      <c r="R718" t="inlineStr">
        <is>
          <t>Limpieza</t>
        </is>
      </c>
      <c r="S718" t="inlineStr">
        <is>
          <t>Higiene Total C.A.</t>
        </is>
      </c>
      <c r="T718" t="inlineStr">
        <is>
          <t>2207-5566</t>
        </is>
      </c>
      <c r="U718" t="n">
        <v>2.15</v>
      </c>
      <c r="V718" t="n">
        <v>24</v>
      </c>
      <c r="W718" t="n">
        <v>0</v>
      </c>
      <c r="X718">
        <f>IFERROR(U718*V718*(1-W718/100),"")</f>
        <v/>
      </c>
      <c r="Y718">
        <f>IFERROR(ROUND(X718*0.13,2),"")</f>
        <v/>
      </c>
      <c r="Z718">
        <f>IFERROR(X718+Y718,"")</f>
        <v/>
      </c>
      <c r="AA718" t="inlineStr">
        <is>
          <t>Transferencia</t>
        </is>
      </c>
      <c r="AB718" t="inlineStr"/>
    </row>
    <row r="719">
      <c r="A719" t="inlineStr">
        <is>
          <t>F-11039</t>
        </is>
      </c>
      <c r="B719" s="3" t="n">
        <v>46257</v>
      </c>
      <c r="C719" t="inlineStr">
        <is>
          <t>Factura</t>
        </is>
      </c>
      <c r="D719" t="inlineStr">
        <is>
          <t>SS01</t>
        </is>
      </c>
      <c r="E719" t="inlineStr">
        <is>
          <t>SAN SALVADOR CENTRO</t>
        </is>
      </c>
      <c r="F719" t="inlineStr">
        <is>
          <t>4a Calle Poniente #215</t>
        </is>
      </c>
      <c r="G719" t="inlineStr">
        <is>
          <t>San Salvador</t>
        </is>
      </c>
      <c r="H719" t="inlineStr">
        <is>
          <t>San Salvador</t>
        </is>
      </c>
      <c r="I719" t="inlineStr">
        <is>
          <t>Roberto Alfaro</t>
        </is>
      </c>
      <c r="J719" t="inlineStr">
        <is>
          <t>2221-4580</t>
        </is>
      </c>
      <c r="K719" t="inlineStr">
        <is>
          <t>Daniela Orellana</t>
        </is>
      </c>
      <c r="L719" t="inlineStr">
        <is>
          <t>Douglas Ramírez Romero</t>
        </is>
      </c>
      <c r="M719" t="inlineStr">
        <is>
          <t>09442743-4</t>
        </is>
      </c>
      <c r="N719" t="inlineStr">
        <is>
          <t>7669-3172</t>
        </is>
      </c>
      <c r="O719" t="inlineStr">
        <is>
          <t>Consumidor final</t>
        </is>
      </c>
      <c r="P719" t="inlineStr">
        <is>
          <t>FRI-001</t>
        </is>
      </c>
      <c r="Q719" t="inlineStr">
        <is>
          <t>Frijol rojo de seda 2lb</t>
        </is>
      </c>
      <c r="R719" t="inlineStr">
        <is>
          <t>Abarrotes</t>
        </is>
      </c>
      <c r="S719" t="inlineStr">
        <is>
          <t>Granos del Pacífico</t>
        </is>
      </c>
      <c r="T719" t="inlineStr">
        <is>
          <t>2234-8890</t>
        </is>
      </c>
      <c r="U719" t="n">
        <v>2.4</v>
      </c>
      <c r="V719" t="n">
        <v>12</v>
      </c>
      <c r="W719" t="n">
        <v>0</v>
      </c>
      <c r="X719">
        <f>IFERROR(U719*V719*(1-W719/100),"")</f>
        <v/>
      </c>
      <c r="Y719">
        <f>IFERROR(ROUND(X719*0.13,2),"")</f>
        <v/>
      </c>
      <c r="Z719">
        <f>IFERROR(X719+Y719,"")</f>
        <v/>
      </c>
      <c r="AA719" t="inlineStr">
        <is>
          <t>Transferencia</t>
        </is>
      </c>
      <c r="AB719" t="inlineStr"/>
    </row>
    <row r="720">
      <c r="A720" t="inlineStr">
        <is>
          <t>F-11040</t>
        </is>
      </c>
      <c r="B720" s="3" t="n">
        <v>46250</v>
      </c>
      <c r="C720" t="inlineStr">
        <is>
          <t>FCF</t>
        </is>
      </c>
      <c r="D720" t="inlineStr">
        <is>
          <t>SS02</t>
        </is>
      </c>
      <c r="E720" t="inlineStr">
        <is>
          <t>Escalon</t>
        </is>
      </c>
      <c r="F720" t="inlineStr">
        <is>
          <t>Paseo General Escalón #3910</t>
        </is>
      </c>
      <c r="G720" t="inlineStr">
        <is>
          <t>San Salvador</t>
        </is>
      </c>
      <c r="H720" t="inlineStr">
        <is>
          <t>San Salvador</t>
        </is>
      </c>
      <c r="I720" t="inlineStr">
        <is>
          <t>Claudia Menjívar</t>
        </is>
      </c>
      <c r="J720" t="inlineStr">
        <is>
          <t>2264-1190</t>
        </is>
      </c>
      <c r="K720" t="inlineStr">
        <is>
          <t>Kevin Benítez</t>
        </is>
      </c>
      <c r="L720" t="inlineStr">
        <is>
          <t>Douglas Ramírez Romero</t>
        </is>
      </c>
      <c r="M720" t="inlineStr">
        <is>
          <t>09442743-4</t>
        </is>
      </c>
      <c r="N720" t="inlineStr">
        <is>
          <t>7669-3172</t>
        </is>
      </c>
      <c r="O720" t="inlineStr">
        <is>
          <t>Consumidor final</t>
        </is>
      </c>
      <c r="P720" t="inlineStr">
        <is>
          <t>LAC-003</t>
        </is>
      </c>
      <c r="Q720" t="inlineStr">
        <is>
          <t>Leche entera 1L</t>
        </is>
      </c>
      <c r="R720" t="inlineStr">
        <is>
          <t>Lácteos</t>
        </is>
      </c>
      <c r="S720" t="inlineStr">
        <is>
          <t>Lácteos Chalate</t>
        </is>
      </c>
      <c r="T720" t="inlineStr">
        <is>
          <t>2335-1020</t>
        </is>
      </c>
      <c r="U720" t="n">
        <v>1.2</v>
      </c>
      <c r="V720" t="n">
        <v>1</v>
      </c>
      <c r="W720" t="n">
        <v>0</v>
      </c>
      <c r="X720">
        <f>IFERROR(U720*V720*(1-W720/100),"")</f>
        <v/>
      </c>
      <c r="Y720">
        <f>IFERROR(ROUND(X720*0.13,2),"")</f>
        <v/>
      </c>
      <c r="Z720">
        <f>IFERROR(X720+Y720,"")</f>
        <v/>
      </c>
      <c r="AA720" t="inlineStr">
        <is>
          <t>Bitcoin</t>
        </is>
      </c>
      <c r="AB720" t="inlineStr">
        <is>
          <t>entregar en bodega</t>
        </is>
      </c>
    </row>
    <row r="721">
      <c r="A721" t="inlineStr">
        <is>
          <t>F-11040</t>
        </is>
      </c>
      <c r="B721" t="inlineStr">
        <is>
          <t>16/08/2026</t>
        </is>
      </c>
      <c r="C721" t="inlineStr">
        <is>
          <t>FCF</t>
        </is>
      </c>
      <c r="D721" t="inlineStr">
        <is>
          <t>SS02</t>
        </is>
      </c>
      <c r="E721" t="inlineStr">
        <is>
          <t>Escalon</t>
        </is>
      </c>
      <c r="F721" t="inlineStr">
        <is>
          <t>Paseo General Escalón #3910</t>
        </is>
      </c>
      <c r="G721" t="inlineStr">
        <is>
          <t>San Salvador</t>
        </is>
      </c>
      <c r="H721" t="inlineStr">
        <is>
          <t>San Salvador</t>
        </is>
      </c>
      <c r="I721" t="inlineStr">
        <is>
          <t>Claudia Menjívar</t>
        </is>
      </c>
      <c r="J721" t="inlineStr">
        <is>
          <t>2264-1190</t>
        </is>
      </c>
      <c r="K721" t="inlineStr">
        <is>
          <t>Kevin Benítez</t>
        </is>
      </c>
      <c r="L721" t="inlineStr">
        <is>
          <t>Douglas Ramírez Romero</t>
        </is>
      </c>
      <c r="M721" t="inlineStr">
        <is>
          <t>09442743-4</t>
        </is>
      </c>
      <c r="N721" t="inlineStr">
        <is>
          <t>7669-3172</t>
        </is>
      </c>
      <c r="O721" t="inlineStr">
        <is>
          <t>Consumidor final</t>
        </is>
      </c>
      <c r="P721" t="inlineStr">
        <is>
          <t>AZU-001</t>
        </is>
      </c>
      <c r="Q721" t="inlineStr">
        <is>
          <t>Azúcar blanca 2.5kg</t>
        </is>
      </c>
      <c r="R721" t="inlineStr">
        <is>
          <t>Abarrotes</t>
        </is>
      </c>
      <c r="S721" t="inlineStr">
        <is>
          <t>Granos del Pacífico</t>
        </is>
      </c>
      <c r="T721" t="inlineStr">
        <is>
          <t>2234-8890</t>
        </is>
      </c>
      <c r="U721" t="n">
        <v>3.1</v>
      </c>
      <c r="V721" t="n">
        <v>2</v>
      </c>
      <c r="W721" t="n">
        <v>0</v>
      </c>
      <c r="X721">
        <f>IFERROR(U721*V721*(1-W721/100),"")</f>
        <v/>
      </c>
      <c r="Y721">
        <f>IFERROR(ROUND(X721*0.13,2),"")</f>
        <v/>
      </c>
      <c r="Z721">
        <f>IFERROR(X721+Y721,"")</f>
        <v/>
      </c>
      <c r="AA721" t="inlineStr">
        <is>
          <t>Bitcoin</t>
        </is>
      </c>
      <c r="AB721" t="inlineStr"/>
    </row>
    <row r="722">
      <c r="A722" t="inlineStr">
        <is>
          <t>F-11040</t>
        </is>
      </c>
      <c r="B722" s="3" t="n">
        <v>46250</v>
      </c>
      <c r="C722" t="inlineStr">
        <is>
          <t>FCF</t>
        </is>
      </c>
      <c r="D722" t="inlineStr">
        <is>
          <t>SS02</t>
        </is>
      </c>
      <c r="E722" t="inlineStr">
        <is>
          <t>Escalon</t>
        </is>
      </c>
      <c r="F722" t="inlineStr">
        <is>
          <t>Paseo General Escalón #3910</t>
        </is>
      </c>
      <c r="G722" t="inlineStr">
        <is>
          <t>San Salvador</t>
        </is>
      </c>
      <c r="H722" t="inlineStr">
        <is>
          <t>San Salvador</t>
        </is>
      </c>
      <c r="I722" t="inlineStr">
        <is>
          <t>Claudia Menjívar</t>
        </is>
      </c>
      <c r="J722" t="inlineStr">
        <is>
          <t>2264-1190</t>
        </is>
      </c>
      <c r="K722" t="inlineStr">
        <is>
          <t>Kevin Benítez</t>
        </is>
      </c>
      <c r="L722" t="inlineStr">
        <is>
          <t>Douglas Ramírez Romero</t>
        </is>
      </c>
      <c r="M722" t="inlineStr">
        <is>
          <t>09442743-4</t>
        </is>
      </c>
      <c r="N722" t="inlineStr">
        <is>
          <t>7669-3172</t>
        </is>
      </c>
      <c r="O722" t="inlineStr">
        <is>
          <t>Consumidor final</t>
        </is>
      </c>
      <c r="P722" t="inlineStr">
        <is>
          <t>PAN-002</t>
        </is>
      </c>
      <c r="Q722" t="inlineStr">
        <is>
          <t>Semita alta</t>
        </is>
      </c>
      <c r="R722" t="inlineStr">
        <is>
          <t>Panadería</t>
        </is>
      </c>
      <c r="S722" t="inlineStr">
        <is>
          <t>Panificadora Ilopango</t>
        </is>
      </c>
      <c r="T722" t="inlineStr">
        <is>
          <t>2295-0081</t>
        </is>
      </c>
      <c r="U722" t="n">
        <v>1.75</v>
      </c>
      <c r="V722" t="n">
        <v>3</v>
      </c>
      <c r="W722" t="n">
        <v>0</v>
      </c>
      <c r="X722">
        <f>IFERROR(U722*V722*(1-W722/100),"")</f>
        <v/>
      </c>
      <c r="Y722">
        <f>IFERROR(ROUND(X722*0.13,2),"")</f>
        <v/>
      </c>
      <c r="Z722">
        <f>IFERROR(X722+Y722,"")</f>
        <v/>
      </c>
      <c r="AA722" t="inlineStr">
        <is>
          <t>Bitcoin</t>
        </is>
      </c>
      <c r="AB722" t="inlineStr">
        <is>
          <t>precio especial autorizado por gerente</t>
        </is>
      </c>
    </row>
    <row r="723">
      <c r="A723" t="inlineStr">
        <is>
          <t>F-11040</t>
        </is>
      </c>
      <c r="B723" s="3" t="n">
        <v>46250</v>
      </c>
      <c r="C723" t="inlineStr">
        <is>
          <t>FCF</t>
        </is>
      </c>
      <c r="D723" t="inlineStr">
        <is>
          <t>SS02</t>
        </is>
      </c>
      <c r="E723" t="inlineStr">
        <is>
          <t>Escalon</t>
        </is>
      </c>
      <c r="F723" t="inlineStr">
        <is>
          <t>Paseo General Escalón #3910</t>
        </is>
      </c>
      <c r="G723" t="inlineStr">
        <is>
          <t>San Salvador</t>
        </is>
      </c>
      <c r="H723" t="inlineStr">
        <is>
          <t>San Salvador</t>
        </is>
      </c>
      <c r="I723" t="inlineStr">
        <is>
          <t>Claudia Menjívar</t>
        </is>
      </c>
      <c r="J723" t="inlineStr">
        <is>
          <t>2264-1190</t>
        </is>
      </c>
      <c r="K723" t="inlineStr">
        <is>
          <t>Kevin Benítez</t>
        </is>
      </c>
      <c r="L723" t="inlineStr">
        <is>
          <t>Douglas Ramírez Romero</t>
        </is>
      </c>
      <c r="M723" t="inlineStr">
        <is>
          <t>09442743-4</t>
        </is>
      </c>
      <c r="N723" t="inlineStr">
        <is>
          <t>7669-3172</t>
        </is>
      </c>
      <c r="O723" t="inlineStr">
        <is>
          <t>Consumidor final</t>
        </is>
      </c>
      <c r="P723" t="inlineStr">
        <is>
          <t>ARR-001</t>
        </is>
      </c>
      <c r="Q723" t="inlineStr">
        <is>
          <t>Arroz blanco 5lb</t>
        </is>
      </c>
      <c r="R723" t="inlineStr">
        <is>
          <t>Abarrotes</t>
        </is>
      </c>
      <c r="S723" t="inlineStr">
        <is>
          <t>Granos del Pacífico</t>
        </is>
      </c>
      <c r="T723" t="inlineStr">
        <is>
          <t>2234-8890</t>
        </is>
      </c>
      <c r="U723" t="n">
        <v>3.95</v>
      </c>
      <c r="V723" t="n">
        <v>1</v>
      </c>
      <c r="W723" t="n">
        <v>0</v>
      </c>
      <c r="X723">
        <f>IFERROR(U723*V723*(1-W723/100),"")</f>
        <v/>
      </c>
      <c r="Y723">
        <f>IFERROR(ROUND(X723*0.13,2),"")</f>
        <v/>
      </c>
      <c r="Z723">
        <f>IFERROR(X723+Y723,"")</f>
        <v/>
      </c>
      <c r="AA723" t="inlineStr">
        <is>
          <t>Bitcoin</t>
        </is>
      </c>
      <c r="AB723" t="inlineStr">
        <is>
          <t>Cliente frecuente</t>
        </is>
      </c>
    </row>
    <row r="724">
      <c r="A724" t="inlineStr">
        <is>
          <t>F-11043</t>
        </is>
      </c>
      <c r="B724" s="3" t="n">
        <v>46275</v>
      </c>
      <c r="C724" t="inlineStr">
        <is>
          <t>Factura</t>
        </is>
      </c>
      <c r="D724" t="inlineStr">
        <is>
          <t>LL01</t>
        </is>
      </c>
      <c r="E724" t="inlineStr">
        <is>
          <t>Santa Tecla</t>
        </is>
      </c>
      <c r="F724" t="inlineStr">
        <is>
          <t>Calle Daniel Hernández #18</t>
        </is>
      </c>
      <c r="G724" t="inlineStr">
        <is>
          <t>Santa Tecla</t>
        </is>
      </c>
      <c r="H724" t="inlineStr">
        <is>
          <t>La Libertad</t>
        </is>
      </c>
      <c r="I724" t="inlineStr">
        <is>
          <t>Óscar Rivas</t>
        </is>
      </c>
      <c r="J724" t="inlineStr">
        <is>
          <t>2228-7731</t>
        </is>
      </c>
      <c r="K724" t="inlineStr">
        <is>
          <t>Luis Escobar</t>
        </is>
      </c>
      <c r="L724" t="inlineStr">
        <is>
          <t>JOSÉ LÓPEZ PÉREZ</t>
        </is>
      </c>
      <c r="M724" t="inlineStr">
        <is>
          <t>07894436-0</t>
        </is>
      </c>
      <c r="N724" t="inlineStr">
        <is>
          <t>2795-9333</t>
        </is>
      </c>
      <c r="O724" t="inlineStr">
        <is>
          <t>Consumidor final</t>
        </is>
      </c>
      <c r="P724" t="inlineStr">
        <is>
          <t>HIG-001</t>
        </is>
      </c>
      <c r="Q724" t="inlineStr">
        <is>
          <t>Detergente 1kg</t>
        </is>
      </c>
      <c r="R724" t="inlineStr">
        <is>
          <t>limpieza</t>
        </is>
      </c>
      <c r="S724" t="inlineStr">
        <is>
          <t>Higiene Total C.A.</t>
        </is>
      </c>
      <c r="T724" t="inlineStr">
        <is>
          <t>2207-5566</t>
        </is>
      </c>
      <c r="U724" t="n">
        <v>3.45</v>
      </c>
      <c r="V724" t="n">
        <v>3</v>
      </c>
      <c r="W724" t="n">
        <v>0</v>
      </c>
      <c r="X724">
        <f>IFERROR(U724*V724*(1-W724/100),"")</f>
        <v/>
      </c>
      <c r="Y724">
        <f>IFERROR(ROUND(X724*0.13,2),"")</f>
        <v/>
      </c>
      <c r="Z724">
        <f>IFERROR(X724+Y724,"")</f>
        <v/>
      </c>
      <c r="AA724" t="inlineStr">
        <is>
          <t>Tarjeta</t>
        </is>
      </c>
      <c r="AB724" t="inlineStr">
        <is>
          <t>Cliente frecuente</t>
        </is>
      </c>
    </row>
    <row r="725">
      <c r="A725" t="inlineStr">
        <is>
          <t>F-11043</t>
        </is>
      </c>
      <c r="B725" t="inlineStr">
        <is>
          <t>10/09/2026</t>
        </is>
      </c>
      <c r="C725" t="inlineStr">
        <is>
          <t>Factura</t>
        </is>
      </c>
      <c r="D725" t="inlineStr">
        <is>
          <t>LL01</t>
        </is>
      </c>
      <c r="E725" t="inlineStr">
        <is>
          <t>SANTA TECLA</t>
        </is>
      </c>
      <c r="F725" t="inlineStr">
        <is>
          <t>Calle Daniel Hernández #18</t>
        </is>
      </c>
      <c r="G725" t="inlineStr">
        <is>
          <t>Santa Tecla</t>
        </is>
      </c>
      <c r="H725" t="inlineStr">
        <is>
          <t>La Libertad</t>
        </is>
      </c>
      <c r="I725" t="inlineStr">
        <is>
          <t>Óscar Rivas</t>
        </is>
      </c>
      <c r="J725" t="inlineStr">
        <is>
          <t>2228-7731</t>
        </is>
      </c>
      <c r="K725" t="inlineStr">
        <is>
          <t>Luis Escobar</t>
        </is>
      </c>
      <c r="L725" t="inlineStr">
        <is>
          <t>José López Pérez</t>
        </is>
      </c>
      <c r="M725" t="inlineStr">
        <is>
          <t>07894436-0</t>
        </is>
      </c>
      <c r="N725" t="inlineStr">
        <is>
          <t>2795-9333</t>
        </is>
      </c>
      <c r="O725" t="inlineStr">
        <is>
          <t>Consumidor final</t>
        </is>
      </c>
      <c r="P725" t="inlineStr">
        <is>
          <t>BEB-001</t>
        </is>
      </c>
      <c r="Q725" t="inlineStr">
        <is>
          <t>Gaseosa 2.5L</t>
        </is>
      </c>
      <c r="R725" t="inlineStr">
        <is>
          <t>bebidas</t>
        </is>
      </c>
      <c r="S725" t="inlineStr">
        <is>
          <t>Bebidas Izalco</t>
        </is>
      </c>
      <c r="T725" t="inlineStr">
        <is>
          <t>2450-7700</t>
        </is>
      </c>
      <c r="U725" t="n">
        <v>1.95</v>
      </c>
      <c r="V725" t="n">
        <v>1</v>
      </c>
      <c r="W725" t="n">
        <v>0</v>
      </c>
      <c r="X725">
        <f>IFERROR(U725*V725*(1-W725/100),"")</f>
        <v/>
      </c>
      <c r="Y725">
        <f>IFERROR(ROUND(X725*0.13,2),"")</f>
        <v/>
      </c>
      <c r="Z725">
        <f>IFERROR(X725+Y725,"")</f>
        <v/>
      </c>
      <c r="AA725" t="inlineStr">
        <is>
          <t>Tarjeta</t>
        </is>
      </c>
      <c r="AB725" t="inlineStr"/>
    </row>
    <row r="726">
      <c r="A726" t="inlineStr">
        <is>
          <t>F-11043</t>
        </is>
      </c>
      <c r="B726" s="3" t="n">
        <v>46275</v>
      </c>
      <c r="C726" t="inlineStr">
        <is>
          <t>Factura</t>
        </is>
      </c>
      <c r="D726" t="inlineStr">
        <is>
          <t>LL01</t>
        </is>
      </c>
      <c r="E726" t="inlineStr">
        <is>
          <t>SANTA TECLA</t>
        </is>
      </c>
      <c r="F726" t="inlineStr">
        <is>
          <t>Calle Daniel Hernández #18</t>
        </is>
      </c>
      <c r="G726" t="inlineStr">
        <is>
          <t>Santa Tecla</t>
        </is>
      </c>
      <c r="H726" t="inlineStr">
        <is>
          <t>La Libertad</t>
        </is>
      </c>
      <c r="I726" t="inlineStr">
        <is>
          <t>Óscar Rivas</t>
        </is>
      </c>
      <c r="J726" t="inlineStr">
        <is>
          <t>2228-7731</t>
        </is>
      </c>
      <c r="K726" t="inlineStr">
        <is>
          <t>Luis Escobar</t>
        </is>
      </c>
      <c r="L726" t="inlineStr">
        <is>
          <t>José López Pérez</t>
        </is>
      </c>
      <c r="M726" t="inlineStr">
        <is>
          <t>07894436-0</t>
        </is>
      </c>
      <c r="N726" t="inlineStr">
        <is>
          <t>2795-9333</t>
        </is>
      </c>
      <c r="O726" t="inlineStr">
        <is>
          <t>Consumidor final</t>
        </is>
      </c>
      <c r="P726" t="inlineStr">
        <is>
          <t>BEB-002</t>
        </is>
      </c>
      <c r="Q726" t="inlineStr">
        <is>
          <t>Agua purificada 1 galón</t>
        </is>
      </c>
      <c r="R726" t="inlineStr">
        <is>
          <t>Bebidas</t>
        </is>
      </c>
      <c r="S726" t="inlineStr">
        <is>
          <t>Bebidas Izalco</t>
        </is>
      </c>
      <c r="T726" t="inlineStr">
        <is>
          <t>2450-7700</t>
        </is>
      </c>
      <c r="U726" t="n">
        <v>1.1</v>
      </c>
      <c r="V726" t="n">
        <v>4</v>
      </c>
      <c r="W726" t="n">
        <v>0</v>
      </c>
      <c r="X726">
        <f>IFERROR(U726*V726*(1-W726/100),"")</f>
        <v/>
      </c>
      <c r="Y726">
        <f>IFERROR(ROUND(X726*0.13,2),"")</f>
        <v/>
      </c>
      <c r="Z726">
        <f>IFERROR(X726+Y726,"")</f>
        <v/>
      </c>
      <c r="AA726" t="inlineStr">
        <is>
          <t>Tarjeta</t>
        </is>
      </c>
      <c r="AB726" t="inlineStr"/>
    </row>
    <row r="727">
      <c r="A727" t="inlineStr">
        <is>
          <t>F-11043</t>
        </is>
      </c>
      <c r="B727" s="3" t="n">
        <v>46275</v>
      </c>
      <c r="C727" t="inlineStr">
        <is>
          <t>Factura</t>
        </is>
      </c>
      <c r="D727" t="inlineStr">
        <is>
          <t>LL01</t>
        </is>
      </c>
      <c r="E727" t="inlineStr">
        <is>
          <t>Santa Tecla</t>
        </is>
      </c>
      <c r="F727" t="inlineStr">
        <is>
          <t>Calle Daniel Hernández #18</t>
        </is>
      </c>
      <c r="G727" t="inlineStr">
        <is>
          <t>Santa Tecla</t>
        </is>
      </c>
      <c r="H727" t="inlineStr">
        <is>
          <t>La Libertad</t>
        </is>
      </c>
      <c r="I727" t="inlineStr">
        <is>
          <t>Óscar Rivas</t>
        </is>
      </c>
      <c r="J727" t="inlineStr">
        <is>
          <t>2228-7731</t>
        </is>
      </c>
      <c r="K727" t="inlineStr">
        <is>
          <t>Luis Escobar</t>
        </is>
      </c>
      <c r="L727" t="inlineStr">
        <is>
          <t>José López Pérez</t>
        </is>
      </c>
      <c r="M727" t="inlineStr">
        <is>
          <t>07894436-0</t>
        </is>
      </c>
      <c r="N727" t="inlineStr">
        <is>
          <t>2795-9333</t>
        </is>
      </c>
      <c r="O727" t="inlineStr">
        <is>
          <t>Consumidor final</t>
        </is>
      </c>
      <c r="P727" t="inlineStr">
        <is>
          <t>PAN-003</t>
        </is>
      </c>
      <c r="Q727" t="inlineStr">
        <is>
          <t>Quesadilla salvadoreña</t>
        </is>
      </c>
      <c r="R727" t="inlineStr">
        <is>
          <t>PANADERIA</t>
        </is>
      </c>
      <c r="S727" t="inlineStr">
        <is>
          <t>Panificadora Ilopango</t>
        </is>
      </c>
      <c r="T727" t="inlineStr">
        <is>
          <t>2295-0081</t>
        </is>
      </c>
      <c r="U727" t="n">
        <v>2.5</v>
      </c>
      <c r="V727" t="n">
        <v>1</v>
      </c>
      <c r="W727" t="n">
        <v>0</v>
      </c>
      <c r="X727">
        <f>IFERROR(U727*V727*(1-W727/100),"")</f>
        <v/>
      </c>
      <c r="Y727">
        <f>IFERROR(ROUND(X727*0.13,2),"")</f>
        <v/>
      </c>
      <c r="Z727">
        <f>IFERROR(X727+Y727,"")</f>
        <v/>
      </c>
      <c r="AA727" t="inlineStr">
        <is>
          <t>Tarjeta</t>
        </is>
      </c>
      <c r="AB727" t="inlineStr">
        <is>
          <t>Cliente frecuente</t>
        </is>
      </c>
    </row>
    <row r="728">
      <c r="A728" t="inlineStr">
        <is>
          <t>F-11044</t>
        </is>
      </c>
      <c r="B728" t="inlineStr">
        <is>
          <t>2026-08-28</t>
        </is>
      </c>
      <c r="C728" t="inlineStr">
        <is>
          <t>Factura</t>
        </is>
      </c>
      <c r="D728" t="inlineStr">
        <is>
          <t>LL02</t>
        </is>
      </c>
      <c r="E728" t="inlineStr">
        <is>
          <t>Pto. La Libertad</t>
        </is>
      </c>
      <c r="F728" t="inlineStr">
        <is>
          <t>Calle El Malecón, Local 4</t>
        </is>
      </c>
      <c r="G728" t="inlineStr">
        <is>
          <t>La Libertad</t>
        </is>
      </c>
      <c r="H728" t="inlineStr">
        <is>
          <t>La Libertad</t>
        </is>
      </c>
      <c r="I728" t="inlineStr">
        <is>
          <t>Wendy Aguilar</t>
        </is>
      </c>
      <c r="J728" t="inlineStr">
        <is>
          <t>2335-6140</t>
        </is>
      </c>
      <c r="K728" t="inlineStr">
        <is>
          <t>Gabriela Saravia</t>
        </is>
      </c>
      <c r="L728" t="inlineStr">
        <is>
          <t>Edwin Rivera Guevara</t>
        </is>
      </c>
      <c r="M728" t="inlineStr">
        <is>
          <t>03840762-1</t>
        </is>
      </c>
      <c r="N728" t="inlineStr">
        <is>
          <t>7817-8484</t>
        </is>
      </c>
      <c r="O728" t="inlineStr">
        <is>
          <t>Consumidor final</t>
        </is>
      </c>
      <c r="P728" t="inlineStr">
        <is>
          <t>LAC-002</t>
        </is>
      </c>
      <c r="Q728" t="inlineStr">
        <is>
          <t>Crema 500ml</t>
        </is>
      </c>
      <c r="R728" t="inlineStr">
        <is>
          <t>Lácteos</t>
        </is>
      </c>
      <c r="S728" t="inlineStr">
        <is>
          <t>Lácteos Chalate</t>
        </is>
      </c>
      <c r="T728" t="inlineStr">
        <is>
          <t>2335-1020</t>
        </is>
      </c>
      <c r="U728" t="n">
        <v>2.25</v>
      </c>
      <c r="V728" t="n">
        <v>24</v>
      </c>
      <c r="W728" t="n">
        <v>0</v>
      </c>
      <c r="X728">
        <f>IFERROR(U728*V728*(1-W728/100),"")</f>
        <v/>
      </c>
      <c r="Y728">
        <f>IFERROR(ROUND(X728*0.13,2),"")</f>
        <v/>
      </c>
      <c r="Z728">
        <f>IFERROR(X728+Y728,"")</f>
        <v/>
      </c>
      <c r="AA728" t="inlineStr">
        <is>
          <t>Efectivo</t>
        </is>
      </c>
      <c r="AB728" t="inlineStr"/>
    </row>
    <row r="729">
      <c r="A729" t="inlineStr">
        <is>
          <t>F-11044</t>
        </is>
      </c>
      <c r="B729" s="3" t="n">
        <v>46262</v>
      </c>
      <c r="C729" t="inlineStr">
        <is>
          <t>Factura</t>
        </is>
      </c>
      <c r="D729" t="inlineStr">
        <is>
          <t>LL02</t>
        </is>
      </c>
      <c r="E729" t="inlineStr">
        <is>
          <t>Puerto de La Libertad</t>
        </is>
      </c>
      <c r="F729" t="inlineStr">
        <is>
          <t>Calle El Malecón, Local 4</t>
        </is>
      </c>
      <c r="G729" t="inlineStr">
        <is>
          <t>La Libertad</t>
        </is>
      </c>
      <c r="H729" t="inlineStr">
        <is>
          <t>La Libertad</t>
        </is>
      </c>
      <c r="I729" t="inlineStr">
        <is>
          <t>Wendy Aguilar</t>
        </is>
      </c>
      <c r="J729" t="inlineStr">
        <is>
          <t>2335-6140</t>
        </is>
      </c>
      <c r="K729" t="inlineStr">
        <is>
          <t>Gabriela Saravia</t>
        </is>
      </c>
      <c r="L729" t="inlineStr">
        <is>
          <t>Edwin Rivera Guevara</t>
        </is>
      </c>
      <c r="M729" t="inlineStr">
        <is>
          <t>03840762-1</t>
        </is>
      </c>
      <c r="N729" t="inlineStr">
        <is>
          <t>7817-8484</t>
        </is>
      </c>
      <c r="O729" t="inlineStr">
        <is>
          <t>Consumidor final</t>
        </is>
      </c>
      <c r="P729" t="inlineStr">
        <is>
          <t>HIG-001</t>
        </is>
      </c>
      <c r="Q729" t="inlineStr">
        <is>
          <t>Detergente 1kg</t>
        </is>
      </c>
      <c r="R729" t="inlineStr">
        <is>
          <t>Higiene</t>
        </is>
      </c>
      <c r="S729" t="inlineStr">
        <is>
          <t>Higiene Total C.A.</t>
        </is>
      </c>
      <c r="T729" t="inlineStr">
        <is>
          <t>2207-5566</t>
        </is>
      </c>
      <c r="U729" t="n">
        <v>3.45</v>
      </c>
      <c r="V729" t="n">
        <v>2</v>
      </c>
      <c r="W729" t="n">
        <v>0</v>
      </c>
      <c r="X729">
        <f>IFERROR(U729*V729*(1-W729/100),"")</f>
        <v/>
      </c>
      <c r="Y729">
        <f>IFERROR(ROUND(X729*0.13,2),"")</f>
        <v/>
      </c>
      <c r="Z729">
        <f>IFERROR(X729+Y729,"")</f>
        <v/>
      </c>
      <c r="AA729" t="inlineStr">
        <is>
          <t>Efectivo</t>
        </is>
      </c>
      <c r="AB729" t="inlineStr"/>
    </row>
    <row r="730">
      <c r="A730" t="inlineStr">
        <is>
          <t>F-11044</t>
        </is>
      </c>
      <c r="B730" s="3" t="n">
        <v>46262</v>
      </c>
      <c r="C730" t="inlineStr">
        <is>
          <t>Factura</t>
        </is>
      </c>
      <c r="D730" t="inlineStr">
        <is>
          <t>LL02</t>
        </is>
      </c>
      <c r="E730" t="inlineStr">
        <is>
          <t>Puerto de La Libertad</t>
        </is>
      </c>
      <c r="F730" t="inlineStr">
        <is>
          <t>Calle El Malecón, Local 4</t>
        </is>
      </c>
      <c r="G730" t="inlineStr">
        <is>
          <t>La Libertad</t>
        </is>
      </c>
      <c r="H730" t="inlineStr">
        <is>
          <t>La Libertad</t>
        </is>
      </c>
      <c r="I730" t="inlineStr">
        <is>
          <t>Wendy Aguilar</t>
        </is>
      </c>
      <c r="J730" t="inlineStr">
        <is>
          <t>2335-6140</t>
        </is>
      </c>
      <c r="K730" t="inlineStr">
        <is>
          <t>Gabriela Saravia</t>
        </is>
      </c>
      <c r="L730" t="inlineStr">
        <is>
          <t>Edwin Rivera Guevara</t>
        </is>
      </c>
      <c r="M730" t="inlineStr">
        <is>
          <t>03840762-1</t>
        </is>
      </c>
      <c r="N730" t="inlineStr">
        <is>
          <t>7817-8484</t>
        </is>
      </c>
      <c r="O730" t="inlineStr">
        <is>
          <t>Consumidor final</t>
        </is>
      </c>
      <c r="P730" t="inlineStr">
        <is>
          <t>PAN-002</t>
        </is>
      </c>
      <c r="Q730" t="inlineStr">
        <is>
          <t>Semita alta</t>
        </is>
      </c>
      <c r="R730" t="inlineStr">
        <is>
          <t>Panadería</t>
        </is>
      </c>
      <c r="S730" t="inlineStr">
        <is>
          <t>Panificadora Ilopango</t>
        </is>
      </c>
      <c r="T730" t="inlineStr">
        <is>
          <t>2295-0081</t>
        </is>
      </c>
      <c r="U730" t="inlineStr">
        <is>
          <t>$1.75</t>
        </is>
      </c>
      <c r="V730" t="n">
        <v>1</v>
      </c>
      <c r="W730" t="n">
        <v>0</v>
      </c>
      <c r="X730">
        <f>IFERROR(U730*V730*(1-W730/100),"")</f>
        <v/>
      </c>
      <c r="Y730">
        <f>IFERROR(ROUND(X730*0.13,2),"")</f>
        <v/>
      </c>
      <c r="Z730">
        <f>IFERROR(X730+Y730,"")</f>
        <v/>
      </c>
      <c r="AA730" t="inlineStr">
        <is>
          <t>Efectivo</t>
        </is>
      </c>
      <c r="AB730" t="inlineStr">
        <is>
          <t>precio especial autorizado por gerente</t>
        </is>
      </c>
    </row>
    <row r="731">
      <c r="A731" t="inlineStr">
        <is>
          <t>F-11045</t>
        </is>
      </c>
      <c r="B731" s="3" t="n">
        <v>46255</v>
      </c>
      <c r="C731" t="inlineStr">
        <is>
          <t>FCF</t>
        </is>
      </c>
      <c r="D731" t="inlineStr">
        <is>
          <t>SM01</t>
        </is>
      </c>
      <c r="E731" t="inlineStr">
        <is>
          <t>San Miguel</t>
        </is>
      </c>
      <c r="F731" t="inlineStr">
        <is>
          <t>Av. Roosevelt Sur #7</t>
        </is>
      </c>
      <c r="G731" t="inlineStr">
        <is>
          <t>San Miguel</t>
        </is>
      </c>
      <c r="H731" t="inlineStr">
        <is>
          <t>San Miguel</t>
        </is>
      </c>
      <c r="I731" t="inlineStr">
        <is>
          <t>Iris Portillo</t>
        </is>
      </c>
      <c r="J731" t="inlineStr">
        <is>
          <t>2661-5076</t>
        </is>
      </c>
      <c r="K731" t="inlineStr">
        <is>
          <t>Jorge Villalta</t>
        </is>
      </c>
      <c r="L731" t="inlineStr">
        <is>
          <t>Xiomara Hernández Quintanilla</t>
        </is>
      </c>
      <c r="M731" t="inlineStr">
        <is>
          <t>06385104-8</t>
        </is>
      </c>
      <c r="N731" t="inlineStr">
        <is>
          <t>7931-3589</t>
        </is>
      </c>
      <c r="O731" t="inlineStr">
        <is>
          <t>Consumidor final</t>
        </is>
      </c>
      <c r="P731" t="inlineStr">
        <is>
          <t>ARR-001</t>
        </is>
      </c>
      <c r="Q731" t="inlineStr">
        <is>
          <t>Arroz blanco 5lb</t>
        </is>
      </c>
      <c r="R731" t="inlineStr">
        <is>
          <t>Granos básicos</t>
        </is>
      </c>
      <c r="S731" t="inlineStr">
        <is>
          <t>Granos del Pacífico</t>
        </is>
      </c>
      <c r="T731" t="inlineStr">
        <is>
          <t>2234-8890</t>
        </is>
      </c>
      <c r="U731" t="n">
        <v>3.95</v>
      </c>
      <c r="V731" t="n">
        <v>1</v>
      </c>
      <c r="W731" t="n">
        <v>0</v>
      </c>
      <c r="X731">
        <f>IFERROR(U731*V731*(1-W731/100),"")</f>
        <v/>
      </c>
      <c r="Y731">
        <f>IFERROR(ROUND(X731*0.13,2),"")</f>
        <v/>
      </c>
      <c r="Z731">
        <f>IFERROR(X731+Y731,"")</f>
        <v/>
      </c>
      <c r="AA731" t="inlineStr">
        <is>
          <t>Efectivo</t>
        </is>
      </c>
      <c r="AB731" t="inlineStr"/>
    </row>
    <row r="732">
      <c r="A732" t="inlineStr">
        <is>
          <t>F-11045</t>
        </is>
      </c>
      <c r="B732" s="3" t="n">
        <v>46255</v>
      </c>
      <c r="C732" t="inlineStr">
        <is>
          <t>FCF</t>
        </is>
      </c>
      <c r="D732" t="inlineStr">
        <is>
          <t>SM01</t>
        </is>
      </c>
      <c r="E732" t="inlineStr">
        <is>
          <t>SAN MIGUEL</t>
        </is>
      </c>
      <c r="F732" t="inlineStr">
        <is>
          <t>Av. Roosevelt Sur #7</t>
        </is>
      </c>
      <c r="G732" t="inlineStr">
        <is>
          <t>San Miguel</t>
        </is>
      </c>
      <c r="H732" t="inlineStr">
        <is>
          <t>San Miguel</t>
        </is>
      </c>
      <c r="I732" t="inlineStr">
        <is>
          <t>Iris Portillo</t>
        </is>
      </c>
      <c r="J732" t="inlineStr">
        <is>
          <t>2661-5076</t>
        </is>
      </c>
      <c r="K732" t="inlineStr">
        <is>
          <t>Jorge Villalta</t>
        </is>
      </c>
      <c r="L732" t="inlineStr">
        <is>
          <t>Xiomara Hernández Quintanilla</t>
        </is>
      </c>
      <c r="M732" t="inlineStr"/>
      <c r="N732" t="inlineStr">
        <is>
          <t>7931-3589</t>
        </is>
      </c>
      <c r="O732" t="inlineStr">
        <is>
          <t>Consumidor final</t>
        </is>
      </c>
      <c r="P732" t="inlineStr">
        <is>
          <t>HIG-003</t>
        </is>
      </c>
      <c r="Q732" t="inlineStr">
        <is>
          <t>Jabón de lavar barra</t>
        </is>
      </c>
      <c r="R732" t="inlineStr">
        <is>
          <t>Limpieza</t>
        </is>
      </c>
      <c r="S732" t="inlineStr">
        <is>
          <t>Higiene Total C.A.</t>
        </is>
      </c>
      <c r="T732" t="inlineStr">
        <is>
          <t>2207-5566</t>
        </is>
      </c>
      <c r="U732" t="n">
        <v>0.75</v>
      </c>
      <c r="V732" t="n">
        <v>6</v>
      </c>
      <c r="W732" t="n">
        <v>0</v>
      </c>
      <c r="X732">
        <f>IFERROR(U732*V732*(1-W732/100),"")</f>
        <v/>
      </c>
      <c r="Y732">
        <f>IFERROR(ROUND(X732*0.13,2),"")</f>
        <v/>
      </c>
      <c r="Z732">
        <f>IFERROR(X732+Y732,"")</f>
        <v/>
      </c>
      <c r="AA732" t="inlineStr">
        <is>
          <t>Efectivo</t>
        </is>
      </c>
      <c r="AB732" t="inlineStr">
        <is>
          <t>entregar en bodega</t>
        </is>
      </c>
    </row>
    <row r="733">
      <c r="A733" t="inlineStr">
        <is>
          <t>F-11045</t>
        </is>
      </c>
      <c r="B733" s="3" t="n">
        <v>46255</v>
      </c>
      <c r="C733" t="inlineStr">
        <is>
          <t>FCF</t>
        </is>
      </c>
      <c r="D733" t="inlineStr">
        <is>
          <t>SM01</t>
        </is>
      </c>
      <c r="E733" t="inlineStr">
        <is>
          <t>S. Miguel</t>
        </is>
      </c>
      <c r="F733" t="inlineStr">
        <is>
          <t>Av. Roosevelt Sur #7</t>
        </is>
      </c>
      <c r="G733" t="inlineStr">
        <is>
          <t>San Miguel</t>
        </is>
      </c>
      <c r="H733" t="inlineStr">
        <is>
          <t>San Miguel</t>
        </is>
      </c>
      <c r="I733" t="inlineStr">
        <is>
          <t>Iris Portillo</t>
        </is>
      </c>
      <c r="J733" t="inlineStr">
        <is>
          <t>2661-5076</t>
        </is>
      </c>
      <c r="K733" t="inlineStr">
        <is>
          <t>Jorge Villalta</t>
        </is>
      </c>
      <c r="L733" t="inlineStr">
        <is>
          <t>Xiomara Hernández Quintanilla</t>
        </is>
      </c>
      <c r="M733" t="inlineStr">
        <is>
          <t>06385104-8</t>
        </is>
      </c>
      <c r="N733" t="inlineStr">
        <is>
          <t>7931-3589</t>
        </is>
      </c>
      <c r="O733" t="inlineStr">
        <is>
          <t>Consumidor final</t>
        </is>
      </c>
      <c r="P733" t="inlineStr">
        <is>
          <t>LAC-002</t>
        </is>
      </c>
      <c r="Q733" t="inlineStr">
        <is>
          <t>Crema 500ml</t>
        </is>
      </c>
      <c r="R733" t="inlineStr">
        <is>
          <t>Lácteos</t>
        </is>
      </c>
      <c r="S733" t="inlineStr">
        <is>
          <t>Lácteos Chalate</t>
        </is>
      </c>
      <c r="T733" t="inlineStr">
        <is>
          <t>2335-1020</t>
        </is>
      </c>
      <c r="U733" t="n">
        <v>2.25</v>
      </c>
      <c r="V733" t="n">
        <v>1</v>
      </c>
      <c r="W733" t="n">
        <v>0</v>
      </c>
      <c r="X733">
        <f>IFERROR(U733*V733*(1-W733/100),"")</f>
        <v/>
      </c>
      <c r="Y733">
        <f>IFERROR(ROUND(X733*0.13,2),"")</f>
        <v/>
      </c>
      <c r="Z733">
        <f>IFERROR(X733+Y733,"")</f>
        <v/>
      </c>
      <c r="AA733" t="inlineStr">
        <is>
          <t>Efectivo</t>
        </is>
      </c>
      <c r="AB733" t="inlineStr">
        <is>
          <t>precio especial autorizado por gerente</t>
        </is>
      </c>
    </row>
    <row r="734">
      <c r="A734" t="inlineStr">
        <is>
          <t>F-11048</t>
        </is>
      </c>
      <c r="B734" s="3" t="n">
        <v>46249</v>
      </c>
      <c r="C734" t="inlineStr">
        <is>
          <t>FCF</t>
        </is>
      </c>
      <c r="D734" t="inlineStr">
        <is>
          <t>SS03</t>
        </is>
      </c>
      <c r="E734" t="inlineStr">
        <is>
          <t>Soyapango</t>
        </is>
      </c>
      <c r="F734" t="inlineStr">
        <is>
          <t>Blvd. del Ejército km 4</t>
        </is>
      </c>
      <c r="G734" t="inlineStr">
        <is>
          <t>Soyapango</t>
        </is>
      </c>
      <c r="H734" t="inlineStr">
        <is>
          <t>San Salvador</t>
        </is>
      </c>
      <c r="I734" t="inlineStr">
        <is>
          <t>Karla Henríquez</t>
        </is>
      </c>
      <c r="J734" t="inlineStr">
        <is>
          <t>2277-3402</t>
        </is>
      </c>
      <c r="K734" t="inlineStr">
        <is>
          <t>Marta Gómez</t>
        </is>
      </c>
      <c r="L734" t="inlineStr">
        <is>
          <t>Sandra Sorto López</t>
        </is>
      </c>
      <c r="M734" t="inlineStr">
        <is>
          <t>00961529-1</t>
        </is>
      </c>
      <c r="N734" t="inlineStr">
        <is>
          <t>2123-6077</t>
        </is>
      </c>
      <c r="O734" t="inlineStr">
        <is>
          <t>Consumidor final</t>
        </is>
      </c>
      <c r="P734" t="inlineStr">
        <is>
          <t>PAN-002</t>
        </is>
      </c>
      <c r="Q734" t="inlineStr">
        <is>
          <t>Semita alta</t>
        </is>
      </c>
      <c r="R734" t="inlineStr">
        <is>
          <t>Panadería</t>
        </is>
      </c>
      <c r="S734" t="inlineStr">
        <is>
          <t>Panificadora Ilopango</t>
        </is>
      </c>
      <c r="T734" t="inlineStr">
        <is>
          <t>2295-0081</t>
        </is>
      </c>
      <c r="U734" t="inlineStr">
        <is>
          <t>$1.75</t>
        </is>
      </c>
      <c r="V734" t="n">
        <v>3</v>
      </c>
      <c r="W734" t="n">
        <v>0</v>
      </c>
      <c r="X734">
        <f>IFERROR(U734*V734*(1-W734/100),"")</f>
        <v/>
      </c>
      <c r="Y734">
        <f>IFERROR(ROUND(X734*0.13,2),"")</f>
        <v/>
      </c>
      <c r="Z734">
        <f>IFERROR(X734+Y734,"")</f>
        <v/>
      </c>
      <c r="AA734" t="inlineStr">
        <is>
          <t>Efectivo</t>
        </is>
      </c>
      <c r="AB734" t="inlineStr"/>
    </row>
    <row r="735">
      <c r="A735" t="inlineStr">
        <is>
          <t>F-11051</t>
        </is>
      </c>
      <c r="B735" s="3" t="n">
        <v>46214</v>
      </c>
      <c r="C735" t="inlineStr">
        <is>
          <t>Factura</t>
        </is>
      </c>
      <c r="D735" t="inlineStr">
        <is>
          <t>SS01</t>
        </is>
      </c>
      <c r="E735" t="inlineStr">
        <is>
          <t xml:space="preserve">san salvador centro </t>
        </is>
      </c>
      <c r="F735" t="inlineStr">
        <is>
          <t>4a Calle Poniente #215</t>
        </is>
      </c>
      <c r="G735" t="inlineStr">
        <is>
          <t>San Salvador</t>
        </is>
      </c>
      <c r="H735" t="inlineStr">
        <is>
          <t>San Salvador</t>
        </is>
      </c>
      <c r="I735" t="inlineStr">
        <is>
          <t>Roberto Alfaro</t>
        </is>
      </c>
      <c r="J735" t="inlineStr">
        <is>
          <t>2221-4580</t>
        </is>
      </c>
      <c r="K735" t="inlineStr">
        <is>
          <t>José Martínez</t>
        </is>
      </c>
      <c r="L735" t="inlineStr">
        <is>
          <t>René Alvarado Lemus</t>
        </is>
      </c>
      <c r="M735" t="inlineStr">
        <is>
          <t>07676586-8</t>
        </is>
      </c>
      <c r="N735" t="inlineStr">
        <is>
          <t>6907-6114</t>
        </is>
      </c>
      <c r="O735" t="inlineStr">
        <is>
          <t>Consumidor final</t>
        </is>
      </c>
      <c r="P735" t="inlineStr">
        <is>
          <t>ARR-001</t>
        </is>
      </c>
      <c r="Q735" t="inlineStr">
        <is>
          <t>Arroz blanco 5lb</t>
        </is>
      </c>
      <c r="R735" t="inlineStr">
        <is>
          <t>Abarrotes</t>
        </is>
      </c>
      <c r="S735" t="inlineStr">
        <is>
          <t>Granos del Pacífico</t>
        </is>
      </c>
      <c r="T735" t="inlineStr">
        <is>
          <t>2234-8890</t>
        </is>
      </c>
      <c r="U735" t="inlineStr">
        <is>
          <t>3,95</t>
        </is>
      </c>
      <c r="V735" t="n">
        <v>2</v>
      </c>
      <c r="W735" t="n">
        <v>0</v>
      </c>
      <c r="X735">
        <f>IFERROR(U735*V735*(1-W735/100),"")</f>
        <v/>
      </c>
      <c r="Y735">
        <f>IFERROR(ROUND(X735*0.13,2),"")</f>
        <v/>
      </c>
      <c r="Z735">
        <f>IFERROR(X735+Y735,"")</f>
        <v/>
      </c>
      <c r="AA735" t="inlineStr">
        <is>
          <t>Tarjeta</t>
        </is>
      </c>
      <c r="AB735" t="inlineStr">
        <is>
          <t>precio especial autorizado por gerente</t>
        </is>
      </c>
    </row>
    <row r="736">
      <c r="A736" t="inlineStr">
        <is>
          <t>F-11052</t>
        </is>
      </c>
      <c r="B736" t="inlineStr">
        <is>
          <t>2026-07-02</t>
        </is>
      </c>
      <c r="C736" t="inlineStr">
        <is>
          <t>Factura</t>
        </is>
      </c>
      <c r="D736" t="inlineStr">
        <is>
          <t>SS02</t>
        </is>
      </c>
      <c r="E736" t="inlineStr">
        <is>
          <t>Escalon</t>
        </is>
      </c>
      <c r="F736" t="inlineStr">
        <is>
          <t>Paseo General Escalón #3910</t>
        </is>
      </c>
      <c r="G736" t="inlineStr">
        <is>
          <t>San Salvador</t>
        </is>
      </c>
      <c r="H736" t="inlineStr">
        <is>
          <t>San Salvador</t>
        </is>
      </c>
      <c r="I736" t="inlineStr">
        <is>
          <t>Claudia Menjívar</t>
        </is>
      </c>
      <c r="J736" t="inlineStr">
        <is>
          <t>2264-1190</t>
        </is>
      </c>
      <c r="K736" t="inlineStr">
        <is>
          <t>Fátima Rosales</t>
        </is>
      </c>
      <c r="L736" t="inlineStr">
        <is>
          <t>Jorge García Hernández</t>
        </is>
      </c>
      <c r="M736" t="inlineStr">
        <is>
          <t>09167886-4</t>
        </is>
      </c>
      <c r="N736" t="inlineStr">
        <is>
          <t>7875-6853</t>
        </is>
      </c>
      <c r="O736" t="inlineStr">
        <is>
          <t>Consumidor final</t>
        </is>
      </c>
      <c r="P736" t="inlineStr">
        <is>
          <t>ARR-001</t>
        </is>
      </c>
      <c r="Q736" t="inlineStr">
        <is>
          <t>Arroz blanco 5lb</t>
        </is>
      </c>
      <c r="R736" t="inlineStr">
        <is>
          <t>Granos básicos</t>
        </is>
      </c>
      <c r="S736" t="inlineStr">
        <is>
          <t>Granos del Pacífico</t>
        </is>
      </c>
      <c r="T736" t="inlineStr">
        <is>
          <t>2234-8890</t>
        </is>
      </c>
      <c r="U736" t="n">
        <v>3.95</v>
      </c>
      <c r="V736" t="n">
        <v>3</v>
      </c>
      <c r="W736" t="n">
        <v>0</v>
      </c>
      <c r="X736">
        <f>IFERROR(U736*V736*(1-W736/100),"")</f>
        <v/>
      </c>
      <c r="Y736">
        <f>IFERROR(ROUND(X736*0.13,2),"")</f>
        <v/>
      </c>
      <c r="Z736">
        <f>IFERROR(X736+Y736,"")</f>
        <v/>
      </c>
      <c r="AA736" t="inlineStr">
        <is>
          <t>Efectivo</t>
        </is>
      </c>
      <c r="AB736" t="inlineStr">
        <is>
          <t>Cliente frecuente</t>
        </is>
      </c>
    </row>
    <row r="737">
      <c r="A737" t="inlineStr">
        <is>
          <t>F-11052</t>
        </is>
      </c>
      <c r="B737" s="3" t="n">
        <v>46205</v>
      </c>
      <c r="C737" t="inlineStr">
        <is>
          <t>Factura</t>
        </is>
      </c>
      <c r="D737" t="inlineStr">
        <is>
          <t>SS02</t>
        </is>
      </c>
      <c r="E737" t="inlineStr">
        <is>
          <t>ESCALON</t>
        </is>
      </c>
      <c r="F737" t="inlineStr">
        <is>
          <t>Paseo General Escalón #3910</t>
        </is>
      </c>
      <c r="G737" t="inlineStr">
        <is>
          <t>San Salvador</t>
        </is>
      </c>
      <c r="H737" t="inlineStr">
        <is>
          <t>San Salvador</t>
        </is>
      </c>
      <c r="I737" t="inlineStr">
        <is>
          <t>Claudia Menjívar</t>
        </is>
      </c>
      <c r="J737" t="inlineStr">
        <is>
          <t>2264-1190</t>
        </is>
      </c>
      <c r="K737" t="inlineStr">
        <is>
          <t>Fátima Rosales</t>
        </is>
      </c>
      <c r="L737" t="inlineStr">
        <is>
          <t>Jorge García Hernández</t>
        </is>
      </c>
      <c r="M737" t="inlineStr">
        <is>
          <t>09167886-4</t>
        </is>
      </c>
      <c r="N737" t="inlineStr">
        <is>
          <t>7875-6853</t>
        </is>
      </c>
      <c r="O737" t="inlineStr">
        <is>
          <t>Consumidor final</t>
        </is>
      </c>
      <c r="P737" t="inlineStr">
        <is>
          <t>LAC-003</t>
        </is>
      </c>
      <c r="Q737" t="inlineStr">
        <is>
          <t>Leche entera 1L</t>
        </is>
      </c>
      <c r="R737" t="inlineStr">
        <is>
          <t>Lácteos</t>
        </is>
      </c>
      <c r="S737" t="inlineStr">
        <is>
          <t>Lácteos Chalate</t>
        </is>
      </c>
      <c r="T737" t="inlineStr">
        <is>
          <t>2335-1020</t>
        </is>
      </c>
      <c r="U737" t="n">
        <v>1.2</v>
      </c>
      <c r="V737" t="n">
        <v>2</v>
      </c>
      <c r="W737" t="n">
        <v>0</v>
      </c>
      <c r="X737">
        <f>IFERROR(U737*V737*(1-W737/100),"")</f>
        <v/>
      </c>
      <c r="Y737">
        <f>IFERROR(ROUND(X737*0.13,2),"")</f>
        <v/>
      </c>
      <c r="Z737">
        <f>IFERROR(X737+Y737,"")</f>
        <v/>
      </c>
      <c r="AA737" t="inlineStr">
        <is>
          <t>Efectivo</t>
        </is>
      </c>
      <c r="AB737" t="inlineStr">
        <is>
          <t>entregar en bodega</t>
        </is>
      </c>
    </row>
    <row r="738">
      <c r="A738" t="inlineStr">
        <is>
          <t>F-11052</t>
        </is>
      </c>
      <c r="B738" s="3" t="n">
        <v>46205</v>
      </c>
      <c r="C738" t="inlineStr">
        <is>
          <t>Factura</t>
        </is>
      </c>
      <c r="D738" t="inlineStr">
        <is>
          <t>SS02</t>
        </is>
      </c>
      <c r="E738" t="inlineStr">
        <is>
          <t>Col. Escalón</t>
        </is>
      </c>
      <c r="F738" t="inlineStr">
        <is>
          <t>Paseo General Escalón #3910</t>
        </is>
      </c>
      <c r="G738" t="inlineStr">
        <is>
          <t>San Salvador</t>
        </is>
      </c>
      <c r="H738" t="inlineStr">
        <is>
          <t>San Salvador</t>
        </is>
      </c>
      <c r="I738" t="inlineStr">
        <is>
          <t>Claudia Menjívar</t>
        </is>
      </c>
      <c r="J738" t="inlineStr">
        <is>
          <t>2264-1190</t>
        </is>
      </c>
      <c r="K738" t="inlineStr">
        <is>
          <t>Fátima Rosales</t>
        </is>
      </c>
      <c r="L738" t="inlineStr">
        <is>
          <t>Jorge García Hernández</t>
        </is>
      </c>
      <c r="M738" t="inlineStr">
        <is>
          <t>09167886-4</t>
        </is>
      </c>
      <c r="N738" t="inlineStr">
        <is>
          <t>7875-6853</t>
        </is>
      </c>
      <c r="O738" t="inlineStr">
        <is>
          <t>Consumidor final</t>
        </is>
      </c>
      <c r="P738" t="inlineStr">
        <is>
          <t>AZU-001</t>
        </is>
      </c>
      <c r="Q738" t="inlineStr">
        <is>
          <t>Azúcar blanca 2.5kg</t>
        </is>
      </c>
      <c r="R738" t="inlineStr">
        <is>
          <t>Abarrotes</t>
        </is>
      </c>
      <c r="S738" t="inlineStr">
        <is>
          <t>Granos del Pacífico</t>
        </is>
      </c>
      <c r="T738" t="inlineStr">
        <is>
          <t>2234-8890</t>
        </is>
      </c>
      <c r="U738" t="n">
        <v>3.1</v>
      </c>
      <c r="V738" t="n">
        <v>1</v>
      </c>
      <c r="W738" t="n">
        <v>0</v>
      </c>
      <c r="X738">
        <f>IFERROR(U738*V738*(1-W738/100),"")</f>
        <v/>
      </c>
      <c r="Y738">
        <f>IFERROR(ROUND(X738*0.13,2),"")</f>
        <v/>
      </c>
      <c r="Z738">
        <f>IFERROR(X738+Y738,"")</f>
        <v/>
      </c>
      <c r="AA738" t="inlineStr">
        <is>
          <t>Efectivo</t>
        </is>
      </c>
      <c r="AB738" t="inlineStr"/>
    </row>
    <row r="739">
      <c r="A739" t="inlineStr">
        <is>
          <t>F-11055</t>
        </is>
      </c>
      <c r="B739" t="inlineStr">
        <is>
          <t>01-Aug-26</t>
        </is>
      </c>
      <c r="C739" t="inlineStr">
        <is>
          <t>Factura</t>
        </is>
      </c>
      <c r="D739" t="inlineStr">
        <is>
          <t>SS01</t>
        </is>
      </c>
      <c r="E739" t="inlineStr">
        <is>
          <t>SAN SALVADOR CENTRO</t>
        </is>
      </c>
      <c r="F739" t="inlineStr">
        <is>
          <t>4a Calle Poniente #215</t>
        </is>
      </c>
      <c r="G739" t="inlineStr">
        <is>
          <t>San Salvador</t>
        </is>
      </c>
      <c r="H739" t="inlineStr">
        <is>
          <t>San Salvador</t>
        </is>
      </c>
      <c r="I739" t="inlineStr">
        <is>
          <t>Roberto Alfaro</t>
        </is>
      </c>
      <c r="J739" t="inlineStr">
        <is>
          <t>2221-4580</t>
        </is>
      </c>
      <c r="K739" t="inlineStr">
        <is>
          <t>José Martínez</t>
        </is>
      </c>
      <c r="L739" t="inlineStr">
        <is>
          <t>Walter Quintanilla Rivera</t>
        </is>
      </c>
      <c r="M739" t="inlineStr">
        <is>
          <t>08724671-3</t>
        </is>
      </c>
      <c r="N739" t="inlineStr">
        <is>
          <t>6114-2738</t>
        </is>
      </c>
      <c r="O739" t="inlineStr">
        <is>
          <t>Consumidor final</t>
        </is>
      </c>
      <c r="P739" t="inlineStr">
        <is>
          <t>BEB-001</t>
        </is>
      </c>
      <c r="Q739" t="inlineStr">
        <is>
          <t>Gaseosa 2.5L</t>
        </is>
      </c>
      <c r="R739" t="inlineStr">
        <is>
          <t>Bebidas</t>
        </is>
      </c>
      <c r="S739" t="inlineStr">
        <is>
          <t>Bebidas Izalco</t>
        </is>
      </c>
      <c r="T739" t="inlineStr">
        <is>
          <t>2450-7700</t>
        </is>
      </c>
      <c r="U739" t="n">
        <v>1.95</v>
      </c>
      <c r="V739" t="n">
        <v>2</v>
      </c>
      <c r="W739" t="n">
        <v>0</v>
      </c>
      <c r="X739">
        <f>IFERROR(U739*V739*(1-W739/100),"")</f>
        <v/>
      </c>
      <c r="Y739">
        <f>IFERROR(ROUND(X739*0.13,2),"")</f>
        <v/>
      </c>
      <c r="Z739">
        <f>IFERROR(X739+Y739,"")</f>
        <v/>
      </c>
      <c r="AA739" t="inlineStr">
        <is>
          <t>Efectivo</t>
        </is>
      </c>
      <c r="AB739" t="inlineStr"/>
    </row>
    <row r="740">
      <c r="A740" t="inlineStr">
        <is>
          <t>F-11056</t>
        </is>
      </c>
      <c r="B740" t="inlineStr">
        <is>
          <t>11/08/2026</t>
        </is>
      </c>
      <c r="C740" t="inlineStr">
        <is>
          <t>Factura</t>
        </is>
      </c>
      <c r="D740" t="inlineStr">
        <is>
          <t>SS03</t>
        </is>
      </c>
      <c r="E740" t="inlineStr">
        <is>
          <t xml:space="preserve">SOYAPANGO </t>
        </is>
      </c>
      <c r="F740" t="inlineStr">
        <is>
          <t>Blvd. del Ejército km 4</t>
        </is>
      </c>
      <c r="G740" t="inlineStr">
        <is>
          <t>Soyapango</t>
        </is>
      </c>
      <c r="H740" t="inlineStr">
        <is>
          <t>San Salvador</t>
        </is>
      </c>
      <c r="I740" t="inlineStr">
        <is>
          <t>Karla Henríquez</t>
        </is>
      </c>
      <c r="J740" t="inlineStr">
        <is>
          <t>2277-3402</t>
        </is>
      </c>
      <c r="K740" t="inlineStr">
        <is>
          <t>Marta Gómez</t>
        </is>
      </c>
      <c r="L740" t="inlineStr">
        <is>
          <t>Carlos Mejía García</t>
        </is>
      </c>
      <c r="M740" t="inlineStr">
        <is>
          <t>07315753-2</t>
        </is>
      </c>
      <c r="N740" t="inlineStr">
        <is>
          <t>2800-1990</t>
        </is>
      </c>
      <c r="O740" t="inlineStr">
        <is>
          <t>Consumidor final</t>
        </is>
      </c>
      <c r="P740" t="inlineStr">
        <is>
          <t>CAF-001</t>
        </is>
      </c>
      <c r="Q740" t="inlineStr">
        <is>
          <t>Café molido 400g</t>
        </is>
      </c>
      <c r="R740" t="inlineStr">
        <is>
          <t>abarrotes</t>
        </is>
      </c>
      <c r="S740" t="inlineStr">
        <is>
          <t>Café Volcán S.A.</t>
        </is>
      </c>
      <c r="T740" t="inlineStr">
        <is>
          <t>2510-3344</t>
        </is>
      </c>
      <c r="U740" t="inlineStr">
        <is>
          <t>$4.25</t>
        </is>
      </c>
      <c r="V740" t="n">
        <v>4</v>
      </c>
      <c r="W740" t="n">
        <v>0</v>
      </c>
      <c r="X740">
        <f>IFERROR(U740*V740*(1-W740/100),"")</f>
        <v/>
      </c>
      <c r="Y740">
        <f>IFERROR(ROUND(X740*0.13,2),"")</f>
        <v/>
      </c>
      <c r="Z740">
        <f>IFERROR(X740+Y740,"")</f>
        <v/>
      </c>
      <c r="AA740" t="inlineStr">
        <is>
          <t>TARJETA</t>
        </is>
      </c>
      <c r="AB740" t="inlineStr"/>
    </row>
    <row r="741">
      <c r="A741" t="inlineStr">
        <is>
          <t>F-11056</t>
        </is>
      </c>
      <c r="B741" s="3" t="n">
        <v>46245</v>
      </c>
      <c r="C741" t="inlineStr">
        <is>
          <t>Factura</t>
        </is>
      </c>
      <c r="D741" t="inlineStr">
        <is>
          <t>SS03</t>
        </is>
      </c>
      <c r="E741" t="inlineStr">
        <is>
          <t>soyapango</t>
        </is>
      </c>
      <c r="F741" t="inlineStr">
        <is>
          <t>Blvd. del Ejército km 4</t>
        </is>
      </c>
      <c r="G741" t="inlineStr">
        <is>
          <t>Soyapango</t>
        </is>
      </c>
      <c r="H741" t="inlineStr">
        <is>
          <t>San Salvador</t>
        </is>
      </c>
      <c r="I741" t="inlineStr">
        <is>
          <t>Karla Henríquez</t>
        </is>
      </c>
      <c r="J741" t="inlineStr">
        <is>
          <t>2277-3402</t>
        </is>
      </c>
      <c r="K741" t="inlineStr">
        <is>
          <t>Marta Gómez</t>
        </is>
      </c>
      <c r="L741" t="inlineStr">
        <is>
          <t>Carlos Mejía García</t>
        </is>
      </c>
      <c r="M741" t="inlineStr">
        <is>
          <t>07315753-2</t>
        </is>
      </c>
      <c r="N741" t="inlineStr">
        <is>
          <t>2800-1990</t>
        </is>
      </c>
      <c r="O741" t="inlineStr">
        <is>
          <t>Consumidor final</t>
        </is>
      </c>
      <c r="P741" t="inlineStr">
        <is>
          <t>PAN-001</t>
        </is>
      </c>
      <c r="Q741" t="inlineStr">
        <is>
          <t>Pan francés bolsa 10u</t>
        </is>
      </c>
      <c r="R741" t="inlineStr">
        <is>
          <t>Panadería</t>
        </is>
      </c>
      <c r="S741" t="inlineStr">
        <is>
          <t>Panificadora Ilopango</t>
        </is>
      </c>
      <c r="T741" t="inlineStr">
        <is>
          <t>2295-0081</t>
        </is>
      </c>
      <c r="U741" t="inlineStr">
        <is>
          <t>$1.00</t>
        </is>
      </c>
      <c r="V741" t="n">
        <v>1</v>
      </c>
      <c r="W741" t="n">
        <v>0</v>
      </c>
      <c r="X741">
        <f>IFERROR(U741*V741*(1-W741/100),"")</f>
        <v/>
      </c>
      <c r="Y741">
        <f>IFERROR(ROUND(X741*0.13,2),"")</f>
        <v/>
      </c>
      <c r="Z741">
        <f>IFERROR(X741+Y741,"")</f>
        <v/>
      </c>
      <c r="AA741" t="inlineStr">
        <is>
          <t>TARJETA</t>
        </is>
      </c>
      <c r="AB741" t="inlineStr"/>
    </row>
    <row r="742">
      <c r="A742" t="inlineStr">
        <is>
          <t>F-11056</t>
        </is>
      </c>
      <c r="B742" s="3" t="n">
        <v>46245</v>
      </c>
      <c r="C742" t="inlineStr">
        <is>
          <t>Factura</t>
        </is>
      </c>
      <c r="D742" t="inlineStr">
        <is>
          <t>SS03</t>
        </is>
      </c>
      <c r="E742" t="inlineStr">
        <is>
          <t>Soyapango</t>
        </is>
      </c>
      <c r="F742" t="inlineStr">
        <is>
          <t>Blvd. del Ejército km 4</t>
        </is>
      </c>
      <c r="G742" t="inlineStr">
        <is>
          <t>Soyapango</t>
        </is>
      </c>
      <c r="H742" t="inlineStr">
        <is>
          <t>San Salvador</t>
        </is>
      </c>
      <c r="I742" t="inlineStr">
        <is>
          <t>Karla Henríquez</t>
        </is>
      </c>
      <c r="J742" t="inlineStr">
        <is>
          <t>2277-3402</t>
        </is>
      </c>
      <c r="K742" t="inlineStr">
        <is>
          <t>Marta Gómez</t>
        </is>
      </c>
      <c r="L742" t="inlineStr">
        <is>
          <t>Carlos Mejía García</t>
        </is>
      </c>
      <c r="M742" t="inlineStr">
        <is>
          <t>07315753-2</t>
        </is>
      </c>
      <c r="N742" t="inlineStr">
        <is>
          <t>2800-1990</t>
        </is>
      </c>
      <c r="O742" t="inlineStr">
        <is>
          <t>Consumidor final</t>
        </is>
      </c>
      <c r="P742" t="inlineStr">
        <is>
          <t>FRI-001</t>
        </is>
      </c>
      <c r="Q742" t="inlineStr">
        <is>
          <t>Frijol rojo de seda 2lb</t>
        </is>
      </c>
      <c r="R742" t="inlineStr">
        <is>
          <t>Abarrotes</t>
        </is>
      </c>
      <c r="S742" t="inlineStr">
        <is>
          <t>Granos del Pacífico</t>
        </is>
      </c>
      <c r="T742" t="inlineStr">
        <is>
          <t>2234-8890</t>
        </is>
      </c>
      <c r="U742" t="n">
        <v>2.4</v>
      </c>
      <c r="V742" t="n">
        <v>4</v>
      </c>
      <c r="W742" t="n">
        <v>0</v>
      </c>
      <c r="X742">
        <f>IFERROR(U742*V742*(1-W742/100),"")</f>
        <v/>
      </c>
      <c r="Y742">
        <f>IFERROR(ROUND(X742*0.13,2),"")</f>
        <v/>
      </c>
      <c r="Z742">
        <f>IFERROR(X742+Y742,"")</f>
        <v/>
      </c>
      <c r="AA742" t="inlineStr">
        <is>
          <t>TARJETA</t>
        </is>
      </c>
      <c r="AB742" t="inlineStr"/>
    </row>
    <row r="743">
      <c r="A743" t="inlineStr">
        <is>
          <t>F-11056</t>
        </is>
      </c>
      <c r="B743" s="4" t="n">
        <v>46245</v>
      </c>
      <c r="C743" t="inlineStr">
        <is>
          <t>Factura</t>
        </is>
      </c>
      <c r="D743" t="inlineStr">
        <is>
          <t>SS03</t>
        </is>
      </c>
      <c r="E743" t="inlineStr">
        <is>
          <t>Soyapango</t>
        </is>
      </c>
      <c r="F743" t="inlineStr">
        <is>
          <t>Blvd. del Ejército km 4</t>
        </is>
      </c>
      <c r="G743" t="inlineStr">
        <is>
          <t>Soyapango</t>
        </is>
      </c>
      <c r="H743" t="inlineStr">
        <is>
          <t>San Salvador</t>
        </is>
      </c>
      <c r="I743" t="inlineStr">
        <is>
          <t>Karla Henríquez</t>
        </is>
      </c>
      <c r="J743" t="inlineStr">
        <is>
          <t>2277-3402</t>
        </is>
      </c>
      <c r="K743" t="inlineStr">
        <is>
          <t>Marta Gómez</t>
        </is>
      </c>
      <c r="L743" t="inlineStr">
        <is>
          <t>Carlos Mejía García</t>
        </is>
      </c>
      <c r="M743" t="inlineStr">
        <is>
          <t>07315753-2</t>
        </is>
      </c>
      <c r="N743" t="inlineStr">
        <is>
          <t>2800-1990</t>
        </is>
      </c>
      <c r="O743" t="inlineStr">
        <is>
          <t>Consumidor final</t>
        </is>
      </c>
      <c r="P743" t="inlineStr">
        <is>
          <t>FRI-001</t>
        </is>
      </c>
      <c r="Q743" t="inlineStr">
        <is>
          <t>Frijol rojo de seda 2lb</t>
        </is>
      </c>
      <c r="R743" t="inlineStr">
        <is>
          <t>Abarrotes</t>
        </is>
      </c>
      <c r="S743" t="inlineStr">
        <is>
          <t>Granos del Pacífico</t>
        </is>
      </c>
      <c r="T743" t="inlineStr">
        <is>
          <t>2234-8890</t>
        </is>
      </c>
      <c r="U743" t="n">
        <v>2.4</v>
      </c>
      <c r="V743" t="n">
        <v>4</v>
      </c>
      <c r="W743" t="n">
        <v>0</v>
      </c>
      <c r="X743">
        <f>IFERROR(U743*V743*(1-W743/100),"")</f>
        <v/>
      </c>
      <c r="Y743">
        <f>IFERROR(ROUND(X743*0.13,2),"")</f>
        <v/>
      </c>
      <c r="Z743">
        <f>IFERROR(X743+Y743,"")</f>
        <v/>
      </c>
      <c r="AA743" t="inlineStr">
        <is>
          <t>TARJETA</t>
        </is>
      </c>
      <c r="AB743" t="inlineStr"/>
    </row>
    <row r="744">
      <c r="A744" t="inlineStr">
        <is>
          <t>F-11056</t>
        </is>
      </c>
      <c r="B744" s="3" t="n">
        <v>46245</v>
      </c>
      <c r="C744" t="inlineStr">
        <is>
          <t>Factura</t>
        </is>
      </c>
      <c r="D744" t="inlineStr">
        <is>
          <t>SS03</t>
        </is>
      </c>
      <c r="E744" t="inlineStr">
        <is>
          <t>Soyapango</t>
        </is>
      </c>
      <c r="F744" t="inlineStr">
        <is>
          <t>Blvd. del Ejército km 4</t>
        </is>
      </c>
      <c r="G744" t="inlineStr">
        <is>
          <t>Soyapango</t>
        </is>
      </c>
      <c r="H744" t="inlineStr">
        <is>
          <t>San Salvador</t>
        </is>
      </c>
      <c r="I744" t="inlineStr">
        <is>
          <t>Karla Henríquez</t>
        </is>
      </c>
      <c r="J744" t="inlineStr">
        <is>
          <t>2277-3402</t>
        </is>
      </c>
      <c r="K744" t="inlineStr">
        <is>
          <t>Marta Gómez</t>
        </is>
      </c>
      <c r="L744" t="inlineStr">
        <is>
          <t>Carlos Mejía García</t>
        </is>
      </c>
      <c r="M744" t="inlineStr">
        <is>
          <t>07315753-2</t>
        </is>
      </c>
      <c r="N744" t="inlineStr">
        <is>
          <t>2800-1990</t>
        </is>
      </c>
      <c r="O744" t="inlineStr">
        <is>
          <t>Consumidor final</t>
        </is>
      </c>
      <c r="P744" t="inlineStr">
        <is>
          <t>BEB-001</t>
        </is>
      </c>
      <c r="Q744" t="inlineStr">
        <is>
          <t>Gaseosa 2.5L</t>
        </is>
      </c>
      <c r="R744" t="inlineStr">
        <is>
          <t>Bebidas</t>
        </is>
      </c>
      <c r="S744" t="inlineStr">
        <is>
          <t>Bebidas Izalco</t>
        </is>
      </c>
      <c r="T744" t="inlineStr">
        <is>
          <t>2450-7700</t>
        </is>
      </c>
      <c r="U744" t="n">
        <v>1.95</v>
      </c>
      <c r="V744" t="n">
        <v>3</v>
      </c>
      <c r="W744" t="n">
        <v>0</v>
      </c>
      <c r="X744">
        <f>IFERROR(U744*V744*(1-W744/100),"")</f>
        <v/>
      </c>
      <c r="Y744">
        <f>IFERROR(ROUND(X744*0.13,2),"")</f>
        <v/>
      </c>
      <c r="Z744">
        <f>IFERROR(X744+Y744,"")</f>
        <v/>
      </c>
      <c r="AA744" t="inlineStr">
        <is>
          <t>TARJETA</t>
        </is>
      </c>
      <c r="AB744" t="inlineStr">
        <is>
          <t>entregar en bodega</t>
        </is>
      </c>
    </row>
    <row r="745">
      <c r="A745" t="inlineStr">
        <is>
          <t>11058</t>
        </is>
      </c>
      <c r="B745" s="3" t="n">
        <v>46238</v>
      </c>
      <c r="C745" t="inlineStr">
        <is>
          <t>CCF</t>
        </is>
      </c>
      <c r="D745" t="inlineStr">
        <is>
          <t>LL01</t>
        </is>
      </c>
      <c r="E745" t="inlineStr">
        <is>
          <t>Santa Tecla</t>
        </is>
      </c>
      <c r="F745" t="inlineStr">
        <is>
          <t>Calle Daniel Hernández #18</t>
        </is>
      </c>
      <c r="G745" t="inlineStr">
        <is>
          <t>Santa Tecla</t>
        </is>
      </c>
      <c r="H745" t="inlineStr">
        <is>
          <t>La Libertad</t>
        </is>
      </c>
      <c r="I745" t="inlineStr">
        <is>
          <t>Óscar Rivas</t>
        </is>
      </c>
      <c r="J745" t="inlineStr">
        <is>
          <t>2228-7731</t>
        </is>
      </c>
      <c r="K745" t="inlineStr">
        <is>
          <t>Andrea Pineda</t>
        </is>
      </c>
      <c r="L745" t="inlineStr">
        <is>
          <t>Hotel Brisas del Mar</t>
        </is>
      </c>
      <c r="M745" t="inlineStr">
        <is>
          <t>280004-0</t>
        </is>
      </c>
      <c r="N745" t="inlineStr">
        <is>
          <t>2129-2911</t>
        </is>
      </c>
      <c r="O745" t="inlineStr">
        <is>
          <t>Contribuyente</t>
        </is>
      </c>
      <c r="P745" t="inlineStr">
        <is>
          <t>BEB-003</t>
        </is>
      </c>
      <c r="Q745" t="inlineStr">
        <is>
          <t>Horchata en polvo 400g</t>
        </is>
      </c>
      <c r="R745" t="inlineStr">
        <is>
          <t>Abarrotes</t>
        </is>
      </c>
      <c r="S745" t="inlineStr">
        <is>
          <t>Bebidas Izalco</t>
        </is>
      </c>
      <c r="T745" t="inlineStr">
        <is>
          <t>2450-7700</t>
        </is>
      </c>
      <c r="U745" t="n">
        <v>2.6</v>
      </c>
      <c r="V745" t="n">
        <v>1</v>
      </c>
      <c r="W745" t="n">
        <v>10</v>
      </c>
      <c r="X745">
        <f>IFERROR(U745*V745*(1-W745/100),"")</f>
        <v/>
      </c>
      <c r="Y745">
        <f>IFERROR(ROUND(X745*0.13,2),"")</f>
        <v/>
      </c>
      <c r="Z745">
        <f>IFERROR(X745+Y745,"")</f>
        <v/>
      </c>
      <c r="AA745" t="inlineStr">
        <is>
          <t>Efectivo</t>
        </is>
      </c>
      <c r="AB745" t="inlineStr"/>
    </row>
    <row r="746">
      <c r="A746" t="inlineStr">
        <is>
          <t>F-11058</t>
        </is>
      </c>
      <c r="B746" t="inlineStr">
        <is>
          <t>04-Aug-26</t>
        </is>
      </c>
      <c r="C746" t="inlineStr">
        <is>
          <t>CCF</t>
        </is>
      </c>
      <c r="D746" t="inlineStr">
        <is>
          <t>LL01</t>
        </is>
      </c>
      <c r="E746" t="inlineStr">
        <is>
          <t>SANTA TECLA</t>
        </is>
      </c>
      <c r="F746" t="inlineStr">
        <is>
          <t>Calle Daniel Hernández #18</t>
        </is>
      </c>
      <c r="G746" t="inlineStr">
        <is>
          <t>Santa Tecla</t>
        </is>
      </c>
      <c r="H746" t="inlineStr">
        <is>
          <t>La Libertad</t>
        </is>
      </c>
      <c r="I746" t="inlineStr">
        <is>
          <t>Óscar Rivas</t>
        </is>
      </c>
      <c r="J746" t="inlineStr">
        <is>
          <t>2228-7731</t>
        </is>
      </c>
      <c r="K746" t="inlineStr">
        <is>
          <t>Andrea Pineda</t>
        </is>
      </c>
      <c r="L746" t="inlineStr">
        <is>
          <t>Hotel Brisas del Mar</t>
        </is>
      </c>
      <c r="M746" t="inlineStr">
        <is>
          <t>280004-0</t>
        </is>
      </c>
      <c r="N746" t="inlineStr">
        <is>
          <t>2129-2911</t>
        </is>
      </c>
      <c r="O746" t="inlineStr">
        <is>
          <t>Contribuyente</t>
        </is>
      </c>
      <c r="P746" t="inlineStr">
        <is>
          <t>LAC-002</t>
        </is>
      </c>
      <c r="Q746" t="inlineStr">
        <is>
          <t>Crema 500ml</t>
        </is>
      </c>
      <c r="R746" t="inlineStr">
        <is>
          <t>Lacteos</t>
        </is>
      </c>
      <c r="S746" t="inlineStr">
        <is>
          <t>Lácteos Chalate</t>
        </is>
      </c>
      <c r="T746" t="inlineStr">
        <is>
          <t>2335-1020</t>
        </is>
      </c>
      <c r="U746" t="n">
        <v>2.25</v>
      </c>
      <c r="V746" t="n">
        <v>1</v>
      </c>
      <c r="W746" t="n">
        <v>0</v>
      </c>
      <c r="X746">
        <f>IFERROR(U746*V746*(1-W746/100),"")</f>
        <v/>
      </c>
      <c r="Y746">
        <f>IFERROR(ROUND(X746*0.13,2),"")</f>
        <v/>
      </c>
      <c r="Z746">
        <f>IFERROR(X746+Y746,"")</f>
        <v/>
      </c>
      <c r="AA746" t="inlineStr">
        <is>
          <t>Efectivo</t>
        </is>
      </c>
      <c r="AB746" t="inlineStr">
        <is>
          <t>Cliente frecuente</t>
        </is>
      </c>
    </row>
    <row r="747">
      <c r="A747" t="inlineStr">
        <is>
          <t>F-11058</t>
        </is>
      </c>
      <c r="B747" s="3" t="n">
        <v>46238</v>
      </c>
      <c r="C747" t="inlineStr">
        <is>
          <t>CCF</t>
        </is>
      </c>
      <c r="D747" t="inlineStr">
        <is>
          <t>LL01</t>
        </is>
      </c>
      <c r="E747" t="inlineStr">
        <is>
          <t>Santa Tecla</t>
        </is>
      </c>
      <c r="F747" t="inlineStr">
        <is>
          <t>Calle Daniel Hernández #18</t>
        </is>
      </c>
      <c r="G747" t="inlineStr">
        <is>
          <t>Santa Tecla</t>
        </is>
      </c>
      <c r="H747" t="inlineStr">
        <is>
          <t>La Libertad</t>
        </is>
      </c>
      <c r="I747" t="inlineStr">
        <is>
          <t>Óscar Rivas</t>
        </is>
      </c>
      <c r="J747" t="inlineStr">
        <is>
          <t>2228-7731</t>
        </is>
      </c>
      <c r="K747" t="inlineStr">
        <is>
          <t>Andrea Pineda</t>
        </is>
      </c>
      <c r="L747" t="inlineStr">
        <is>
          <t>Hotel Brisas del Mar</t>
        </is>
      </c>
      <c r="M747" t="inlineStr">
        <is>
          <t>280004-0</t>
        </is>
      </c>
      <c r="N747" t="inlineStr">
        <is>
          <t>2129-2911</t>
        </is>
      </c>
      <c r="O747" t="inlineStr">
        <is>
          <t>Contribuyente</t>
        </is>
      </c>
      <c r="P747" t="inlineStr">
        <is>
          <t>ARR-001</t>
        </is>
      </c>
      <c r="Q747" t="inlineStr">
        <is>
          <t>Arroz blanco 5lb</t>
        </is>
      </c>
      <c r="R747" t="inlineStr">
        <is>
          <t>Abarrotes</t>
        </is>
      </c>
      <c r="S747" t="inlineStr">
        <is>
          <t>Granos del Pacífico</t>
        </is>
      </c>
      <c r="T747" t="inlineStr">
        <is>
          <t>2234-8890</t>
        </is>
      </c>
      <c r="U747" t="n">
        <v>3.95</v>
      </c>
      <c r="V747" t="n">
        <v>1</v>
      </c>
      <c r="W747" t="n">
        <v>5</v>
      </c>
      <c r="X747">
        <f>IFERROR(U747*V747*(1-W747/100),"")</f>
        <v/>
      </c>
      <c r="Y747">
        <f>IFERROR(ROUND(X747*0.13,2),"")</f>
        <v/>
      </c>
      <c r="Z747">
        <f>IFERROR(X747+Y747,"")</f>
        <v/>
      </c>
      <c r="AA747" t="inlineStr">
        <is>
          <t>Efectivo</t>
        </is>
      </c>
      <c r="AB747" t="inlineStr">
        <is>
          <t>Llamar al 7788-1234 antes de entregar</t>
        </is>
      </c>
    </row>
    <row r="748">
      <c r="A748" t="inlineStr">
        <is>
          <t>F-11060</t>
        </is>
      </c>
      <c r="B748" s="3" t="n">
        <v>46245</v>
      </c>
      <c r="C748" t="inlineStr">
        <is>
          <t>Factura</t>
        </is>
      </c>
      <c r="D748" t="inlineStr">
        <is>
          <t>SS02</t>
        </is>
      </c>
      <c r="E748" t="inlineStr">
        <is>
          <t>Escalon</t>
        </is>
      </c>
      <c r="F748" t="inlineStr">
        <is>
          <t>Paseo General Escalón #3910</t>
        </is>
      </c>
      <c r="G748" t="inlineStr">
        <is>
          <t>San Salvador</t>
        </is>
      </c>
      <c r="H748" t="inlineStr">
        <is>
          <t>San Salvador</t>
        </is>
      </c>
      <c r="I748" t="inlineStr">
        <is>
          <t>Claudia Menjívar</t>
        </is>
      </c>
      <c r="J748" t="inlineStr">
        <is>
          <t>2264-1190</t>
        </is>
      </c>
      <c r="K748" t="inlineStr">
        <is>
          <t>Kevin Benítez</t>
        </is>
      </c>
      <c r="L748" t="inlineStr">
        <is>
          <t>Carlos Castillo Argueta</t>
        </is>
      </c>
      <c r="M748" t="inlineStr">
        <is>
          <t>08586960-1</t>
        </is>
      </c>
      <c r="N748" t="inlineStr">
        <is>
          <t>2715-7891</t>
        </is>
      </c>
      <c r="O748" t="inlineStr">
        <is>
          <t>Consumidor final</t>
        </is>
      </c>
      <c r="P748" t="inlineStr">
        <is>
          <t>HAR-001</t>
        </is>
      </c>
      <c r="Q748" t="inlineStr">
        <is>
          <t>Harina de maíz 2lb</t>
        </is>
      </c>
      <c r="R748" t="inlineStr">
        <is>
          <t>Abarrotes</t>
        </is>
      </c>
      <c r="S748" t="inlineStr">
        <is>
          <t>Granos del Pacífico</t>
        </is>
      </c>
      <c r="T748" t="inlineStr">
        <is>
          <t>2234-8890</t>
        </is>
      </c>
      <c r="U748" t="n">
        <v>1.35</v>
      </c>
      <c r="V748" t="n">
        <v>12</v>
      </c>
      <c r="W748" t="n">
        <v>0</v>
      </c>
      <c r="X748">
        <f>IFERROR(U748*V748*(1-W748/100),"")</f>
        <v/>
      </c>
      <c r="Y748">
        <f>IFERROR(ROUND(X748*0.13,2),"")</f>
        <v/>
      </c>
      <c r="Z748">
        <f>IFERROR(X748+Y748,"")</f>
        <v/>
      </c>
      <c r="AA748" t="inlineStr">
        <is>
          <t>Efectivo</t>
        </is>
      </c>
      <c r="AB748" t="inlineStr"/>
    </row>
    <row r="749">
      <c r="A749" t="inlineStr">
        <is>
          <t>F-11061</t>
        </is>
      </c>
      <c r="B749" t="inlineStr">
        <is>
          <t>13/07/2026</t>
        </is>
      </c>
      <c r="C749" t="inlineStr">
        <is>
          <t>Factura</t>
        </is>
      </c>
      <c r="D749" t="inlineStr">
        <is>
          <t>SS03</t>
        </is>
      </c>
      <c r="E749" t="inlineStr">
        <is>
          <t xml:space="preserve">SOYAPANGO </t>
        </is>
      </c>
      <c r="F749" t="inlineStr">
        <is>
          <t>Blvd. del Ejército km 4</t>
        </is>
      </c>
      <c r="G749" t="inlineStr">
        <is>
          <t>Soyapango</t>
        </is>
      </c>
      <c r="H749" t="inlineStr">
        <is>
          <t>San Salvador</t>
        </is>
      </c>
      <c r="I749" t="inlineStr">
        <is>
          <t>Karla Henríquez</t>
        </is>
      </c>
      <c r="J749" t="inlineStr">
        <is>
          <t>2277-3402</t>
        </is>
      </c>
      <c r="K749" t="inlineStr">
        <is>
          <t>Marta Gómez</t>
        </is>
      </c>
      <c r="L749" t="inlineStr">
        <is>
          <t>Carlos Mejía García</t>
        </is>
      </c>
      <c r="M749" t="inlineStr">
        <is>
          <t>07315753-2</t>
        </is>
      </c>
      <c r="N749" t="inlineStr">
        <is>
          <t>2800-1990</t>
        </is>
      </c>
      <c r="O749" t="inlineStr">
        <is>
          <t>Consumidor final</t>
        </is>
      </c>
      <c r="P749" t="inlineStr">
        <is>
          <t>PAN-003</t>
        </is>
      </c>
      <c r="Q749" t="inlineStr">
        <is>
          <t>Quesadilla salvadoreña</t>
        </is>
      </c>
      <c r="R749" t="inlineStr">
        <is>
          <t>Panadería</t>
        </is>
      </c>
      <c r="S749" t="inlineStr">
        <is>
          <t>Panificadora Ilopango</t>
        </is>
      </c>
      <c r="T749" t="inlineStr">
        <is>
          <t>2295-0081</t>
        </is>
      </c>
      <c r="U749" t="n">
        <v>2.5</v>
      </c>
      <c r="V749" t="n">
        <v>12</v>
      </c>
      <c r="W749" t="n">
        <v>0</v>
      </c>
      <c r="X749">
        <f>IFERROR(U749*V749*(1-W749/100),"")</f>
        <v/>
      </c>
      <c r="Y749">
        <f>IFERROR(ROUND(X749*0.13,2),"")</f>
        <v/>
      </c>
      <c r="Z749">
        <f>IFERROR(X749+Y749,"")</f>
        <v/>
      </c>
      <c r="AA749" t="inlineStr">
        <is>
          <t>Efectivo</t>
        </is>
      </c>
      <c r="AB749" t="inlineStr"/>
    </row>
    <row r="750">
      <c r="A750" t="inlineStr">
        <is>
          <t>F-11061</t>
        </is>
      </c>
      <c r="B750" t="inlineStr">
        <is>
          <t>13/07/2026</t>
        </is>
      </c>
      <c r="C750" t="inlineStr">
        <is>
          <t>Factura</t>
        </is>
      </c>
      <c r="D750" t="inlineStr">
        <is>
          <t>SS03</t>
        </is>
      </c>
      <c r="E750" t="inlineStr">
        <is>
          <t xml:space="preserve">SOYAPANGO </t>
        </is>
      </c>
      <c r="F750" t="inlineStr">
        <is>
          <t>Blvd. del Ejército km 4</t>
        </is>
      </c>
      <c r="G750" t="inlineStr">
        <is>
          <t>Soyapango</t>
        </is>
      </c>
      <c r="H750" t="inlineStr">
        <is>
          <t>San Salvador</t>
        </is>
      </c>
      <c r="I750" t="inlineStr">
        <is>
          <t>Karla Henríquez</t>
        </is>
      </c>
      <c r="J750" t="inlineStr">
        <is>
          <t>2277-3402</t>
        </is>
      </c>
      <c r="K750" t="inlineStr">
        <is>
          <t>Marta Gómez</t>
        </is>
      </c>
      <c r="L750" t="inlineStr">
        <is>
          <t>Carlos Mejía García</t>
        </is>
      </c>
      <c r="M750" t="inlineStr">
        <is>
          <t>07315753-2</t>
        </is>
      </c>
      <c r="N750" t="inlineStr">
        <is>
          <t>2800-1990</t>
        </is>
      </c>
      <c r="O750" t="inlineStr">
        <is>
          <t>Consumidor final</t>
        </is>
      </c>
      <c r="P750" t="inlineStr">
        <is>
          <t>PAN-003</t>
        </is>
      </c>
      <c r="Q750" t="inlineStr">
        <is>
          <t>Quesadilla salvadoreña</t>
        </is>
      </c>
      <c r="R750" t="inlineStr">
        <is>
          <t>Panadería</t>
        </is>
      </c>
      <c r="S750" t="inlineStr">
        <is>
          <t>Panificadora Ilopango</t>
        </is>
      </c>
      <c r="T750" t="inlineStr">
        <is>
          <t>2295-0081</t>
        </is>
      </c>
      <c r="U750" t="n">
        <v>2.5</v>
      </c>
      <c r="V750" t="n">
        <v>12</v>
      </c>
      <c r="W750" t="n">
        <v>0</v>
      </c>
      <c r="X750">
        <f>IFERROR(U750*V750*(1-W750/100),"")</f>
        <v/>
      </c>
      <c r="Y750">
        <f>IFERROR(ROUND(X750*0.13,2),"")</f>
        <v/>
      </c>
      <c r="Z750">
        <f>IFERROR(X750+Y750,"")</f>
        <v/>
      </c>
      <c r="AA750" t="inlineStr">
        <is>
          <t>Efectivo</t>
        </is>
      </c>
      <c r="AB750" t="inlineStr"/>
    </row>
    <row r="751">
      <c r="A751" t="inlineStr">
        <is>
          <t>F-11061</t>
        </is>
      </c>
      <c r="B751" s="3" t="n">
        <v>46216</v>
      </c>
      <c r="C751" t="inlineStr">
        <is>
          <t>Factura</t>
        </is>
      </c>
      <c r="D751" t="inlineStr">
        <is>
          <t>SS03</t>
        </is>
      </c>
      <c r="E751" t="inlineStr">
        <is>
          <t xml:space="preserve">SOYAPANGO </t>
        </is>
      </c>
      <c r="F751" t="inlineStr">
        <is>
          <t>Blvd. del Ejército km 4</t>
        </is>
      </c>
      <c r="G751" t="inlineStr">
        <is>
          <t>Soyapango</t>
        </is>
      </c>
      <c r="H751" t="inlineStr">
        <is>
          <t>San Salvador</t>
        </is>
      </c>
      <c r="I751" t="inlineStr">
        <is>
          <t>Karla Henríquez</t>
        </is>
      </c>
      <c r="J751" t="inlineStr">
        <is>
          <t>2277-3402</t>
        </is>
      </c>
      <c r="K751" t="inlineStr">
        <is>
          <t>Marta Gómez</t>
        </is>
      </c>
      <c r="L751" t="inlineStr">
        <is>
          <t>Carlos Mejía García</t>
        </is>
      </c>
      <c r="M751" t="inlineStr">
        <is>
          <t>07315753-2</t>
        </is>
      </c>
      <c r="N751" t="inlineStr">
        <is>
          <t>2800-1990</t>
        </is>
      </c>
      <c r="O751" t="inlineStr">
        <is>
          <t>Consumidor final</t>
        </is>
      </c>
      <c r="P751" t="inlineStr">
        <is>
          <t>AZU-001</t>
        </is>
      </c>
      <c r="Q751" t="inlineStr">
        <is>
          <t>Azúcar blanca 2.5kg</t>
        </is>
      </c>
      <c r="R751" t="inlineStr">
        <is>
          <t>Abarrotes</t>
        </is>
      </c>
      <c r="S751" t="inlineStr">
        <is>
          <t>Granos del Pacífico</t>
        </is>
      </c>
      <c r="T751" t="inlineStr">
        <is>
          <t>2234-8890</t>
        </is>
      </c>
      <c r="U751" t="n">
        <v>3.1</v>
      </c>
      <c r="V751" t="n">
        <v>6</v>
      </c>
      <c r="W751" t="n">
        <v>0</v>
      </c>
      <c r="X751">
        <f>IFERROR(U751*V751*(1-W751/100),"")</f>
        <v/>
      </c>
      <c r="Y751">
        <f>IFERROR(ROUND(X751*0.13,2),"")</f>
        <v/>
      </c>
      <c r="Z751">
        <f>IFERROR(X751+Y751,"")</f>
        <v/>
      </c>
      <c r="AA751" t="inlineStr">
        <is>
          <t>Efectivo</t>
        </is>
      </c>
      <c r="AB751" t="inlineStr"/>
    </row>
    <row r="752">
      <c r="A752" t="inlineStr">
        <is>
          <t>F-11061</t>
        </is>
      </c>
      <c r="B752" s="3" t="n">
        <v>46216</v>
      </c>
      <c r="C752" t="inlineStr">
        <is>
          <t>Factura</t>
        </is>
      </c>
      <c r="D752" t="inlineStr">
        <is>
          <t>SS03</t>
        </is>
      </c>
      <c r="E752" t="inlineStr">
        <is>
          <t>soyapango</t>
        </is>
      </c>
      <c r="F752" t="inlineStr">
        <is>
          <t>Blvd. del Ejército km 4</t>
        </is>
      </c>
      <c r="G752" t="inlineStr">
        <is>
          <t>Soyapango</t>
        </is>
      </c>
      <c r="H752" t="inlineStr">
        <is>
          <t>San Salvador</t>
        </is>
      </c>
      <c r="I752" t="inlineStr">
        <is>
          <t>Karla Henríquez</t>
        </is>
      </c>
      <c r="J752" t="inlineStr">
        <is>
          <t>2277-3402</t>
        </is>
      </c>
      <c r="K752" t="inlineStr">
        <is>
          <t>Marta Gómez</t>
        </is>
      </c>
      <c r="L752" t="inlineStr">
        <is>
          <t>Carlos Mejía García</t>
        </is>
      </c>
      <c r="M752" t="inlineStr">
        <is>
          <t>07315753-2</t>
        </is>
      </c>
      <c r="N752" t="inlineStr">
        <is>
          <t>2800-1990</t>
        </is>
      </c>
      <c r="O752" t="inlineStr">
        <is>
          <t>Consumidor final</t>
        </is>
      </c>
      <c r="P752" t="inlineStr">
        <is>
          <t>CAF-001</t>
        </is>
      </c>
      <c r="Q752" t="inlineStr">
        <is>
          <t>Café molido 400g</t>
        </is>
      </c>
      <c r="R752" t="inlineStr">
        <is>
          <t>Abarrotes</t>
        </is>
      </c>
      <c r="S752" t="inlineStr">
        <is>
          <t>Café Volcán S.A.</t>
        </is>
      </c>
      <c r="T752" t="inlineStr">
        <is>
          <t>2510-3344</t>
        </is>
      </c>
      <c r="U752" t="inlineStr">
        <is>
          <t>$4.25</t>
        </is>
      </c>
      <c r="V752" t="n">
        <v>2</v>
      </c>
      <c r="W752" t="n">
        <v>0</v>
      </c>
      <c r="X752">
        <f>IFERROR(U752*V752*(1-W752/100),"")</f>
        <v/>
      </c>
      <c r="Y752">
        <f>IFERROR(ROUND(X752*0.13,2),"")</f>
        <v/>
      </c>
      <c r="Z752">
        <f>IFERROR(X752+Y752,"")</f>
        <v/>
      </c>
      <c r="AA752" t="inlineStr">
        <is>
          <t>Efectivo</t>
        </is>
      </c>
      <c r="AB752" t="inlineStr">
        <is>
          <t>Llamar al 7788-1234 antes de entregar</t>
        </is>
      </c>
    </row>
    <row r="753">
      <c r="A753" t="inlineStr">
        <is>
          <t>F-11063</t>
        </is>
      </c>
      <c r="B753" s="3" t="n">
        <v>46225</v>
      </c>
      <c r="C753" t="inlineStr">
        <is>
          <t>factura</t>
        </is>
      </c>
      <c r="D753" t="inlineStr">
        <is>
          <t>SA01</t>
        </is>
      </c>
      <c r="E753" t="inlineStr">
        <is>
          <t>Santa Ana</t>
        </is>
      </c>
      <c r="F753" t="inlineStr">
        <is>
          <t>Av. Independencia Sur #12</t>
        </is>
      </c>
      <c r="G753" t="inlineStr">
        <is>
          <t>Santa Ana</t>
        </is>
      </c>
      <c r="H753" t="inlineStr">
        <is>
          <t>Santa Ana</t>
        </is>
      </c>
      <c r="I753" t="inlineStr">
        <is>
          <t>Mauricio Linares</t>
        </is>
      </c>
      <c r="J753" t="inlineStr">
        <is>
          <t>2440-9921</t>
        </is>
      </c>
      <c r="K753" t="inlineStr">
        <is>
          <t>Sofía Cáceres</t>
        </is>
      </c>
      <c r="L753" t="inlineStr">
        <is>
          <t>René Cornejo Cornejo</t>
        </is>
      </c>
      <c r="M753" t="inlineStr">
        <is>
          <t>03632979-1</t>
        </is>
      </c>
      <c r="N753" t="inlineStr">
        <is>
          <t>7833-5595</t>
        </is>
      </c>
      <c r="O753" t="inlineStr">
        <is>
          <t>Consumidor final</t>
        </is>
      </c>
      <c r="P753" t="inlineStr">
        <is>
          <t>FRI-001</t>
        </is>
      </c>
      <c r="Q753" t="inlineStr">
        <is>
          <t>Frijol rojo de seda 2lb</t>
        </is>
      </c>
      <c r="R753" t="inlineStr">
        <is>
          <t>Granos básicos</t>
        </is>
      </c>
      <c r="S753" t="inlineStr">
        <is>
          <t>Granos del Pacífico</t>
        </is>
      </c>
      <c r="T753" t="inlineStr">
        <is>
          <t>2234-8890</t>
        </is>
      </c>
      <c r="U753" t="n">
        <v>2.4</v>
      </c>
      <c r="V753" t="n">
        <v>2</v>
      </c>
      <c r="W753" t="n">
        <v>0</v>
      </c>
      <c r="X753">
        <f>IFERROR(U753*V753*(1-W753/100),"")</f>
        <v/>
      </c>
      <c r="Y753">
        <f>IFERROR(ROUND(X753*0.13,2),"")</f>
        <v/>
      </c>
      <c r="Z753">
        <f>IFERROR(X753+Y753,"")</f>
        <v/>
      </c>
      <c r="AA753" t="inlineStr">
        <is>
          <t>TARJETA</t>
        </is>
      </c>
      <c r="AB753" t="inlineStr">
        <is>
          <t>Llamar al 7788-1234 antes de entregar</t>
        </is>
      </c>
    </row>
    <row r="754">
      <c r="A754" t="inlineStr">
        <is>
          <t>F-11066</t>
        </is>
      </c>
      <c r="B754" s="3" t="n">
        <v>46219</v>
      </c>
      <c r="C754" t="inlineStr">
        <is>
          <t>Factura</t>
        </is>
      </c>
      <c r="D754" t="inlineStr">
        <is>
          <t>SS01</t>
        </is>
      </c>
      <c r="E754" t="inlineStr">
        <is>
          <t>S.S. Centro</t>
        </is>
      </c>
      <c r="F754" t="inlineStr">
        <is>
          <t>4a Calle Poniente #215</t>
        </is>
      </c>
      <c r="G754" t="inlineStr">
        <is>
          <t>San Salvador</t>
        </is>
      </c>
      <c r="H754" t="inlineStr">
        <is>
          <t>San Salvador</t>
        </is>
      </c>
      <c r="I754" t="inlineStr">
        <is>
          <t>Roberto Alfaro</t>
        </is>
      </c>
      <c r="J754" t="inlineStr">
        <is>
          <t>2221-4580</t>
        </is>
      </c>
      <c r="K754" t="inlineStr">
        <is>
          <t>Daniela Orellana</t>
        </is>
      </c>
      <c r="L754" t="inlineStr">
        <is>
          <t>Sandra Guevara Lemus</t>
        </is>
      </c>
      <c r="M754" t="inlineStr">
        <is>
          <t>08577633-7</t>
        </is>
      </c>
      <c r="N754" t="inlineStr">
        <is>
          <t>6671-1550</t>
        </is>
      </c>
      <c r="O754" t="inlineStr">
        <is>
          <t>Consumidor final</t>
        </is>
      </c>
      <c r="P754" t="inlineStr">
        <is>
          <t>LAC-003</t>
        </is>
      </c>
      <c r="Q754" t="inlineStr">
        <is>
          <t>Leche entera 1L</t>
        </is>
      </c>
      <c r="R754" t="inlineStr">
        <is>
          <t>Lácteos</t>
        </is>
      </c>
      <c r="S754" t="inlineStr">
        <is>
          <t>Lácteos Chalate</t>
        </is>
      </c>
      <c r="T754" t="inlineStr">
        <is>
          <t>2335-1020</t>
        </is>
      </c>
      <c r="U754" t="n">
        <v>1.2</v>
      </c>
      <c r="V754" t="n">
        <v>12</v>
      </c>
      <c r="W754" t="n">
        <v>0</v>
      </c>
      <c r="X754">
        <f>IFERROR(U754*V754*(1-W754/100),"")</f>
        <v/>
      </c>
      <c r="Y754">
        <f>IFERROR(ROUND(X754*0.13,2),"")</f>
        <v/>
      </c>
      <c r="Z754">
        <f>IFERROR(X754+Y754,"")</f>
        <v/>
      </c>
      <c r="AA754" t="inlineStr">
        <is>
          <t>Chivo</t>
        </is>
      </c>
      <c r="AB754" t="inlineStr"/>
    </row>
    <row r="755">
      <c r="A755" t="inlineStr">
        <is>
          <t>F-11066</t>
        </is>
      </c>
      <c r="B755" s="3" t="n">
        <v>46219</v>
      </c>
      <c r="C755" t="inlineStr">
        <is>
          <t>Factura</t>
        </is>
      </c>
      <c r="D755" t="inlineStr">
        <is>
          <t>SS01</t>
        </is>
      </c>
      <c r="E755" t="inlineStr">
        <is>
          <t>S.S. Centro</t>
        </is>
      </c>
      <c r="F755" t="inlineStr">
        <is>
          <t>4a Calle Poniente #215</t>
        </is>
      </c>
      <c r="G755" t="inlineStr">
        <is>
          <t>San Salvador</t>
        </is>
      </c>
      <c r="H755" t="inlineStr">
        <is>
          <t>San Salvador</t>
        </is>
      </c>
      <c r="I755" t="inlineStr">
        <is>
          <t>Roberto Alfaro</t>
        </is>
      </c>
      <c r="J755" t="inlineStr">
        <is>
          <t>2221-4580</t>
        </is>
      </c>
      <c r="K755" t="inlineStr">
        <is>
          <t>Daniela Orellana</t>
        </is>
      </c>
      <c r="L755" t="inlineStr">
        <is>
          <t>Sandra Guevara Lemus</t>
        </is>
      </c>
      <c r="M755" t="inlineStr">
        <is>
          <t>08577633-7</t>
        </is>
      </c>
      <c r="N755" t="inlineStr">
        <is>
          <t>6671-1550</t>
        </is>
      </c>
      <c r="O755" t="inlineStr">
        <is>
          <t>Consumidor final</t>
        </is>
      </c>
      <c r="P755" t="inlineStr">
        <is>
          <t>PAN-002</t>
        </is>
      </c>
      <c r="Q755" t="inlineStr">
        <is>
          <t>Semita alta</t>
        </is>
      </c>
      <c r="R755" t="inlineStr">
        <is>
          <t>Panadería</t>
        </is>
      </c>
      <c r="S755" t="inlineStr">
        <is>
          <t>Panificadora Ilopango</t>
        </is>
      </c>
      <c r="T755" t="inlineStr">
        <is>
          <t>2295-0081</t>
        </is>
      </c>
      <c r="U755" t="n">
        <v>1.75</v>
      </c>
      <c r="V755" t="n">
        <v>24</v>
      </c>
      <c r="W755" t="n">
        <v>0</v>
      </c>
      <c r="X755">
        <f>IFERROR(U755*V755*(1-W755/100),"")</f>
        <v/>
      </c>
      <c r="Y755">
        <f>IFERROR(ROUND(X755*0.13,2),"")</f>
        <v/>
      </c>
      <c r="Z755">
        <f>IFERROR(X755+Y755,"")</f>
        <v/>
      </c>
      <c r="AA755" t="inlineStr">
        <is>
          <t>Chivo</t>
        </is>
      </c>
      <c r="AB755" t="inlineStr"/>
    </row>
    <row r="756">
      <c r="A756" t="inlineStr">
        <is>
          <t>F-11066</t>
        </is>
      </c>
      <c r="B756" s="3" t="n">
        <v>46219</v>
      </c>
      <c r="C756" t="inlineStr">
        <is>
          <t>Factura</t>
        </is>
      </c>
      <c r="D756" t="inlineStr">
        <is>
          <t>SS01</t>
        </is>
      </c>
      <c r="E756" t="inlineStr">
        <is>
          <t xml:space="preserve">san salvador centro </t>
        </is>
      </c>
      <c r="F756" t="inlineStr">
        <is>
          <t>4a Calle Poniente #215</t>
        </is>
      </c>
      <c r="G756" t="inlineStr">
        <is>
          <t>San Salvador</t>
        </is>
      </c>
      <c r="H756" t="inlineStr">
        <is>
          <t>San Salvador</t>
        </is>
      </c>
      <c r="I756" t="inlineStr">
        <is>
          <t>Roberto Alfaro</t>
        </is>
      </c>
      <c r="J756" t="inlineStr">
        <is>
          <t>2221-4580</t>
        </is>
      </c>
      <c r="K756" t="inlineStr">
        <is>
          <t>Daniela Orellana</t>
        </is>
      </c>
      <c r="L756" t="inlineStr">
        <is>
          <t>Sandra Guevara Lemus</t>
        </is>
      </c>
      <c r="M756" t="inlineStr">
        <is>
          <t>08577633-7</t>
        </is>
      </c>
      <c r="N756" t="inlineStr">
        <is>
          <t>6671-1550</t>
        </is>
      </c>
      <c r="O756" t="inlineStr">
        <is>
          <t>Consumidor final</t>
        </is>
      </c>
      <c r="P756" t="inlineStr">
        <is>
          <t>HIG-001</t>
        </is>
      </c>
      <c r="Q756" t="inlineStr">
        <is>
          <t>Detergente 1kg</t>
        </is>
      </c>
      <c r="R756" t="inlineStr">
        <is>
          <t>limpieza</t>
        </is>
      </c>
      <c r="S756" t="inlineStr">
        <is>
          <t>Higiene Total C.A.</t>
        </is>
      </c>
      <c r="T756" t="inlineStr">
        <is>
          <t>2207-5566</t>
        </is>
      </c>
      <c r="U756" t="n">
        <v>3.45</v>
      </c>
      <c r="V756" t="n">
        <v>-1</v>
      </c>
      <c r="W756" t="n">
        <v>0</v>
      </c>
      <c r="X756">
        <f>IFERROR(U756*V756*(1-W756/100),"")</f>
        <v/>
      </c>
      <c r="Y756">
        <f>IFERROR(ROUND(X756*0.13,2),"")</f>
        <v/>
      </c>
      <c r="Z756">
        <f>IFERROR(X756+Y756,"")</f>
        <v/>
      </c>
      <c r="AA756" t="inlineStr">
        <is>
          <t>Chivo</t>
        </is>
      </c>
      <c r="AB756" t="inlineStr">
        <is>
          <t>Llamar al 7788-1234 antes de entregar</t>
        </is>
      </c>
    </row>
    <row r="757">
      <c r="A757" t="inlineStr">
        <is>
          <t>F-11066</t>
        </is>
      </c>
      <c r="B757" t="inlineStr">
        <is>
          <t>2026-07-16</t>
        </is>
      </c>
      <c r="C757" t="inlineStr">
        <is>
          <t>Factura</t>
        </is>
      </c>
      <c r="D757" t="inlineStr">
        <is>
          <t>SS01</t>
        </is>
      </c>
      <c r="E757" t="inlineStr">
        <is>
          <t xml:space="preserve">san salvador centro </t>
        </is>
      </c>
      <c r="F757" t="inlineStr">
        <is>
          <t>4a Calle Poniente #215</t>
        </is>
      </c>
      <c r="G757" t="inlineStr">
        <is>
          <t>San Salvador</t>
        </is>
      </c>
      <c r="H757" t="inlineStr">
        <is>
          <t>San Salvador</t>
        </is>
      </c>
      <c r="I757" t="inlineStr">
        <is>
          <t>Roberto Alfaro</t>
        </is>
      </c>
      <c r="J757" t="inlineStr">
        <is>
          <t>2221-4580</t>
        </is>
      </c>
      <c r="K757" t="inlineStr">
        <is>
          <t>Daniela Orellana</t>
        </is>
      </c>
      <c r="L757" t="inlineStr">
        <is>
          <t>Sandra Guevara Lemus</t>
        </is>
      </c>
      <c r="M757" t="inlineStr">
        <is>
          <t>08577633-7</t>
        </is>
      </c>
      <c r="N757" t="inlineStr">
        <is>
          <t>6671-1550</t>
        </is>
      </c>
      <c r="O757" t="inlineStr">
        <is>
          <t>Consumidor final</t>
        </is>
      </c>
      <c r="P757" t="inlineStr">
        <is>
          <t>PAN-001</t>
        </is>
      </c>
      <c r="Q757" t="inlineStr">
        <is>
          <t>Pan francés bolsa 10u</t>
        </is>
      </c>
      <c r="R757" t="inlineStr">
        <is>
          <t>Panadería</t>
        </is>
      </c>
      <c r="S757" t="inlineStr">
        <is>
          <t>Panificadora Ilopango</t>
        </is>
      </c>
      <c r="T757" t="inlineStr">
        <is>
          <t>2295-0081</t>
        </is>
      </c>
      <c r="U757" t="n">
        <v>1</v>
      </c>
      <c r="V757" t="n">
        <v>4</v>
      </c>
      <c r="W757" t="n">
        <v>0</v>
      </c>
      <c r="X757">
        <f>IFERROR(U757*V757*(1-W757/100),"")</f>
        <v/>
      </c>
      <c r="Y757">
        <f>IFERROR(ROUND(X757*0.13,2),"")</f>
        <v/>
      </c>
      <c r="Z757">
        <f>IFERROR(X757+Y757,"")</f>
        <v/>
      </c>
      <c r="AA757" t="inlineStr">
        <is>
          <t>Chivo</t>
        </is>
      </c>
      <c r="AB757" t="inlineStr">
        <is>
          <t>pagó con billete de $100</t>
        </is>
      </c>
    </row>
    <row r="758">
      <c r="A758" t="inlineStr">
        <is>
          <t>F-11068</t>
        </is>
      </c>
      <c r="B758" s="3" t="n">
        <v>46210</v>
      </c>
      <c r="C758" t="inlineStr">
        <is>
          <t>factura</t>
        </is>
      </c>
      <c r="D758" t="inlineStr">
        <is>
          <t>SS01</t>
        </is>
      </c>
      <c r="E758" t="inlineStr">
        <is>
          <t>San Salvador Centro</t>
        </is>
      </c>
      <c r="F758" t="inlineStr">
        <is>
          <t>4a Calle Poniente #215</t>
        </is>
      </c>
      <c r="G758" t="inlineStr">
        <is>
          <t>San Salvador</t>
        </is>
      </c>
      <c r="H758" t="inlineStr">
        <is>
          <t>San Salvador</t>
        </is>
      </c>
      <c r="I758" t="inlineStr">
        <is>
          <t>Roberto Alfaro</t>
        </is>
      </c>
      <c r="J758" t="inlineStr">
        <is>
          <t>2221-4580</t>
        </is>
      </c>
      <c r="K758" t="inlineStr">
        <is>
          <t>José Martínez</t>
        </is>
      </c>
      <c r="L758" t="inlineStr">
        <is>
          <t>Douglas Hernández Argueta</t>
        </is>
      </c>
      <c r="M758" t="inlineStr">
        <is>
          <t>04449700-5</t>
        </is>
      </c>
      <c r="N758" t="inlineStr">
        <is>
          <t>7632-6201</t>
        </is>
      </c>
      <c r="O758" t="inlineStr">
        <is>
          <t>Consumidor final</t>
        </is>
      </c>
      <c r="P758" t="inlineStr">
        <is>
          <t>PAN-003</t>
        </is>
      </c>
      <c r="Q758" t="inlineStr">
        <is>
          <t>Quesadilla salvadoreña</t>
        </is>
      </c>
      <c r="R758" t="inlineStr">
        <is>
          <t>Panadería</t>
        </is>
      </c>
      <c r="S758" t="inlineStr">
        <is>
          <t>Panificadora Ilopango</t>
        </is>
      </c>
      <c r="T758" t="inlineStr">
        <is>
          <t>2295-0081</t>
        </is>
      </c>
      <c r="U758" t="n">
        <v>2.5</v>
      </c>
      <c r="V758" t="n">
        <v>1</v>
      </c>
      <c r="W758" t="n">
        <v>0</v>
      </c>
      <c r="X758">
        <f>IFERROR(U758*V758*(1-W758/100),"")</f>
        <v/>
      </c>
      <c r="Y758">
        <f>IFERROR(ROUND(X758*0.13,2),"")</f>
        <v/>
      </c>
      <c r="Z758">
        <f>IFERROR(X758+Y758,"")</f>
        <v/>
      </c>
      <c r="AA758" t="inlineStr">
        <is>
          <t>Tarjeta</t>
        </is>
      </c>
      <c r="AB758" t="inlineStr">
        <is>
          <t>precio especial autorizado por gerente</t>
        </is>
      </c>
    </row>
    <row r="759">
      <c r="A759" t="inlineStr">
        <is>
          <t>F-11068</t>
        </is>
      </c>
      <c r="B759" t="inlineStr">
        <is>
          <t>07-Jul-26</t>
        </is>
      </c>
      <c r="C759" t="inlineStr">
        <is>
          <t>factura</t>
        </is>
      </c>
      <c r="D759" t="inlineStr">
        <is>
          <t>SS01</t>
        </is>
      </c>
      <c r="E759" t="inlineStr">
        <is>
          <t>San Salvador Centro</t>
        </is>
      </c>
      <c r="F759" t="inlineStr">
        <is>
          <t>4a Calle Poniente #215</t>
        </is>
      </c>
      <c r="G759" t="inlineStr">
        <is>
          <t>San Salvador</t>
        </is>
      </c>
      <c r="H759" t="inlineStr">
        <is>
          <t>San Salvador</t>
        </is>
      </c>
      <c r="I759" t="inlineStr">
        <is>
          <t>Roberto Alfaro</t>
        </is>
      </c>
      <c r="J759" t="inlineStr">
        <is>
          <t>2221-4580</t>
        </is>
      </c>
      <c r="K759" t="inlineStr">
        <is>
          <t>José Martínez</t>
        </is>
      </c>
      <c r="L759" t="inlineStr">
        <is>
          <t>Douglas Hernández Argueta</t>
        </is>
      </c>
      <c r="M759" t="inlineStr"/>
      <c r="N759" t="inlineStr">
        <is>
          <t>7632-6201</t>
        </is>
      </c>
      <c r="O759" t="inlineStr">
        <is>
          <t>Consumidor final</t>
        </is>
      </c>
      <c r="P759" t="inlineStr">
        <is>
          <t>LAC-003</t>
        </is>
      </c>
      <c r="Q759" t="inlineStr">
        <is>
          <t>Leche entera 1L</t>
        </is>
      </c>
      <c r="R759" t="inlineStr">
        <is>
          <t>Lácteos</t>
        </is>
      </c>
      <c r="S759" t="inlineStr">
        <is>
          <t>Lácteos Chalate</t>
        </is>
      </c>
      <c r="T759" t="inlineStr">
        <is>
          <t>7120-4455</t>
        </is>
      </c>
      <c r="U759" t="n">
        <v>1.2</v>
      </c>
      <c r="V759" t="n">
        <v>12</v>
      </c>
      <c r="W759" t="n">
        <v>0</v>
      </c>
      <c r="X759">
        <f>IFERROR(U759*V759*(1-W759/100),"")</f>
        <v/>
      </c>
      <c r="Y759">
        <f>IFERROR(ROUND(X759*0.13,2),"")</f>
        <v/>
      </c>
      <c r="Z759">
        <f>IFERROR(X759+Y759,"")</f>
        <v/>
      </c>
      <c r="AA759" t="inlineStr">
        <is>
          <t>Tarjeta</t>
        </is>
      </c>
      <c r="AB759" t="inlineStr">
        <is>
          <t>precio especial autorizado por gerente</t>
        </is>
      </c>
    </row>
    <row r="760">
      <c r="A760" t="inlineStr">
        <is>
          <t>F-11068</t>
        </is>
      </c>
      <c r="B760" s="3" t="n">
        <v>46210</v>
      </c>
      <c r="C760" t="inlineStr">
        <is>
          <t>factura</t>
        </is>
      </c>
      <c r="D760" t="inlineStr">
        <is>
          <t>SS01</t>
        </is>
      </c>
      <c r="E760" t="inlineStr">
        <is>
          <t>San Salvador Centro</t>
        </is>
      </c>
      <c r="F760" t="inlineStr">
        <is>
          <t>4a Calle Poniente #215</t>
        </is>
      </c>
      <c r="G760" t="inlineStr">
        <is>
          <t>San Salvador</t>
        </is>
      </c>
      <c r="H760" t="inlineStr">
        <is>
          <t>San Salvador</t>
        </is>
      </c>
      <c r="I760" t="inlineStr">
        <is>
          <t>Roberto Alfaro</t>
        </is>
      </c>
      <c r="J760" t="inlineStr">
        <is>
          <t>2221-4580</t>
        </is>
      </c>
      <c r="K760" t="inlineStr">
        <is>
          <t>José Martínez</t>
        </is>
      </c>
      <c r="L760" t="inlineStr">
        <is>
          <t>Douglas Hernández Argueta</t>
        </is>
      </c>
      <c r="M760" t="inlineStr">
        <is>
          <t>04449700-5</t>
        </is>
      </c>
      <c r="N760" t="inlineStr">
        <is>
          <t>7632-6201</t>
        </is>
      </c>
      <c r="O760" t="inlineStr">
        <is>
          <t>Consumidor final</t>
        </is>
      </c>
      <c r="P760" t="inlineStr">
        <is>
          <t>FRI-001</t>
        </is>
      </c>
      <c r="Q760" t="inlineStr">
        <is>
          <t>Frijol rojo de seda 2lb</t>
        </is>
      </c>
      <c r="R760" t="inlineStr">
        <is>
          <t>Abarrotes</t>
        </is>
      </c>
      <c r="S760" t="inlineStr">
        <is>
          <t>Granos del Pacífico</t>
        </is>
      </c>
      <c r="T760" t="inlineStr">
        <is>
          <t>2234-8890</t>
        </is>
      </c>
      <c r="U760" t="n">
        <v>2.4</v>
      </c>
      <c r="V760" t="n">
        <v>1</v>
      </c>
      <c r="W760" t="n">
        <v>0</v>
      </c>
      <c r="X760">
        <f>IFERROR(U760*V760*(1-W760/100),"")</f>
        <v/>
      </c>
      <c r="Y760">
        <f>IFERROR(ROUND(X760*0.13,2),"")</f>
        <v/>
      </c>
      <c r="Z760">
        <f>IFERROR(X760+Y760,"")</f>
        <v/>
      </c>
      <c r="AA760" t="inlineStr">
        <is>
          <t>Tarjeta</t>
        </is>
      </c>
      <c r="AB760" t="inlineStr">
        <is>
          <t>Llamar al 7788-1234 antes de entregar</t>
        </is>
      </c>
    </row>
    <row r="761">
      <c r="A761" t="inlineStr">
        <is>
          <t>F-11068</t>
        </is>
      </c>
      <c r="B761" s="3" t="n">
        <v>46210</v>
      </c>
      <c r="C761" t="inlineStr">
        <is>
          <t>factura</t>
        </is>
      </c>
      <c r="D761" t="inlineStr">
        <is>
          <t>SS01</t>
        </is>
      </c>
      <c r="E761" t="inlineStr">
        <is>
          <t>S.S. Centro</t>
        </is>
      </c>
      <c r="F761" t="inlineStr">
        <is>
          <t>4a Calle Poniente #215</t>
        </is>
      </c>
      <c r="G761" t="inlineStr">
        <is>
          <t>San Salvador</t>
        </is>
      </c>
      <c r="H761" t="inlineStr">
        <is>
          <t>San Salvador</t>
        </is>
      </c>
      <c r="I761" t="inlineStr">
        <is>
          <t>Roberto Alfaro</t>
        </is>
      </c>
      <c r="J761" t="inlineStr">
        <is>
          <t>2221-4580</t>
        </is>
      </c>
      <c r="K761" t="inlineStr">
        <is>
          <t>José Martínez</t>
        </is>
      </c>
      <c r="L761" t="inlineStr">
        <is>
          <t>Douglas Hernández Argueta</t>
        </is>
      </c>
      <c r="M761" t="inlineStr">
        <is>
          <t>04449700-5</t>
        </is>
      </c>
      <c r="N761" t="inlineStr">
        <is>
          <t>7632-6201</t>
        </is>
      </c>
      <c r="O761" t="inlineStr">
        <is>
          <t>Consumidor final</t>
        </is>
      </c>
      <c r="P761" t="inlineStr">
        <is>
          <t>BEB-002</t>
        </is>
      </c>
      <c r="Q761" t="inlineStr">
        <is>
          <t>Agua purificada 1 galón</t>
        </is>
      </c>
      <c r="R761" t="inlineStr">
        <is>
          <t>Bebidas</t>
        </is>
      </c>
      <c r="S761" t="inlineStr">
        <is>
          <t>Bebidas Izalco</t>
        </is>
      </c>
      <c r="T761" t="inlineStr">
        <is>
          <t>2450-7700</t>
        </is>
      </c>
      <c r="U761" t="n">
        <v>1.1</v>
      </c>
      <c r="V761" t="n">
        <v>24</v>
      </c>
      <c r="W761" t="n">
        <v>0</v>
      </c>
      <c r="X761">
        <f>IFERROR(U761*V761*(1-W761/100),"")</f>
        <v/>
      </c>
      <c r="Y761">
        <f>IFERROR(ROUND(X761*0.13,2),"")</f>
        <v/>
      </c>
      <c r="Z761">
        <f>IFERROR(X761+Y761,"")</f>
        <v/>
      </c>
      <c r="AA761" t="inlineStr">
        <is>
          <t>Tarjeta</t>
        </is>
      </c>
      <c r="AB761" t="inlineStr">
        <is>
          <t>entregar en bodega</t>
        </is>
      </c>
    </row>
    <row r="762">
      <c r="A762" t="inlineStr">
        <is>
          <t>F-11070</t>
        </is>
      </c>
      <c r="B762" t="inlineStr">
        <is>
          <t>05/09/2026</t>
        </is>
      </c>
      <c r="C762" t="inlineStr">
        <is>
          <t>FCF</t>
        </is>
      </c>
      <c r="D762" t="inlineStr">
        <is>
          <t>US01</t>
        </is>
      </c>
      <c r="E762" t="inlineStr">
        <is>
          <t>Usulutan</t>
        </is>
      </c>
      <c r="F762" t="inlineStr">
        <is>
          <t>2a Av. Norte #9</t>
        </is>
      </c>
      <c r="G762" t="inlineStr">
        <is>
          <t>Usulután</t>
        </is>
      </c>
      <c r="H762" t="inlineStr">
        <is>
          <t>Usulután</t>
        </is>
      </c>
      <c r="I762" t="inlineStr">
        <is>
          <t>Nelson Fuentes</t>
        </is>
      </c>
      <c r="J762" t="inlineStr">
        <is>
          <t>2662-8810</t>
        </is>
      </c>
      <c r="K762" t="inlineStr">
        <is>
          <t>Miguel Bonilla</t>
        </is>
      </c>
      <c r="L762" t="inlineStr">
        <is>
          <t>René Sorto Quintanilla</t>
        </is>
      </c>
      <c r="M762" t="inlineStr">
        <is>
          <t>06328066-3</t>
        </is>
      </c>
      <c r="N762" t="inlineStr">
        <is>
          <t>6778-4597</t>
        </is>
      </c>
      <c r="O762" t="inlineStr">
        <is>
          <t>Consumidor final</t>
        </is>
      </c>
      <c r="P762" t="inlineStr">
        <is>
          <t>LAC-002</t>
        </is>
      </c>
      <c r="Q762" t="inlineStr">
        <is>
          <t>Crema 500ml</t>
        </is>
      </c>
      <c r="R762" t="inlineStr">
        <is>
          <t>Lacteos</t>
        </is>
      </c>
      <c r="S762" t="inlineStr">
        <is>
          <t>Lácteos Chalate</t>
        </is>
      </c>
      <c r="T762" t="inlineStr">
        <is>
          <t>2335-1020</t>
        </is>
      </c>
      <c r="U762" t="n">
        <v>2.25</v>
      </c>
      <c r="V762" t="n">
        <v>12</v>
      </c>
      <c r="W762" t="n">
        <v>0</v>
      </c>
      <c r="X762">
        <f>IFERROR(U762*V762*(1-W762/100),"")</f>
        <v/>
      </c>
      <c r="Y762">
        <f>IFERROR(ROUND(X762*0.13,2),"")</f>
        <v/>
      </c>
      <c r="Z762">
        <f>IFERROR(X762+Y762,"")</f>
        <v/>
      </c>
      <c r="AA762" t="inlineStr">
        <is>
          <t>Tarjeta</t>
        </is>
      </c>
      <c r="AB762" t="inlineStr">
        <is>
          <t>entregar en bodega</t>
        </is>
      </c>
    </row>
    <row r="763">
      <c r="A763" t="inlineStr">
        <is>
          <t>F-11071</t>
        </is>
      </c>
      <c r="B763" t="inlineStr">
        <is>
          <t>29/08/2026</t>
        </is>
      </c>
      <c r="C763" t="inlineStr">
        <is>
          <t>FCF</t>
        </is>
      </c>
      <c r="D763" t="inlineStr">
        <is>
          <t>SS02</t>
        </is>
      </c>
      <c r="E763" t="inlineStr">
        <is>
          <t>Escalon</t>
        </is>
      </c>
      <c r="F763" t="inlineStr">
        <is>
          <t>Paseo General Escalón #3910</t>
        </is>
      </c>
      <c r="G763" t="inlineStr">
        <is>
          <t>San Salvador</t>
        </is>
      </c>
      <c r="H763" t="inlineStr">
        <is>
          <t>San Salvador</t>
        </is>
      </c>
      <c r="I763" t="inlineStr">
        <is>
          <t>Claudia Menjívar</t>
        </is>
      </c>
      <c r="J763" t="inlineStr">
        <is>
          <t>2264-1190</t>
        </is>
      </c>
      <c r="K763" t="inlineStr">
        <is>
          <t>Kevin Benítez</t>
        </is>
      </c>
      <c r="L763" t="inlineStr">
        <is>
          <t>Edwin Cornejo Mejía</t>
        </is>
      </c>
      <c r="M763" t="inlineStr">
        <is>
          <t>09391819-6</t>
        </is>
      </c>
      <c r="N763" t="inlineStr">
        <is>
          <t>7415-9980</t>
        </is>
      </c>
      <c r="O763" t="inlineStr">
        <is>
          <t>Consumidor final</t>
        </is>
      </c>
      <c r="P763" t="inlineStr">
        <is>
          <t>CAF-002</t>
        </is>
      </c>
      <c r="Q763" t="inlineStr">
        <is>
          <t>Café en grano 1lb</t>
        </is>
      </c>
      <c r="R763" t="inlineStr">
        <is>
          <t>Abarrotes</t>
        </is>
      </c>
      <c r="S763" t="inlineStr">
        <is>
          <t>Café Volcán S.A.</t>
        </is>
      </c>
      <c r="T763" t="inlineStr">
        <is>
          <t>2510-3344</t>
        </is>
      </c>
      <c r="U763" t="inlineStr">
        <is>
          <t>$6.75</t>
        </is>
      </c>
      <c r="V763" t="n">
        <v>1</v>
      </c>
      <c r="W763" t="n">
        <v>0</v>
      </c>
      <c r="X763">
        <f>IFERROR(U763*V763*(1-W763/100),"")</f>
        <v/>
      </c>
      <c r="Y763">
        <f>IFERROR(ROUND(X763*0.13,2),"")</f>
        <v/>
      </c>
      <c r="Z763">
        <f>IFERROR(X763+Y763,"")</f>
        <v/>
      </c>
      <c r="AA763" t="inlineStr">
        <is>
          <t>Tarjeta</t>
        </is>
      </c>
      <c r="AB763" t="inlineStr"/>
    </row>
    <row r="764">
      <c r="A764" t="inlineStr">
        <is>
          <t>F-11072</t>
        </is>
      </c>
      <c r="B764" s="3" t="n">
        <v>46249</v>
      </c>
      <c r="C764" t="inlineStr">
        <is>
          <t>FCF</t>
        </is>
      </c>
      <c r="D764" t="inlineStr">
        <is>
          <t>SS02</t>
        </is>
      </c>
      <c r="E764" t="inlineStr">
        <is>
          <t>Escalón</t>
        </is>
      </c>
      <c r="F764" t="inlineStr">
        <is>
          <t>Paseo General Escalón #3910</t>
        </is>
      </c>
      <c r="G764" t="inlineStr">
        <is>
          <t>San Salvador</t>
        </is>
      </c>
      <c r="H764" t="inlineStr">
        <is>
          <t>San Salvador</t>
        </is>
      </c>
      <c r="I764" t="inlineStr">
        <is>
          <t>Claudia Menjívar</t>
        </is>
      </c>
      <c r="J764" t="inlineStr">
        <is>
          <t>2264-1190</t>
        </is>
      </c>
      <c r="K764" t="inlineStr">
        <is>
          <t>Kevin Benítez</t>
        </is>
      </c>
      <c r="L764" t="inlineStr">
        <is>
          <t>Héctor Hernández Quintanilla</t>
        </is>
      </c>
      <c r="M764" t="inlineStr">
        <is>
          <t>05302669-9</t>
        </is>
      </c>
      <c r="N764" t="inlineStr">
        <is>
          <t>2708-8580</t>
        </is>
      </c>
      <c r="O764" t="inlineStr">
        <is>
          <t>Consumidor final</t>
        </is>
      </c>
      <c r="P764" t="inlineStr">
        <is>
          <t>HIG-001</t>
        </is>
      </c>
      <c r="Q764" t="inlineStr">
        <is>
          <t>Detergente 1kg</t>
        </is>
      </c>
      <c r="R764" t="inlineStr">
        <is>
          <t>limpieza</t>
        </is>
      </c>
      <c r="S764" t="inlineStr">
        <is>
          <t>Higiene Total C.A.</t>
        </is>
      </c>
      <c r="T764" t="inlineStr">
        <is>
          <t>2207-5566</t>
        </is>
      </c>
      <c r="U764" t="n">
        <v>3.45</v>
      </c>
      <c r="V764" t="n">
        <v>2</v>
      </c>
      <c r="W764" t="n">
        <v>0</v>
      </c>
      <c r="X764">
        <f>IFERROR(U764*V764*(1-W764/100),"")</f>
        <v/>
      </c>
      <c r="Y764">
        <f>IFERROR(ROUND(X764*0.13,2),"")</f>
        <v/>
      </c>
      <c r="Z764">
        <f>IFERROR(X764+Y764,"")</f>
        <v/>
      </c>
      <c r="AA764" t="inlineStr">
        <is>
          <t>efectivo</t>
        </is>
      </c>
      <c r="AB764" t="inlineStr"/>
    </row>
    <row r="765">
      <c r="A765" t="inlineStr">
        <is>
          <t>F-11072</t>
        </is>
      </c>
      <c r="B765" s="3" t="n">
        <v>46249</v>
      </c>
      <c r="C765" t="inlineStr">
        <is>
          <t>FCF</t>
        </is>
      </c>
      <c r="D765" t="inlineStr">
        <is>
          <t>SS02</t>
        </is>
      </c>
      <c r="E765" t="inlineStr">
        <is>
          <t>Escalón</t>
        </is>
      </c>
      <c r="F765" t="inlineStr">
        <is>
          <t>Paseo General Escalón #3910</t>
        </is>
      </c>
      <c r="G765" t="inlineStr">
        <is>
          <t>San Salvador</t>
        </is>
      </c>
      <c r="H765" t="inlineStr">
        <is>
          <t>San Salvador</t>
        </is>
      </c>
      <c r="I765" t="inlineStr">
        <is>
          <t>Claudia Menjívar</t>
        </is>
      </c>
      <c r="J765" t="inlineStr">
        <is>
          <t>2264-1190</t>
        </is>
      </c>
      <c r="K765" t="inlineStr">
        <is>
          <t>Kevin Benítez</t>
        </is>
      </c>
      <c r="L765" t="inlineStr">
        <is>
          <t>Héctor Hernández Quintanilla</t>
        </is>
      </c>
      <c r="M765" t="inlineStr">
        <is>
          <t>05302669-9</t>
        </is>
      </c>
      <c r="N765" t="inlineStr">
        <is>
          <t>2708-8580</t>
        </is>
      </c>
      <c r="O765" t="inlineStr">
        <is>
          <t>Consumidor final</t>
        </is>
      </c>
      <c r="P765" t="inlineStr">
        <is>
          <t>FRI-001</t>
        </is>
      </c>
      <c r="Q765" t="inlineStr">
        <is>
          <t>Frijol rojo de seda 2lb</t>
        </is>
      </c>
      <c r="R765" t="inlineStr">
        <is>
          <t>Abarrotes</t>
        </is>
      </c>
      <c r="S765" t="inlineStr">
        <is>
          <t>Granos del Pacífico</t>
        </is>
      </c>
      <c r="T765" t="inlineStr">
        <is>
          <t>2234-8890</t>
        </is>
      </c>
      <c r="U765" t="n">
        <v>2.4</v>
      </c>
      <c r="V765" t="n">
        <v>2</v>
      </c>
      <c r="W765" t="n">
        <v>0</v>
      </c>
      <c r="X765">
        <f>IFERROR(U765*V765*(1-W765/100),"")</f>
        <v/>
      </c>
      <c r="Y765">
        <f>IFERROR(ROUND(X765*0.13,2),"")</f>
        <v/>
      </c>
      <c r="Z765">
        <f>IFERROR(X765+Y765,"")</f>
        <v/>
      </c>
      <c r="AA765" t="inlineStr">
        <is>
          <t>efectivo</t>
        </is>
      </c>
      <c r="AB765" t="inlineStr"/>
    </row>
    <row r="766">
      <c r="A766" t="inlineStr">
        <is>
          <t>F-11072</t>
        </is>
      </c>
      <c r="B766" s="3" t="n">
        <v>46249</v>
      </c>
      <c r="C766" t="inlineStr">
        <is>
          <t>FCF</t>
        </is>
      </c>
      <c r="D766" t="inlineStr">
        <is>
          <t>SS02</t>
        </is>
      </c>
      <c r="E766" t="inlineStr">
        <is>
          <t>Col. Escalón</t>
        </is>
      </c>
      <c r="F766" t="inlineStr">
        <is>
          <t>Paseo General Escalón #3910</t>
        </is>
      </c>
      <c r="G766" t="inlineStr">
        <is>
          <t>San Salvador</t>
        </is>
      </c>
      <c r="H766" t="inlineStr">
        <is>
          <t>San Salvador</t>
        </is>
      </c>
      <c r="I766" t="inlineStr">
        <is>
          <t>Claudia Menjívar</t>
        </is>
      </c>
      <c r="J766" t="inlineStr">
        <is>
          <t>2264-1190</t>
        </is>
      </c>
      <c r="K766" t="inlineStr">
        <is>
          <t>Kevin Benítez</t>
        </is>
      </c>
      <c r="L766" t="inlineStr">
        <is>
          <t>Héctor Hernández Quintanilla</t>
        </is>
      </c>
      <c r="M766" t="inlineStr"/>
      <c r="N766" t="inlineStr">
        <is>
          <t>2708-8580</t>
        </is>
      </c>
      <c r="O766" t="inlineStr">
        <is>
          <t>Consumidor final</t>
        </is>
      </c>
      <c r="P766" t="inlineStr">
        <is>
          <t>BEB-003</t>
        </is>
      </c>
      <c r="Q766" t="inlineStr">
        <is>
          <t>Horchata en polvo 400g</t>
        </is>
      </c>
      <c r="R766" t="inlineStr">
        <is>
          <t>Abarrotes</t>
        </is>
      </c>
      <c r="S766" t="inlineStr">
        <is>
          <t>Bebidas Izalco</t>
        </is>
      </c>
      <c r="T766" t="inlineStr">
        <is>
          <t>2450-7700</t>
        </is>
      </c>
      <c r="U766" t="inlineStr">
        <is>
          <t>$2.60</t>
        </is>
      </c>
      <c r="V766" t="n">
        <v>3</v>
      </c>
      <c r="W766" t="n">
        <v>0</v>
      </c>
      <c r="X766">
        <f>IFERROR(U766*V766*(1-W766/100),"")</f>
        <v/>
      </c>
      <c r="Y766">
        <f>IFERROR(ROUND(X766*0.13,2),"")</f>
        <v/>
      </c>
      <c r="Z766">
        <f>IFERROR(X766+Y766,"")</f>
        <v/>
      </c>
      <c r="AA766" t="inlineStr">
        <is>
          <t>efectivo</t>
        </is>
      </c>
      <c r="AB766" t="inlineStr"/>
    </row>
    <row r="767">
      <c r="A767" t="inlineStr">
        <is>
          <t>F-11074</t>
        </is>
      </c>
      <c r="B767" s="3" t="n">
        <v>46229</v>
      </c>
      <c r="C767" t="inlineStr">
        <is>
          <t>CCF</t>
        </is>
      </c>
      <c r="D767" t="inlineStr">
        <is>
          <t>SM01</t>
        </is>
      </c>
      <c r="E767" t="inlineStr">
        <is>
          <t>SAN MIGUEL</t>
        </is>
      </c>
      <c r="F767" t="inlineStr">
        <is>
          <t>Av. Roosevelt Sur #7</t>
        </is>
      </c>
      <c r="G767" t="inlineStr">
        <is>
          <t>San Miguel</t>
        </is>
      </c>
      <c r="H767" t="inlineStr">
        <is>
          <t>San Miguel</t>
        </is>
      </c>
      <c r="I767" t="inlineStr">
        <is>
          <t>Iris Portillo</t>
        </is>
      </c>
      <c r="J767" t="inlineStr">
        <is>
          <t>2661-5076</t>
        </is>
      </c>
      <c r="K767" t="inlineStr">
        <is>
          <t>Jorge Villalta</t>
        </is>
      </c>
      <c r="L767" t="inlineStr">
        <is>
          <t>Restaurante El Guanaco</t>
        </is>
      </c>
      <c r="M767" t="inlineStr">
        <is>
          <t>168675-3</t>
        </is>
      </c>
      <c r="N767" t="inlineStr">
        <is>
          <t>6165-7029</t>
        </is>
      </c>
      <c r="O767" t="inlineStr">
        <is>
          <t>Contribuyente</t>
        </is>
      </c>
      <c r="P767" t="inlineStr">
        <is>
          <t>PAN-002</t>
        </is>
      </c>
      <c r="Q767" t="inlineStr">
        <is>
          <t>Semita alta</t>
        </is>
      </c>
      <c r="R767" t="inlineStr">
        <is>
          <t>Panadería</t>
        </is>
      </c>
      <c r="S767" t="inlineStr">
        <is>
          <t>Panificadora Ilopango</t>
        </is>
      </c>
      <c r="T767" t="inlineStr">
        <is>
          <t>2295-0081</t>
        </is>
      </c>
      <c r="U767" t="n">
        <v>1.75</v>
      </c>
      <c r="V767" t="n">
        <v>3</v>
      </c>
      <c r="W767" t="n">
        <v>0</v>
      </c>
      <c r="X767">
        <f>IFERROR(U767*V767*(1-W767/100),"")</f>
        <v/>
      </c>
      <c r="Y767">
        <f>IFERROR(ROUND(X767*0.13,2),"")</f>
        <v/>
      </c>
      <c r="Z767">
        <f>IFERROR(X767+Y767,"")</f>
        <v/>
      </c>
      <c r="AA767" t="inlineStr">
        <is>
          <t>Efectivo</t>
        </is>
      </c>
      <c r="AB767" t="inlineStr"/>
    </row>
    <row r="768">
      <c r="A768" t="inlineStr">
        <is>
          <t>F-11074</t>
        </is>
      </c>
      <c r="B768" t="inlineStr">
        <is>
          <t>26/07/2026</t>
        </is>
      </c>
      <c r="C768" t="inlineStr">
        <is>
          <t>CCF</t>
        </is>
      </c>
      <c r="D768" t="inlineStr">
        <is>
          <t>SM01</t>
        </is>
      </c>
      <c r="E768" t="inlineStr">
        <is>
          <t>SAN MIGUEL</t>
        </is>
      </c>
      <c r="F768" t="inlineStr">
        <is>
          <t>Av. Roosevelt Sur #7</t>
        </is>
      </c>
      <c r="G768" t="inlineStr">
        <is>
          <t>San Miguel</t>
        </is>
      </c>
      <c r="H768" t="inlineStr">
        <is>
          <t>San Miguel</t>
        </is>
      </c>
      <c r="I768" t="inlineStr">
        <is>
          <t>Iris Portillo</t>
        </is>
      </c>
      <c r="J768" t="inlineStr">
        <is>
          <t>2661-5076</t>
        </is>
      </c>
      <c r="K768" t="inlineStr">
        <is>
          <t>Jorge Villalta</t>
        </is>
      </c>
      <c r="L768" t="inlineStr">
        <is>
          <t>Restaurante El Guanaco</t>
        </is>
      </c>
      <c r="M768" t="inlineStr">
        <is>
          <t>168675-3</t>
        </is>
      </c>
      <c r="N768" t="inlineStr">
        <is>
          <t>6165-7029</t>
        </is>
      </c>
      <c r="O768" t="inlineStr">
        <is>
          <t>Contribuyente</t>
        </is>
      </c>
      <c r="P768" t="inlineStr">
        <is>
          <t>BEB-002</t>
        </is>
      </c>
      <c r="Q768" t="inlineStr">
        <is>
          <t>Agua purificada 1 galón</t>
        </is>
      </c>
      <c r="R768" t="inlineStr">
        <is>
          <t>Bebidas</t>
        </is>
      </c>
      <c r="S768" t="inlineStr">
        <is>
          <t>Bebidas Izalco</t>
        </is>
      </c>
      <c r="T768" t="inlineStr">
        <is>
          <t>2450-7700</t>
        </is>
      </c>
      <c r="U768" t="n">
        <v>1.1</v>
      </c>
      <c r="V768" t="n">
        <v>2</v>
      </c>
      <c r="W768" t="n">
        <v>0</v>
      </c>
      <c r="X768">
        <f>IFERROR(U768*V768*(1-W768/100),"")</f>
        <v/>
      </c>
      <c r="Y768">
        <f>IFERROR(ROUND(X768*0.13,2),"")</f>
        <v/>
      </c>
      <c r="Z768">
        <f>IFERROR(X768+Y768,"")</f>
        <v/>
      </c>
      <c r="AA768" t="inlineStr">
        <is>
          <t>Efectivo</t>
        </is>
      </c>
      <c r="AB768" t="inlineStr">
        <is>
          <t>precio especial autorizado por gerente</t>
        </is>
      </c>
    </row>
    <row r="769">
      <c r="A769" t="inlineStr">
        <is>
          <t>F-11074</t>
        </is>
      </c>
      <c r="B769" s="3" t="n">
        <v>46229</v>
      </c>
      <c r="C769" t="inlineStr">
        <is>
          <t>CCF</t>
        </is>
      </c>
      <c r="D769" t="inlineStr">
        <is>
          <t>SM01</t>
        </is>
      </c>
      <c r="E769" t="inlineStr">
        <is>
          <t>S. Miguel</t>
        </is>
      </c>
      <c r="F769" t="inlineStr">
        <is>
          <t>Av. Roosevelt Sur #7</t>
        </is>
      </c>
      <c r="G769" t="inlineStr">
        <is>
          <t>San Miguel</t>
        </is>
      </c>
      <c r="H769" t="inlineStr">
        <is>
          <t>San Miguel</t>
        </is>
      </c>
      <c r="I769" t="inlineStr">
        <is>
          <t>Iris Portillo</t>
        </is>
      </c>
      <c r="J769" t="inlineStr">
        <is>
          <t>2661-5076</t>
        </is>
      </c>
      <c r="K769" t="inlineStr">
        <is>
          <t>Jorge Villalta</t>
        </is>
      </c>
      <c r="L769" t="inlineStr">
        <is>
          <t>Restaurante El Guanaco</t>
        </is>
      </c>
      <c r="M769" t="inlineStr">
        <is>
          <t>168675-3</t>
        </is>
      </c>
      <c r="N769" t="inlineStr">
        <is>
          <t>6165-7029</t>
        </is>
      </c>
      <c r="O769" t="inlineStr">
        <is>
          <t>Contribuyente</t>
        </is>
      </c>
      <c r="P769" t="inlineStr">
        <is>
          <t>LAC-001</t>
        </is>
      </c>
      <c r="Q769" t="inlineStr">
        <is>
          <t>Quesillo 1lb</t>
        </is>
      </c>
      <c r="R769" t="inlineStr">
        <is>
          <t>LACTEOS</t>
        </is>
      </c>
      <c r="S769" t="inlineStr">
        <is>
          <t>Lácteos Chalate</t>
        </is>
      </c>
      <c r="T769" t="inlineStr">
        <is>
          <t>2335-1020</t>
        </is>
      </c>
      <c r="U769" t="n">
        <v>3.8</v>
      </c>
      <c r="V769" t="n">
        <v>1</v>
      </c>
      <c r="W769" t="n">
        <v>10</v>
      </c>
      <c r="X769">
        <f>IFERROR(U769*V769*(1-W769/100),"")</f>
        <v/>
      </c>
      <c r="Y769">
        <f>IFERROR(ROUND(X769*0.13,2),"")</f>
        <v/>
      </c>
      <c r="Z769">
        <f>IFERROR(X769+Y769,"")</f>
        <v/>
      </c>
      <c r="AA769" t="inlineStr">
        <is>
          <t>Efectivo</t>
        </is>
      </c>
      <c r="AB769" t="inlineStr"/>
    </row>
    <row r="770">
      <c r="A770" t="inlineStr">
        <is>
          <t>F-11074</t>
        </is>
      </c>
      <c r="B770" s="3" t="n">
        <v>46229</v>
      </c>
      <c r="C770" t="inlineStr">
        <is>
          <t>CCF</t>
        </is>
      </c>
      <c r="D770" t="inlineStr">
        <is>
          <t>SM01</t>
        </is>
      </c>
      <c r="E770" t="inlineStr">
        <is>
          <t>San Miguel</t>
        </is>
      </c>
      <c r="F770" t="inlineStr">
        <is>
          <t>Av. Roosevelt Sur #7</t>
        </is>
      </c>
      <c r="G770" t="inlineStr">
        <is>
          <t>San Miguel</t>
        </is>
      </c>
      <c r="H770" t="inlineStr">
        <is>
          <t>San Miguel</t>
        </is>
      </c>
      <c r="I770" t="inlineStr">
        <is>
          <t>Iris Portillo</t>
        </is>
      </c>
      <c r="J770" t="inlineStr">
        <is>
          <t>2661-5076</t>
        </is>
      </c>
      <c r="K770" t="inlineStr">
        <is>
          <t>Jorge Villalta</t>
        </is>
      </c>
      <c r="L770" t="inlineStr">
        <is>
          <t>Restaurante El Guanaco</t>
        </is>
      </c>
      <c r="M770" t="inlineStr">
        <is>
          <t>168675-3</t>
        </is>
      </c>
      <c r="N770" t="inlineStr">
        <is>
          <t>6165-7029</t>
        </is>
      </c>
      <c r="O770" t="inlineStr">
        <is>
          <t>Contribuyente</t>
        </is>
      </c>
      <c r="P770" t="inlineStr">
        <is>
          <t>LAC-003</t>
        </is>
      </c>
      <c r="Q770" t="inlineStr">
        <is>
          <t>Leche entera 1L</t>
        </is>
      </c>
      <c r="R770" t="inlineStr">
        <is>
          <t>Lácteos</t>
        </is>
      </c>
      <c r="S770" t="inlineStr">
        <is>
          <t>Lácteos Chalate</t>
        </is>
      </c>
      <c r="T770" t="inlineStr">
        <is>
          <t>2335-1020</t>
        </is>
      </c>
      <c r="U770" t="n">
        <v>1.2</v>
      </c>
      <c r="V770" t="n">
        <v>2</v>
      </c>
      <c r="W770" t="n">
        <v>5</v>
      </c>
      <c r="X770">
        <f>IFERROR(U770*V770*(1-W770/100),"")</f>
        <v/>
      </c>
      <c r="Y770">
        <f>IFERROR(ROUND(X770*0.13,2),"")</f>
        <v/>
      </c>
      <c r="Z770">
        <f>IFERROR(X770+Y770,"")</f>
        <v/>
      </c>
      <c r="AA770" t="inlineStr">
        <is>
          <t>Efectivo</t>
        </is>
      </c>
      <c r="AB770" t="inlineStr"/>
    </row>
    <row r="771">
      <c r="A771" t="inlineStr">
        <is>
          <t>F-11075</t>
        </is>
      </c>
      <c r="B771" s="3" t="n">
        <v>46225</v>
      </c>
      <c r="C771" t="inlineStr">
        <is>
          <t>Factura</t>
        </is>
      </c>
      <c r="D771" t="inlineStr">
        <is>
          <t>SA01</t>
        </is>
      </c>
      <c r="E771" t="inlineStr">
        <is>
          <t>Santa  Ana</t>
        </is>
      </c>
      <c r="F771" t="inlineStr">
        <is>
          <t>Av. Independencia Sur #12</t>
        </is>
      </c>
      <c r="G771" t="inlineStr">
        <is>
          <t>Santa Ana</t>
        </is>
      </c>
      <c r="H771" t="inlineStr">
        <is>
          <t>Santa Ana</t>
        </is>
      </c>
      <c r="I771" t="inlineStr">
        <is>
          <t>Mauricio Linares</t>
        </is>
      </c>
      <c r="J771" t="inlineStr">
        <is>
          <t>2440-9921</t>
        </is>
      </c>
      <c r="K771" t="inlineStr">
        <is>
          <t>Sofía Cáceres</t>
        </is>
      </c>
      <c r="L771" t="inlineStr">
        <is>
          <t>Luis Alvarado Flores</t>
        </is>
      </c>
      <c r="M771" t="inlineStr">
        <is>
          <t>04419851-7</t>
        </is>
      </c>
      <c r="N771" t="inlineStr">
        <is>
          <t>6898-7811</t>
        </is>
      </c>
      <c r="O771" t="inlineStr">
        <is>
          <t>Consumidor final</t>
        </is>
      </c>
      <c r="P771" t="inlineStr">
        <is>
          <t>CAF-001</t>
        </is>
      </c>
      <c r="Q771" t="inlineStr">
        <is>
          <t>Café molido 400g</t>
        </is>
      </c>
      <c r="R771" t="inlineStr">
        <is>
          <t>ABARROTES</t>
        </is>
      </c>
      <c r="S771" t="inlineStr">
        <is>
          <t>Café Volcán S.A.</t>
        </is>
      </c>
      <c r="T771" t="inlineStr">
        <is>
          <t>2510-3344</t>
        </is>
      </c>
      <c r="U771" t="n">
        <v>4.25</v>
      </c>
      <c r="V771" t="n">
        <v>4</v>
      </c>
      <c r="W771" t="n">
        <v>0</v>
      </c>
      <c r="X771">
        <f>IFERROR(U771*V771*(1-W771/100),"")</f>
        <v/>
      </c>
      <c r="Y771">
        <f>IFERROR(ROUND(X771*0.13,2),"")</f>
        <v/>
      </c>
      <c r="Z771">
        <f>IFERROR(X771+Y771,"")</f>
        <v/>
      </c>
      <c r="AA771" t="inlineStr">
        <is>
          <t>Efectivo</t>
        </is>
      </c>
      <c r="AB771" t="inlineStr"/>
    </row>
    <row r="772">
      <c r="A772" t="inlineStr">
        <is>
          <t>F-11075</t>
        </is>
      </c>
      <c r="B772" s="3" t="n">
        <v>46225</v>
      </c>
      <c r="C772" t="inlineStr">
        <is>
          <t>Factura</t>
        </is>
      </c>
      <c r="D772" t="inlineStr">
        <is>
          <t>SA01</t>
        </is>
      </c>
      <c r="E772" t="inlineStr">
        <is>
          <t>STA ANA</t>
        </is>
      </c>
      <c r="F772" t="inlineStr">
        <is>
          <t>Av. Independencia Sur #12</t>
        </is>
      </c>
      <c r="G772" t="inlineStr">
        <is>
          <t>Santa Ana</t>
        </is>
      </c>
      <c r="H772" t="inlineStr">
        <is>
          <t>Santa Ana</t>
        </is>
      </c>
      <c r="I772" t="inlineStr">
        <is>
          <t>Mauricio Linares</t>
        </is>
      </c>
      <c r="J772" t="inlineStr">
        <is>
          <t>2440-9921</t>
        </is>
      </c>
      <c r="K772" t="inlineStr">
        <is>
          <t>Sofía Cáceres</t>
        </is>
      </c>
      <c r="L772" t="inlineStr">
        <is>
          <t>LUIS ALVARADO FLORES</t>
        </is>
      </c>
      <c r="M772" t="inlineStr">
        <is>
          <t>04419851-7</t>
        </is>
      </c>
      <c r="N772" t="inlineStr">
        <is>
          <t>6898-7811</t>
        </is>
      </c>
      <c r="O772" t="inlineStr">
        <is>
          <t>Consumidor final</t>
        </is>
      </c>
      <c r="P772" t="inlineStr">
        <is>
          <t>LAC-003</t>
        </is>
      </c>
      <c r="Q772" t="inlineStr">
        <is>
          <t>Leche entera 1L</t>
        </is>
      </c>
      <c r="R772" t="inlineStr">
        <is>
          <t>Lácteos</t>
        </is>
      </c>
      <c r="S772" t="inlineStr">
        <is>
          <t>Lácteos Chalate</t>
        </is>
      </c>
      <c r="T772" t="inlineStr">
        <is>
          <t>7120-4455</t>
        </is>
      </c>
      <c r="U772" t="inlineStr">
        <is>
          <t>1,20</t>
        </is>
      </c>
      <c r="V772" t="n">
        <v>1</v>
      </c>
      <c r="W772" t="n">
        <v>0</v>
      </c>
      <c r="X772">
        <f>IFERROR(U772*V772*(1-W772/100),"")</f>
        <v/>
      </c>
      <c r="Y772">
        <f>IFERROR(ROUND(X772*0.13,2),"")</f>
        <v/>
      </c>
      <c r="Z772">
        <f>IFERROR(X772+Y772,"")</f>
        <v/>
      </c>
      <c r="AA772" t="inlineStr">
        <is>
          <t>Efectivo</t>
        </is>
      </c>
      <c r="AB772" t="inlineStr">
        <is>
          <t>pagó con billete de $100</t>
        </is>
      </c>
    </row>
    <row r="773">
      <c r="A773" t="inlineStr">
        <is>
          <t>F-11075</t>
        </is>
      </c>
      <c r="B773" s="4" t="n">
        <v>46225</v>
      </c>
      <c r="C773" t="inlineStr">
        <is>
          <t>Factura</t>
        </is>
      </c>
      <c r="D773" t="inlineStr">
        <is>
          <t>SA01</t>
        </is>
      </c>
      <c r="E773" t="inlineStr">
        <is>
          <t>STA ANA</t>
        </is>
      </c>
      <c r="F773" t="inlineStr">
        <is>
          <t>Av. Independencia Sur #12</t>
        </is>
      </c>
      <c r="G773" t="inlineStr">
        <is>
          <t>Santa Ana</t>
        </is>
      </c>
      <c r="H773" t="inlineStr">
        <is>
          <t>Santa Ana</t>
        </is>
      </c>
      <c r="I773" t="inlineStr">
        <is>
          <t>Mauricio Linares</t>
        </is>
      </c>
      <c r="J773" t="inlineStr">
        <is>
          <t>2440-9921</t>
        </is>
      </c>
      <c r="K773" t="inlineStr">
        <is>
          <t>Sofía Cáceres</t>
        </is>
      </c>
      <c r="L773" t="inlineStr">
        <is>
          <t>LUIS ALVARADO FLORES</t>
        </is>
      </c>
      <c r="M773" t="inlineStr">
        <is>
          <t>04419851-7</t>
        </is>
      </c>
      <c r="N773" t="inlineStr">
        <is>
          <t>6898-7811</t>
        </is>
      </c>
      <c r="O773" t="inlineStr">
        <is>
          <t>Consumidor final</t>
        </is>
      </c>
      <c r="P773" t="inlineStr">
        <is>
          <t>LAC-003</t>
        </is>
      </c>
      <c r="Q773" t="inlineStr">
        <is>
          <t>Leche entera 1L</t>
        </is>
      </c>
      <c r="R773" t="inlineStr">
        <is>
          <t>Lácteos</t>
        </is>
      </c>
      <c r="S773" t="inlineStr">
        <is>
          <t>Lácteos Chalate</t>
        </is>
      </c>
      <c r="T773" t="inlineStr">
        <is>
          <t>7120-4455</t>
        </is>
      </c>
      <c r="U773" t="inlineStr">
        <is>
          <t>1,20</t>
        </is>
      </c>
      <c r="V773" t="n">
        <v>1</v>
      </c>
      <c r="W773" t="n">
        <v>0</v>
      </c>
      <c r="X773">
        <f>IFERROR(U773*V773*(1-W773/100),"")</f>
        <v/>
      </c>
      <c r="Y773">
        <f>IFERROR(ROUND(X773*0.13,2),"")</f>
        <v/>
      </c>
      <c r="Z773">
        <f>IFERROR(X773+Y773,"")</f>
        <v/>
      </c>
      <c r="AA773" t="inlineStr">
        <is>
          <t>Efectivo</t>
        </is>
      </c>
      <c r="AB773" t="inlineStr">
        <is>
          <t>pagó con billete de $100</t>
        </is>
      </c>
    </row>
    <row r="774">
      <c r="A774" t="inlineStr">
        <is>
          <t>F-11075</t>
        </is>
      </c>
      <c r="B774" s="3" t="n">
        <v>46225</v>
      </c>
      <c r="C774" t="inlineStr">
        <is>
          <t>Factura</t>
        </is>
      </c>
      <c r="D774" t="inlineStr">
        <is>
          <t>SA01</t>
        </is>
      </c>
      <c r="E774" t="inlineStr">
        <is>
          <t>STA ANA</t>
        </is>
      </c>
      <c r="F774" t="inlineStr">
        <is>
          <t>Av. Independencia Sur #12</t>
        </is>
      </c>
      <c r="G774" t="inlineStr">
        <is>
          <t>Santa Ana</t>
        </is>
      </c>
      <c r="H774" t="inlineStr">
        <is>
          <t>Santa Ana</t>
        </is>
      </c>
      <c r="I774" t="inlineStr">
        <is>
          <t>Mauricio Linares</t>
        </is>
      </c>
      <c r="J774" t="inlineStr">
        <is>
          <t>2440-9921</t>
        </is>
      </c>
      <c r="K774" t="inlineStr">
        <is>
          <t>Sofía Cáceres</t>
        </is>
      </c>
      <c r="L774" t="inlineStr">
        <is>
          <t>Luis Alvarado Flores</t>
        </is>
      </c>
      <c r="M774" t="inlineStr">
        <is>
          <t>04419851-7</t>
        </is>
      </c>
      <c r="N774" t="inlineStr">
        <is>
          <t>6898-7811</t>
        </is>
      </c>
      <c r="O774" t="inlineStr">
        <is>
          <t>Consumidor final</t>
        </is>
      </c>
      <c r="P774" t="inlineStr">
        <is>
          <t>CAF-002</t>
        </is>
      </c>
      <c r="Q774" t="inlineStr">
        <is>
          <t>Café en grano 1lb</t>
        </is>
      </c>
      <c r="R774" t="inlineStr">
        <is>
          <t>Abarrotes</t>
        </is>
      </c>
      <c r="S774" t="inlineStr">
        <is>
          <t>Café Volcán S.A.</t>
        </is>
      </c>
      <c r="T774" t="inlineStr">
        <is>
          <t>2510-3344</t>
        </is>
      </c>
      <c r="U774" t="n">
        <v>6.75</v>
      </c>
      <c r="V774" t="n">
        <v>24</v>
      </c>
      <c r="W774" t="n">
        <v>0</v>
      </c>
      <c r="X774">
        <f>IFERROR(U774*V774*(1-W774/100),"")</f>
        <v/>
      </c>
      <c r="Y774">
        <f>IFERROR(ROUND(X774*0.13,2),"")</f>
        <v/>
      </c>
      <c r="Z774">
        <f>IFERROR(X774+Y774,"")</f>
        <v/>
      </c>
      <c r="AA774" t="inlineStr">
        <is>
          <t>Efectivo</t>
        </is>
      </c>
      <c r="AB774" t="inlineStr">
        <is>
          <t>Cliente frecuente</t>
        </is>
      </c>
    </row>
    <row r="775">
      <c r="A775" t="inlineStr">
        <is>
          <t>F-11075</t>
        </is>
      </c>
      <c r="B775" s="3" t="n">
        <v>46225</v>
      </c>
      <c r="C775" t="inlineStr">
        <is>
          <t>Factura</t>
        </is>
      </c>
      <c r="D775" t="inlineStr">
        <is>
          <t>SA01</t>
        </is>
      </c>
      <c r="E775" t="inlineStr">
        <is>
          <t>STA ANA</t>
        </is>
      </c>
      <c r="F775" t="inlineStr">
        <is>
          <t>Av. Independencia Sur #12</t>
        </is>
      </c>
      <c r="G775" t="inlineStr">
        <is>
          <t>Santa Ana</t>
        </is>
      </c>
      <c r="H775" t="inlineStr">
        <is>
          <t>Santa Ana</t>
        </is>
      </c>
      <c r="I775" t="inlineStr">
        <is>
          <t>Mauricio Linares</t>
        </is>
      </c>
      <c r="J775" t="inlineStr">
        <is>
          <t>2440-9921</t>
        </is>
      </c>
      <c r="K775" t="inlineStr">
        <is>
          <t>Sofía Cáceres</t>
        </is>
      </c>
      <c r="L775" t="inlineStr">
        <is>
          <t>Luis Alvarado Flores</t>
        </is>
      </c>
      <c r="M775" t="inlineStr">
        <is>
          <t>04419851-7</t>
        </is>
      </c>
      <c r="N775" t="inlineStr">
        <is>
          <t>6898-7811</t>
        </is>
      </c>
      <c r="O775" t="inlineStr">
        <is>
          <t>Consumidor final</t>
        </is>
      </c>
      <c r="P775" t="inlineStr">
        <is>
          <t>BEB-003</t>
        </is>
      </c>
      <c r="Q775" t="inlineStr">
        <is>
          <t>Horchata en polvo 400g</t>
        </is>
      </c>
      <c r="R775" t="inlineStr">
        <is>
          <t>Abarrotes</t>
        </is>
      </c>
      <c r="S775" t="inlineStr">
        <is>
          <t>Bebidas Izalco</t>
        </is>
      </c>
      <c r="T775" t="inlineStr">
        <is>
          <t>2450-7700</t>
        </is>
      </c>
      <c r="U775" t="n">
        <v>2.6</v>
      </c>
      <c r="V775" t="n">
        <v>1</v>
      </c>
      <c r="W775" t="n">
        <v>0</v>
      </c>
      <c r="X775">
        <f>IFERROR(U775*V775*(1-W775/100),"")</f>
        <v/>
      </c>
      <c r="Y775">
        <f>IFERROR(ROUND(X775*0.13,2),"")</f>
        <v/>
      </c>
      <c r="Z775">
        <f>IFERROR(X775+Y775,"")</f>
        <v/>
      </c>
      <c r="AA775" t="inlineStr">
        <is>
          <t>Efectivo</t>
        </is>
      </c>
      <c r="AB775" t="inlineStr">
        <is>
          <t>Llamar al 7788-1234 antes de entregar</t>
        </is>
      </c>
    </row>
    <row r="776">
      <c r="A776" t="inlineStr">
        <is>
          <t>F-11078</t>
        </is>
      </c>
      <c r="B776" s="3" t="n">
        <v>46218</v>
      </c>
      <c r="C776" t="inlineStr">
        <is>
          <t>FCF</t>
        </is>
      </c>
      <c r="D776" t="inlineStr">
        <is>
          <t>SM01</t>
        </is>
      </c>
      <c r="E776" t="inlineStr">
        <is>
          <t>San Miguel</t>
        </is>
      </c>
      <c r="F776" t="inlineStr">
        <is>
          <t>Av. Roosevelt Sur #7</t>
        </is>
      </c>
      <c r="G776" t="inlineStr">
        <is>
          <t>San Miguel</t>
        </is>
      </c>
      <c r="H776" t="inlineStr">
        <is>
          <t>San Miguel</t>
        </is>
      </c>
      <c r="I776" t="inlineStr">
        <is>
          <t>Iris Portillo</t>
        </is>
      </c>
      <c r="J776" t="inlineStr">
        <is>
          <t>2661-5076</t>
        </is>
      </c>
      <c r="K776" t="inlineStr">
        <is>
          <t>Paola Cruz</t>
        </is>
      </c>
      <c r="L776" t="inlineStr">
        <is>
          <t>Brenda Castillo Sorto</t>
        </is>
      </c>
      <c r="M776" t="inlineStr">
        <is>
          <t>09144591-2</t>
        </is>
      </c>
      <c r="N776" t="inlineStr">
        <is>
          <t>2460-3568</t>
        </is>
      </c>
      <c r="O776" t="inlineStr">
        <is>
          <t>Consumidor final</t>
        </is>
      </c>
      <c r="P776" t="inlineStr">
        <is>
          <t>LAC-003</t>
        </is>
      </c>
      <c r="Q776" t="inlineStr">
        <is>
          <t>Leche entera 1L</t>
        </is>
      </c>
      <c r="R776" t="inlineStr">
        <is>
          <t>Lácteos</t>
        </is>
      </c>
      <c r="S776" t="inlineStr">
        <is>
          <t>Lácteos Chalate</t>
        </is>
      </c>
      <c r="T776" t="inlineStr">
        <is>
          <t>2335-1020</t>
        </is>
      </c>
      <c r="U776" t="n">
        <v>1.2</v>
      </c>
      <c r="V776" t="n">
        <v>12</v>
      </c>
      <c r="W776" t="n">
        <v>0</v>
      </c>
      <c r="X776">
        <f>IFERROR(U776*V776*(1-W776/100),"")</f>
        <v/>
      </c>
      <c r="Y776">
        <f>IFERROR(ROUND(X776*0.13,2),"")</f>
        <v/>
      </c>
      <c r="Z776">
        <f>IFERROR(X776+Y776,"")</f>
        <v/>
      </c>
      <c r="AA776" t="inlineStr">
        <is>
          <t>Transferencia</t>
        </is>
      </c>
      <c r="AB776" t="inlineStr">
        <is>
          <t>precio especial autorizado por gerente</t>
        </is>
      </c>
    </row>
    <row r="777">
      <c r="A777" t="inlineStr">
        <is>
          <t>F-11078</t>
        </is>
      </c>
      <c r="B777" s="3" t="n">
        <v>46218</v>
      </c>
      <c r="C777" t="inlineStr">
        <is>
          <t>FCF</t>
        </is>
      </c>
      <c r="D777" t="inlineStr">
        <is>
          <t>SM01</t>
        </is>
      </c>
      <c r="E777" t="inlineStr">
        <is>
          <t>SAN MIGUEL</t>
        </is>
      </c>
      <c r="F777" t="inlineStr">
        <is>
          <t>Av. Roosevelt Sur #7</t>
        </is>
      </c>
      <c r="G777" t="inlineStr">
        <is>
          <t>San Miguel</t>
        </is>
      </c>
      <c r="H777" t="inlineStr">
        <is>
          <t>San Miguel</t>
        </is>
      </c>
      <c r="I777" t="inlineStr">
        <is>
          <t>Iris Portillo</t>
        </is>
      </c>
      <c r="J777" t="inlineStr">
        <is>
          <t>2661-5076</t>
        </is>
      </c>
      <c r="K777" t="inlineStr">
        <is>
          <t>Paola Cruz</t>
        </is>
      </c>
      <c r="L777" t="inlineStr">
        <is>
          <t>Brenda Castillo Sorto</t>
        </is>
      </c>
      <c r="M777" t="inlineStr">
        <is>
          <t>09144591-2</t>
        </is>
      </c>
      <c r="N777" t="inlineStr">
        <is>
          <t>2460-3568</t>
        </is>
      </c>
      <c r="O777" t="inlineStr">
        <is>
          <t>Consumidor final</t>
        </is>
      </c>
      <c r="P777" t="inlineStr">
        <is>
          <t>FRI-001</t>
        </is>
      </c>
      <c r="Q777" t="inlineStr">
        <is>
          <t>Frijol rojo de seda 2lb</t>
        </is>
      </c>
      <c r="R777" t="inlineStr">
        <is>
          <t>Granos básicos</t>
        </is>
      </c>
      <c r="S777" t="inlineStr">
        <is>
          <t>Granos del Pacífico</t>
        </is>
      </c>
      <c r="T777" t="inlineStr">
        <is>
          <t>2234-8890</t>
        </is>
      </c>
      <c r="U777" t="inlineStr">
        <is>
          <t>2,40</t>
        </is>
      </c>
      <c r="V777" t="n">
        <v>1</v>
      </c>
      <c r="W777" t="n">
        <v>0</v>
      </c>
      <c r="X777">
        <f>IFERROR(U777*V777*(1-W777/100),"")</f>
        <v/>
      </c>
      <c r="Y777">
        <f>IFERROR(ROUND(X777*0.13,2),"")</f>
        <v/>
      </c>
      <c r="Z777">
        <f>IFERROR(X777+Y777,"")</f>
        <v/>
      </c>
      <c r="AA777" t="inlineStr">
        <is>
          <t>Transferencia</t>
        </is>
      </c>
      <c r="AB777" t="inlineStr"/>
    </row>
    <row r="778">
      <c r="A778" t="inlineStr">
        <is>
          <t>F-11080</t>
        </is>
      </c>
      <c r="B778" s="3" t="n">
        <v>46263</v>
      </c>
      <c r="C778" t="inlineStr">
        <is>
          <t>CCF</t>
        </is>
      </c>
      <c r="D778" t="inlineStr">
        <is>
          <t>SS02</t>
        </is>
      </c>
      <c r="E778" t="inlineStr">
        <is>
          <t>Escalón</t>
        </is>
      </c>
      <c r="F778" t="inlineStr">
        <is>
          <t>Paseo General Escalón #3910</t>
        </is>
      </c>
      <c r="G778" t="inlineStr">
        <is>
          <t>San Salvador</t>
        </is>
      </c>
      <c r="H778" t="inlineStr">
        <is>
          <t>San Salvador</t>
        </is>
      </c>
      <c r="I778" t="inlineStr">
        <is>
          <t>Claudia Menjívar</t>
        </is>
      </c>
      <c r="J778" t="inlineStr">
        <is>
          <t>2264-1190</t>
        </is>
      </c>
      <c r="K778" t="inlineStr">
        <is>
          <t>Fátima Rosales</t>
        </is>
      </c>
      <c r="L778" t="inlineStr">
        <is>
          <t>Restaurante El Guanaco</t>
        </is>
      </c>
      <c r="M778" t="inlineStr">
        <is>
          <t>168675-3</t>
        </is>
      </c>
      <c r="N778" t="inlineStr">
        <is>
          <t>6165-7029</t>
        </is>
      </c>
      <c r="O778" t="inlineStr">
        <is>
          <t>Contribuyente</t>
        </is>
      </c>
      <c r="P778" t="inlineStr">
        <is>
          <t>CAF-002</t>
        </is>
      </c>
      <c r="Q778" t="inlineStr">
        <is>
          <t>Café en grano 1lb</t>
        </is>
      </c>
      <c r="R778" t="inlineStr">
        <is>
          <t>Abarrotes</t>
        </is>
      </c>
      <c r="S778" t="inlineStr">
        <is>
          <t>Café Volcán S.A.</t>
        </is>
      </c>
      <c r="T778" t="inlineStr">
        <is>
          <t>2510-3344</t>
        </is>
      </c>
      <c r="U778" t="n">
        <v>6.75</v>
      </c>
      <c r="V778" t="n">
        <v>1</v>
      </c>
      <c r="W778" t="n">
        <v>0</v>
      </c>
      <c r="X778">
        <f>IFERROR(U778*V778*(1-W778/100),"")</f>
        <v/>
      </c>
      <c r="Y778">
        <f>IFERROR(ROUND(X778*0.13,2),"")</f>
        <v/>
      </c>
      <c r="Z778">
        <f>IFERROR(X778+Y778,"")</f>
        <v/>
      </c>
      <c r="AA778" t="inlineStr">
        <is>
          <t>Efectivo</t>
        </is>
      </c>
      <c r="AB778" t="inlineStr">
        <is>
          <t>entregar en bodega</t>
        </is>
      </c>
    </row>
    <row r="779">
      <c r="A779" t="inlineStr">
        <is>
          <t>F-11080</t>
        </is>
      </c>
      <c r="B779" s="3" t="n">
        <v>46263</v>
      </c>
      <c r="C779" t="inlineStr">
        <is>
          <t>CCF</t>
        </is>
      </c>
      <c r="D779" t="inlineStr">
        <is>
          <t>SS02</t>
        </is>
      </c>
      <c r="E779" t="inlineStr">
        <is>
          <t>Escalon</t>
        </is>
      </c>
      <c r="F779" t="inlineStr">
        <is>
          <t>Paseo General Escalón #3910</t>
        </is>
      </c>
      <c r="G779" t="inlineStr">
        <is>
          <t>San Salvador</t>
        </is>
      </c>
      <c r="H779" t="inlineStr">
        <is>
          <t>San Salvador</t>
        </is>
      </c>
      <c r="I779" t="inlineStr">
        <is>
          <t>Claudia Menjívar</t>
        </is>
      </c>
      <c r="J779" t="inlineStr">
        <is>
          <t>2264-1190</t>
        </is>
      </c>
      <c r="K779" t="inlineStr">
        <is>
          <t>Fátima Rosales</t>
        </is>
      </c>
      <c r="L779" t="inlineStr">
        <is>
          <t>Restaurante El Guanaco</t>
        </is>
      </c>
      <c r="M779" t="inlineStr">
        <is>
          <t>168675-3</t>
        </is>
      </c>
      <c r="N779" t="inlineStr">
        <is>
          <t>6165-7029</t>
        </is>
      </c>
      <c r="O779" t="inlineStr">
        <is>
          <t>Contribuyente</t>
        </is>
      </c>
      <c r="P779" t="inlineStr">
        <is>
          <t>HIG-002</t>
        </is>
      </c>
      <c r="Q779" t="inlineStr">
        <is>
          <t>Papel higiénico 4 rollos</t>
        </is>
      </c>
      <c r="R779" t="inlineStr">
        <is>
          <t>Limpieza</t>
        </is>
      </c>
      <c r="S779" t="inlineStr">
        <is>
          <t>Higiene Total C.A.</t>
        </is>
      </c>
      <c r="T779" t="inlineStr">
        <is>
          <t>2207-5566</t>
        </is>
      </c>
      <c r="U779" t="n">
        <v>2.15</v>
      </c>
      <c r="V779" t="n">
        <v>6</v>
      </c>
      <c r="W779" t="n">
        <v>0</v>
      </c>
      <c r="X779">
        <f>IFERROR(U779*V779*(1-W779/100),"")</f>
        <v/>
      </c>
      <c r="Y779">
        <f>IFERROR(ROUND(X779*0.13,2),"")</f>
        <v/>
      </c>
      <c r="Z779">
        <f>IFERROR(X779+Y779,"")</f>
        <v/>
      </c>
      <c r="AA779" t="inlineStr">
        <is>
          <t>Efectivo</t>
        </is>
      </c>
      <c r="AB779" t="inlineStr">
        <is>
          <t>Llamar al 7788-1234 antes de entregar</t>
        </is>
      </c>
    </row>
    <row r="780">
      <c r="A780" t="inlineStr">
        <is>
          <t>F-11080</t>
        </is>
      </c>
      <c r="B780" t="inlineStr">
        <is>
          <t>29/08/2026</t>
        </is>
      </c>
      <c r="C780" t="inlineStr">
        <is>
          <t>CCF</t>
        </is>
      </c>
      <c r="D780" t="inlineStr">
        <is>
          <t>SS02</t>
        </is>
      </c>
      <c r="E780" t="inlineStr">
        <is>
          <t>Escalon</t>
        </is>
      </c>
      <c r="F780" t="inlineStr">
        <is>
          <t>Paseo General Escalón #3910</t>
        </is>
      </c>
      <c r="G780" t="inlineStr">
        <is>
          <t>San Salvador</t>
        </is>
      </c>
      <c r="H780" t="inlineStr">
        <is>
          <t>San Salvador</t>
        </is>
      </c>
      <c r="I780" t="inlineStr">
        <is>
          <t>Claudia Menjívar</t>
        </is>
      </c>
      <c r="J780" t="inlineStr">
        <is>
          <t>2264-1190</t>
        </is>
      </c>
      <c r="K780" t="inlineStr">
        <is>
          <t>Fátima Rosales</t>
        </is>
      </c>
      <c r="L780" t="inlineStr">
        <is>
          <t>Restaurante El Guanaco</t>
        </is>
      </c>
      <c r="M780" t="inlineStr">
        <is>
          <t>168675-3</t>
        </is>
      </c>
      <c r="N780" t="inlineStr">
        <is>
          <t>6165-7029</t>
        </is>
      </c>
      <c r="O780" t="inlineStr">
        <is>
          <t>Contribuyente</t>
        </is>
      </c>
      <c r="P780" t="inlineStr">
        <is>
          <t>LAC-002</t>
        </is>
      </c>
      <c r="Q780" t="inlineStr">
        <is>
          <t>Crema 500ml</t>
        </is>
      </c>
      <c r="R780" t="inlineStr">
        <is>
          <t>Lácteos</t>
        </is>
      </c>
      <c r="S780" t="inlineStr">
        <is>
          <t>Lácteos Chalate</t>
        </is>
      </c>
      <c r="T780" t="inlineStr">
        <is>
          <t>7120-4455</t>
        </is>
      </c>
      <c r="U780" t="n">
        <v>2.25</v>
      </c>
      <c r="V780" t="n">
        <v>3</v>
      </c>
      <c r="W780" t="n">
        <v>0</v>
      </c>
      <c r="X780">
        <f>IFERROR(U780*V780*(1-W780/100),"")</f>
        <v/>
      </c>
      <c r="Y780">
        <f>IFERROR(ROUND(X780*0.13,2),"")</f>
        <v/>
      </c>
      <c r="Z780">
        <f>IFERROR(X780+Y780,"")</f>
        <v/>
      </c>
      <c r="AA780" t="inlineStr">
        <is>
          <t>Efectivo</t>
        </is>
      </c>
      <c r="AB780" t="inlineStr">
        <is>
          <t>precio especial autorizado por gerente</t>
        </is>
      </c>
    </row>
    <row r="781">
      <c r="A781" t="inlineStr">
        <is>
          <t>F-11080</t>
        </is>
      </c>
      <c r="B781" s="3" t="n">
        <v>46263</v>
      </c>
      <c r="C781" t="inlineStr">
        <is>
          <t>CCF</t>
        </is>
      </c>
      <c r="D781" t="inlineStr">
        <is>
          <t>SS02</t>
        </is>
      </c>
      <c r="E781" t="inlineStr">
        <is>
          <t>Escalón</t>
        </is>
      </c>
      <c r="F781" t="inlineStr">
        <is>
          <t>Paseo General Escalón #3910</t>
        </is>
      </c>
      <c r="G781" t="inlineStr">
        <is>
          <t>San Salvador</t>
        </is>
      </c>
      <c r="H781" t="inlineStr">
        <is>
          <t>San Salvador</t>
        </is>
      </c>
      <c r="I781" t="inlineStr">
        <is>
          <t>Claudia Menjívar</t>
        </is>
      </c>
      <c r="J781" t="inlineStr">
        <is>
          <t>2264-1190</t>
        </is>
      </c>
      <c r="K781" t="inlineStr">
        <is>
          <t>Fátima Rosales</t>
        </is>
      </c>
      <c r="L781" t="inlineStr">
        <is>
          <t>Restaurante El Guanaco</t>
        </is>
      </c>
      <c r="M781" t="inlineStr">
        <is>
          <t>168675-3</t>
        </is>
      </c>
      <c r="N781" t="inlineStr">
        <is>
          <t>6165-7029</t>
        </is>
      </c>
      <c r="O781" t="inlineStr">
        <is>
          <t>Contribuyente</t>
        </is>
      </c>
      <c r="P781" t="inlineStr">
        <is>
          <t>AZU-001</t>
        </is>
      </c>
      <c r="Q781" t="inlineStr">
        <is>
          <t>Azúcar blanca 2.5kg</t>
        </is>
      </c>
      <c r="R781" t="inlineStr">
        <is>
          <t>Abarrotes</t>
        </is>
      </c>
      <c r="S781" t="inlineStr">
        <is>
          <t>Granos del Pacífico</t>
        </is>
      </c>
      <c r="T781" t="inlineStr">
        <is>
          <t>2234-8890</t>
        </is>
      </c>
      <c r="U781" t="n">
        <v>3.1</v>
      </c>
      <c r="V781" t="n">
        <v>2</v>
      </c>
      <c r="W781" t="n">
        <v>5</v>
      </c>
      <c r="X781">
        <f>IFERROR(U781*V781*(1-W781/100),"")</f>
        <v/>
      </c>
      <c r="Y781">
        <f>IFERROR(ROUND(X781*0.13,2),"")</f>
        <v/>
      </c>
      <c r="Z781">
        <f>IFERROR(X781+Y781,"")</f>
        <v/>
      </c>
      <c r="AA781" t="inlineStr">
        <is>
          <t>Efectivo</t>
        </is>
      </c>
      <c r="AB781" t="inlineStr"/>
    </row>
    <row r="782">
      <c r="A782" t="inlineStr">
        <is>
          <t>F-11081</t>
        </is>
      </c>
      <c r="B782" s="3" t="n">
        <v>46282</v>
      </c>
      <c r="C782" t="inlineStr">
        <is>
          <t>factura</t>
        </is>
      </c>
      <c r="D782" t="inlineStr">
        <is>
          <t>SS01</t>
        </is>
      </c>
      <c r="E782" t="inlineStr">
        <is>
          <t>S.S. Centro</t>
        </is>
      </c>
      <c r="F782" t="inlineStr">
        <is>
          <t>4a Calle Poniente #215</t>
        </is>
      </c>
      <c r="G782" t="inlineStr">
        <is>
          <t>San Salvador</t>
        </is>
      </c>
      <c r="H782" t="inlineStr">
        <is>
          <t>San Salvador</t>
        </is>
      </c>
      <c r="I782" t="inlineStr">
        <is>
          <t>Roberto Alfaro</t>
        </is>
      </c>
      <c r="J782" t="inlineStr">
        <is>
          <t>2221-4580</t>
        </is>
      </c>
      <c r="K782" t="inlineStr">
        <is>
          <t>José Martínez</t>
        </is>
      </c>
      <c r="L782" t="inlineStr">
        <is>
          <t>Walter Quintanilla Rivera</t>
        </is>
      </c>
      <c r="M782" t="inlineStr">
        <is>
          <t>08724671-3</t>
        </is>
      </c>
      <c r="N782" t="inlineStr">
        <is>
          <t>6114-2738</t>
        </is>
      </c>
      <c r="O782" t="inlineStr">
        <is>
          <t>Consumidor final</t>
        </is>
      </c>
      <c r="P782" t="inlineStr">
        <is>
          <t>HAR-001</t>
        </is>
      </c>
      <c r="Q782" t="inlineStr">
        <is>
          <t>Harina de maíz 2lb</t>
        </is>
      </c>
      <c r="R782" t="inlineStr">
        <is>
          <t>Abarrotes</t>
        </is>
      </c>
      <c r="S782" t="inlineStr">
        <is>
          <t>Granos del Pacífico</t>
        </is>
      </c>
      <c r="T782" t="inlineStr">
        <is>
          <t>2234-8890</t>
        </is>
      </c>
      <c r="U782" t="inlineStr">
        <is>
          <t>$1.35</t>
        </is>
      </c>
      <c r="V782" t="n">
        <v>3</v>
      </c>
      <c r="W782" t="n">
        <v>0</v>
      </c>
      <c r="X782">
        <f>IFERROR(U782*V782*(1-W782/100),"")</f>
        <v/>
      </c>
      <c r="Y782">
        <f>IFERROR(ROUND(X782*0.13,2),"")</f>
        <v/>
      </c>
      <c r="Z782">
        <f>IFERROR(X782+Y782,"")</f>
        <v/>
      </c>
      <c r="AA782" t="inlineStr">
        <is>
          <t>Tarjeta</t>
        </is>
      </c>
      <c r="AB782" t="inlineStr"/>
    </row>
    <row r="783">
      <c r="A783" t="inlineStr">
        <is>
          <t>F-11081</t>
        </is>
      </c>
      <c r="B783" s="3" t="n">
        <v>46282</v>
      </c>
      <c r="C783" t="inlineStr">
        <is>
          <t>factura</t>
        </is>
      </c>
      <c r="D783" t="inlineStr">
        <is>
          <t>SS01</t>
        </is>
      </c>
      <c r="E783" t="inlineStr">
        <is>
          <t>S.S. Centro</t>
        </is>
      </c>
      <c r="F783" t="inlineStr">
        <is>
          <t>4a Calle Poniente #215</t>
        </is>
      </c>
      <c r="G783" t="inlineStr">
        <is>
          <t>San Salvador</t>
        </is>
      </c>
      <c r="H783" t="inlineStr">
        <is>
          <t>San Salvador</t>
        </is>
      </c>
      <c r="I783" t="inlineStr">
        <is>
          <t>Roberto Alfaro</t>
        </is>
      </c>
      <c r="J783" t="inlineStr">
        <is>
          <t>2221-4580</t>
        </is>
      </c>
      <c r="K783" t="inlineStr">
        <is>
          <t>José Martínez</t>
        </is>
      </c>
      <c r="L783" t="inlineStr">
        <is>
          <t>Walter Quintanilla Rivera</t>
        </is>
      </c>
      <c r="M783" t="inlineStr">
        <is>
          <t>08724671-3</t>
        </is>
      </c>
      <c r="N783" t="inlineStr">
        <is>
          <t>6114-2738</t>
        </is>
      </c>
      <c r="O783" t="inlineStr">
        <is>
          <t>Consumidor final</t>
        </is>
      </c>
      <c r="P783" t="inlineStr">
        <is>
          <t>LAC-003</t>
        </is>
      </c>
      <c r="Q783" t="inlineStr">
        <is>
          <t>Leche entera 1L</t>
        </is>
      </c>
      <c r="R783" t="inlineStr">
        <is>
          <t>Lácteos</t>
        </is>
      </c>
      <c r="S783" t="inlineStr">
        <is>
          <t>Lácteos Chalate</t>
        </is>
      </c>
      <c r="T783" t="inlineStr">
        <is>
          <t>2335-1020</t>
        </is>
      </c>
      <c r="U783" t="n">
        <v>1.2</v>
      </c>
      <c r="V783" t="n">
        <v>4</v>
      </c>
      <c r="W783" t="n">
        <v>0</v>
      </c>
      <c r="X783">
        <f>IFERROR(U783*V783*(1-W783/100),"")</f>
        <v/>
      </c>
      <c r="Y783">
        <f>IFERROR(ROUND(X783*0.13,2),"")</f>
        <v/>
      </c>
      <c r="Z783">
        <f>IFERROR(X783+Y783,"")</f>
        <v/>
      </c>
      <c r="AA783" t="inlineStr">
        <is>
          <t>Tarjeta</t>
        </is>
      </c>
      <c r="AB783" t="inlineStr">
        <is>
          <t>Cliente frecuente</t>
        </is>
      </c>
    </row>
    <row r="784">
      <c r="A784" t="inlineStr">
        <is>
          <t>F-11081</t>
        </is>
      </c>
      <c r="B784" s="3" t="n">
        <v>46282</v>
      </c>
      <c r="C784" t="inlineStr">
        <is>
          <t>factura</t>
        </is>
      </c>
      <c r="D784" t="inlineStr">
        <is>
          <t>SS01</t>
        </is>
      </c>
      <c r="E784" t="inlineStr">
        <is>
          <t xml:space="preserve">san salvador centro </t>
        </is>
      </c>
      <c r="F784" t="inlineStr">
        <is>
          <t>4a Calle Poniente #215</t>
        </is>
      </c>
      <c r="G784" t="inlineStr">
        <is>
          <t>San Salvador</t>
        </is>
      </c>
      <c r="H784" t="inlineStr">
        <is>
          <t>San Salvador</t>
        </is>
      </c>
      <c r="I784" t="inlineStr">
        <is>
          <t>Roberto Alfaro</t>
        </is>
      </c>
      <c r="J784" t="inlineStr">
        <is>
          <t>2221-4580</t>
        </is>
      </c>
      <c r="K784" t="inlineStr">
        <is>
          <t>José Martínez</t>
        </is>
      </c>
      <c r="L784" t="inlineStr">
        <is>
          <t>Walter Quintanilla Rivera</t>
        </is>
      </c>
      <c r="M784" t="inlineStr">
        <is>
          <t>08724671-3</t>
        </is>
      </c>
      <c r="N784" t="inlineStr">
        <is>
          <t>6114-2738</t>
        </is>
      </c>
      <c r="O784" t="inlineStr">
        <is>
          <t>Consumidor final</t>
        </is>
      </c>
      <c r="P784" t="inlineStr">
        <is>
          <t>LAC-002</t>
        </is>
      </c>
      <c r="Q784" t="inlineStr">
        <is>
          <t>Crema 500ml</t>
        </is>
      </c>
      <c r="R784" t="inlineStr">
        <is>
          <t>Lacteos</t>
        </is>
      </c>
      <c r="S784" t="inlineStr">
        <is>
          <t>Lácteos Chalate</t>
        </is>
      </c>
      <c r="T784" t="inlineStr">
        <is>
          <t>2335-1020</t>
        </is>
      </c>
      <c r="U784" t="inlineStr">
        <is>
          <t>2,25</t>
        </is>
      </c>
      <c r="V784" t="n">
        <v>1</v>
      </c>
      <c r="W784" t="n">
        <v>0</v>
      </c>
      <c r="X784">
        <f>IFERROR(U784*V784*(1-W784/100),"")</f>
        <v/>
      </c>
      <c r="Y784">
        <f>IFERROR(ROUND(X784*0.13,2),"")</f>
        <v/>
      </c>
      <c r="Z784">
        <f>IFERROR(X784+Y784,"")</f>
        <v/>
      </c>
      <c r="AA784" t="inlineStr">
        <is>
          <t>Tarjeta</t>
        </is>
      </c>
      <c r="AB784" t="inlineStr"/>
    </row>
    <row r="785">
      <c r="A785" t="inlineStr">
        <is>
          <t>F-11081</t>
        </is>
      </c>
      <c r="B785" s="3" t="n">
        <v>46282</v>
      </c>
      <c r="C785" t="inlineStr">
        <is>
          <t>factura</t>
        </is>
      </c>
      <c r="D785" t="inlineStr">
        <is>
          <t>SS01</t>
        </is>
      </c>
      <c r="E785" t="inlineStr">
        <is>
          <t>San Salvador Centro</t>
        </is>
      </c>
      <c r="F785" t="inlineStr">
        <is>
          <t>4a Calle Poniente #215</t>
        </is>
      </c>
      <c r="G785" t="inlineStr">
        <is>
          <t>San Salvador</t>
        </is>
      </c>
      <c r="H785" t="inlineStr">
        <is>
          <t>San Salvador</t>
        </is>
      </c>
      <c r="I785" t="inlineStr">
        <is>
          <t>Roberto Alfaro</t>
        </is>
      </c>
      <c r="J785" t="inlineStr">
        <is>
          <t>2221-4580</t>
        </is>
      </c>
      <c r="K785" t="inlineStr">
        <is>
          <t>José Martínez</t>
        </is>
      </c>
      <c r="L785" t="inlineStr">
        <is>
          <t>Walter Quintanilla Rivera</t>
        </is>
      </c>
      <c r="M785" t="inlineStr">
        <is>
          <t>08724671-3</t>
        </is>
      </c>
      <c r="N785" t="inlineStr">
        <is>
          <t>6114-2738</t>
        </is>
      </c>
      <c r="O785" t="inlineStr">
        <is>
          <t>Consumidor final</t>
        </is>
      </c>
      <c r="P785" t="inlineStr">
        <is>
          <t>HIG-002</t>
        </is>
      </c>
      <c r="Q785" t="inlineStr">
        <is>
          <t>Papel higiénico 4 rollos</t>
        </is>
      </c>
      <c r="R785" t="inlineStr">
        <is>
          <t>Higiene</t>
        </is>
      </c>
      <c r="S785" t="inlineStr">
        <is>
          <t>Higiene Total C.A.</t>
        </is>
      </c>
      <c r="T785" t="inlineStr">
        <is>
          <t>2207-5566</t>
        </is>
      </c>
      <c r="U785" t="n">
        <v>2.15</v>
      </c>
      <c r="V785" t="n">
        <v>1</v>
      </c>
      <c r="W785" t="n">
        <v>0</v>
      </c>
      <c r="X785">
        <f>IFERROR(U785*V785*(1-W785/100),"")</f>
        <v/>
      </c>
      <c r="Y785">
        <f>IFERROR(ROUND(X785*0.13,2),"")</f>
        <v/>
      </c>
      <c r="Z785">
        <f>IFERROR(X785+Y785,"")</f>
        <v/>
      </c>
      <c r="AA785" t="inlineStr">
        <is>
          <t>Tarjeta</t>
        </is>
      </c>
      <c r="AB785" t="inlineStr">
        <is>
          <t>entregar en bodega</t>
        </is>
      </c>
    </row>
    <row r="786">
      <c r="A786" t="inlineStr">
        <is>
          <t>F-11084</t>
        </is>
      </c>
      <c r="B786" s="3" t="n">
        <v>46225</v>
      </c>
      <c r="C786" t="inlineStr">
        <is>
          <t>CCF</t>
        </is>
      </c>
      <c r="D786" t="inlineStr">
        <is>
          <t>LL02</t>
        </is>
      </c>
      <c r="E786" t="inlineStr">
        <is>
          <t>Puerto de La Libertad</t>
        </is>
      </c>
      <c r="F786" t="inlineStr">
        <is>
          <t>Calle El Malecón, Local 4</t>
        </is>
      </c>
      <c r="G786" t="inlineStr">
        <is>
          <t>La Libertad</t>
        </is>
      </c>
      <c r="H786" t="inlineStr">
        <is>
          <t>La Libertad</t>
        </is>
      </c>
      <c r="I786" t="inlineStr">
        <is>
          <t>Wendy Aguilar</t>
        </is>
      </c>
      <c r="J786" t="inlineStr">
        <is>
          <t>2335-6140</t>
        </is>
      </c>
      <c r="K786" t="inlineStr">
        <is>
          <t>Gabriela Saravia</t>
        </is>
      </c>
      <c r="L786" t="inlineStr">
        <is>
          <t>Restaurante El Guanaco</t>
        </is>
      </c>
      <c r="M786" t="inlineStr">
        <is>
          <t>168675-3</t>
        </is>
      </c>
      <c r="N786" t="inlineStr">
        <is>
          <t>6165-7029</t>
        </is>
      </c>
      <c r="O786" t="inlineStr">
        <is>
          <t>Contribuyente</t>
        </is>
      </c>
      <c r="P786" t="inlineStr">
        <is>
          <t>PAN-001</t>
        </is>
      </c>
      <c r="Q786" t="inlineStr">
        <is>
          <t>Pan francés bolsa 10u</t>
        </is>
      </c>
      <c r="R786" t="inlineStr">
        <is>
          <t>Panadería</t>
        </is>
      </c>
      <c r="S786" t="inlineStr">
        <is>
          <t>Panificadora Ilopango</t>
        </is>
      </c>
      <c r="T786" t="inlineStr">
        <is>
          <t>2295-0081</t>
        </is>
      </c>
      <c r="U786" t="inlineStr">
        <is>
          <t>$1.00</t>
        </is>
      </c>
      <c r="V786" t="n">
        <v>2</v>
      </c>
      <c r="W786" t="n">
        <v>0</v>
      </c>
      <c r="X786">
        <f>IFERROR(U786*V786*(1-W786/100),"")</f>
        <v/>
      </c>
      <c r="Y786">
        <f>IFERROR(ROUND(X786*0.13,2),"")</f>
        <v/>
      </c>
      <c r="Z786">
        <f>IFERROR(X786+Y786,"")</f>
        <v/>
      </c>
      <c r="AA786" t="inlineStr">
        <is>
          <t>Bitcoin</t>
        </is>
      </c>
      <c r="AB786" t="inlineStr"/>
    </row>
    <row r="787">
      <c r="A787" t="inlineStr">
        <is>
          <t>F-11084</t>
        </is>
      </c>
      <c r="B787" s="3" t="n">
        <v>46225</v>
      </c>
      <c r="C787" t="inlineStr">
        <is>
          <t>CCF</t>
        </is>
      </c>
      <c r="D787" t="inlineStr">
        <is>
          <t>LL02</t>
        </is>
      </c>
      <c r="E787" t="inlineStr">
        <is>
          <t>La Libertad Puerto</t>
        </is>
      </c>
      <c r="F787" t="inlineStr">
        <is>
          <t>Calle El Malecón, Local 4</t>
        </is>
      </c>
      <c r="G787" t="inlineStr">
        <is>
          <t>La Libertad</t>
        </is>
      </c>
      <c r="H787" t="inlineStr">
        <is>
          <t>La Libertad</t>
        </is>
      </c>
      <c r="I787" t="inlineStr">
        <is>
          <t>Wendy Aguilar</t>
        </is>
      </c>
      <c r="J787" t="inlineStr">
        <is>
          <t>2335-6140</t>
        </is>
      </c>
      <c r="K787" t="inlineStr">
        <is>
          <t>Gabriela Saravia</t>
        </is>
      </c>
      <c r="L787" t="inlineStr">
        <is>
          <t>Restaurante El Guanaco</t>
        </is>
      </c>
      <c r="M787" t="inlineStr">
        <is>
          <t>168675-3</t>
        </is>
      </c>
      <c r="N787" t="inlineStr">
        <is>
          <t>6165-7029</t>
        </is>
      </c>
      <c r="O787" t="inlineStr">
        <is>
          <t>Contribuyente</t>
        </is>
      </c>
      <c r="P787" t="inlineStr">
        <is>
          <t>CAF-002</t>
        </is>
      </c>
      <c r="Q787" t="inlineStr">
        <is>
          <t>Café en grano 1lb</t>
        </is>
      </c>
      <c r="R787" t="inlineStr">
        <is>
          <t>Abarrotes</t>
        </is>
      </c>
      <c r="S787" t="inlineStr">
        <is>
          <t>Café Volcán S.A.</t>
        </is>
      </c>
      <c r="T787" t="inlineStr">
        <is>
          <t>2510-3344</t>
        </is>
      </c>
      <c r="U787" t="n">
        <v>6.75</v>
      </c>
      <c r="V787" t="n">
        <v>2</v>
      </c>
      <c r="W787" t="n">
        <v>5</v>
      </c>
      <c r="X787">
        <f>IFERROR(U787*V787*(1-W787/100),"")</f>
        <v/>
      </c>
      <c r="Y787">
        <f>IFERROR(ROUND(X787*0.13,2),"")</f>
        <v/>
      </c>
      <c r="Z787">
        <f>IFERROR(X787+Y787,"")</f>
        <v/>
      </c>
      <c r="AA787" t="inlineStr">
        <is>
          <t>Bitcoin</t>
        </is>
      </c>
      <c r="AB787" t="inlineStr"/>
    </row>
    <row r="788">
      <c r="A788" t="inlineStr">
        <is>
          <t>F-11084</t>
        </is>
      </c>
      <c r="B788" s="4" t="n">
        <v>46225</v>
      </c>
      <c r="C788" t="inlineStr">
        <is>
          <t>CCF</t>
        </is>
      </c>
      <c r="D788" t="inlineStr">
        <is>
          <t>LL02</t>
        </is>
      </c>
      <c r="E788" t="inlineStr">
        <is>
          <t>La Libertad Puerto</t>
        </is>
      </c>
      <c r="F788" t="inlineStr">
        <is>
          <t>Calle El Malecón, Local 4</t>
        </is>
      </c>
      <c r="G788" t="inlineStr">
        <is>
          <t>La Libertad</t>
        </is>
      </c>
      <c r="H788" t="inlineStr">
        <is>
          <t>La Libertad</t>
        </is>
      </c>
      <c r="I788" t="inlineStr">
        <is>
          <t>Wendy Aguilar</t>
        </is>
      </c>
      <c r="J788" t="inlineStr">
        <is>
          <t>2335-6140</t>
        </is>
      </c>
      <c r="K788" t="inlineStr">
        <is>
          <t>Gabriela Saravia</t>
        </is>
      </c>
      <c r="L788" t="inlineStr">
        <is>
          <t>Restaurante El Guanaco</t>
        </is>
      </c>
      <c r="M788" t="inlineStr">
        <is>
          <t>168675-3</t>
        </is>
      </c>
      <c r="N788" t="inlineStr">
        <is>
          <t>6165-7029</t>
        </is>
      </c>
      <c r="O788" t="inlineStr">
        <is>
          <t>Contribuyente</t>
        </is>
      </c>
      <c r="P788" t="inlineStr">
        <is>
          <t>CAF-002</t>
        </is>
      </c>
      <c r="Q788" t="inlineStr">
        <is>
          <t>Café en grano 1lb</t>
        </is>
      </c>
      <c r="R788" t="inlineStr">
        <is>
          <t>Abarrotes</t>
        </is>
      </c>
      <c r="S788" t="inlineStr">
        <is>
          <t>Café Volcán S.A.</t>
        </is>
      </c>
      <c r="T788" t="inlineStr">
        <is>
          <t>2510-3344</t>
        </is>
      </c>
      <c r="U788" t="n">
        <v>6.75</v>
      </c>
      <c r="V788" t="n">
        <v>2</v>
      </c>
      <c r="W788" t="n">
        <v>5</v>
      </c>
      <c r="X788">
        <f>IFERROR(U788*V788*(1-W788/100),"")</f>
        <v/>
      </c>
      <c r="Y788">
        <f>IFERROR(ROUND(X788*0.13,2),"")</f>
        <v/>
      </c>
      <c r="Z788">
        <f>IFERROR(X788+Y788,"")</f>
        <v/>
      </c>
      <c r="AA788" t="inlineStr">
        <is>
          <t>Bitcoin</t>
        </is>
      </c>
      <c r="AB788" t="inlineStr"/>
    </row>
    <row r="789">
      <c r="A789" t="inlineStr">
        <is>
          <t>F-11084</t>
        </is>
      </c>
      <c r="B789" s="3" t="n">
        <v>46225</v>
      </c>
      <c r="C789" t="inlineStr">
        <is>
          <t>CCF</t>
        </is>
      </c>
      <c r="D789" t="inlineStr">
        <is>
          <t>LL02</t>
        </is>
      </c>
      <c r="E789" t="inlineStr">
        <is>
          <t>Puerto de La Libertad</t>
        </is>
      </c>
      <c r="F789" t="inlineStr">
        <is>
          <t>Calle El Malecón, Local 4</t>
        </is>
      </c>
      <c r="G789" t="inlineStr">
        <is>
          <t>La Libertad</t>
        </is>
      </c>
      <c r="H789" t="inlineStr">
        <is>
          <t>La Libertad</t>
        </is>
      </c>
      <c r="I789" t="inlineStr">
        <is>
          <t>Wendy Aguilar</t>
        </is>
      </c>
      <c r="J789" t="inlineStr">
        <is>
          <t>2335-6140</t>
        </is>
      </c>
      <c r="K789" t="inlineStr">
        <is>
          <t>Gabriela Saravia</t>
        </is>
      </c>
      <c r="L789" t="inlineStr">
        <is>
          <t>Restaurante El Guanaco</t>
        </is>
      </c>
      <c r="M789" t="inlineStr">
        <is>
          <t>168675-3</t>
        </is>
      </c>
      <c r="N789" t="inlineStr">
        <is>
          <t>6165-7029</t>
        </is>
      </c>
      <c r="O789" t="inlineStr">
        <is>
          <t>Contribuyente</t>
        </is>
      </c>
      <c r="P789" t="inlineStr">
        <is>
          <t>LAC-002</t>
        </is>
      </c>
      <c r="Q789" t="inlineStr">
        <is>
          <t>Crema 500ml</t>
        </is>
      </c>
      <c r="R789" t="inlineStr">
        <is>
          <t>Lácteos</t>
        </is>
      </c>
      <c r="S789" t="inlineStr">
        <is>
          <t>Lácteos Chalate</t>
        </is>
      </c>
      <c r="T789" t="inlineStr">
        <is>
          <t>2335-1020</t>
        </is>
      </c>
      <c r="U789" t="n">
        <v>2.25</v>
      </c>
      <c r="V789" t="n">
        <v>24</v>
      </c>
      <c r="W789" t="n">
        <v>10</v>
      </c>
      <c r="X789">
        <f>IFERROR(U789*V789*(1-W789/100),"")</f>
        <v/>
      </c>
      <c r="Y789">
        <f>IFERROR(ROUND(X789*0.13,2),"")</f>
        <v/>
      </c>
      <c r="Z789">
        <f>IFERROR(X789+Y789,"")</f>
        <v/>
      </c>
      <c r="AA789" t="inlineStr">
        <is>
          <t>Bitcoin</t>
        </is>
      </c>
      <c r="AB789" t="inlineStr"/>
    </row>
    <row r="790">
      <c r="A790" t="inlineStr">
        <is>
          <t>F-11084</t>
        </is>
      </c>
      <c r="B790" s="3" t="n">
        <v>46225</v>
      </c>
      <c r="C790" t="inlineStr">
        <is>
          <t>CCF</t>
        </is>
      </c>
      <c r="D790" t="inlineStr">
        <is>
          <t>LL02</t>
        </is>
      </c>
      <c r="E790" t="inlineStr">
        <is>
          <t>Pto. La Libertad</t>
        </is>
      </c>
      <c r="F790" t="inlineStr">
        <is>
          <t>Calle El Malecón, Local 4</t>
        </is>
      </c>
      <c r="G790" t="inlineStr">
        <is>
          <t>La Libertad</t>
        </is>
      </c>
      <c r="H790" t="inlineStr">
        <is>
          <t>La Libertad</t>
        </is>
      </c>
      <c r="I790" t="inlineStr">
        <is>
          <t>Wendy Aguilar</t>
        </is>
      </c>
      <c r="J790" t="inlineStr">
        <is>
          <t>2335-6140</t>
        </is>
      </c>
      <c r="K790" t="inlineStr">
        <is>
          <t>Gabriela Saravia</t>
        </is>
      </c>
      <c r="L790" t="inlineStr">
        <is>
          <t>Restaurante El Guanaco</t>
        </is>
      </c>
      <c r="M790" t="inlineStr">
        <is>
          <t>168675-3</t>
        </is>
      </c>
      <c r="N790" t="inlineStr">
        <is>
          <t>6165-7029</t>
        </is>
      </c>
      <c r="O790" t="inlineStr">
        <is>
          <t>Contribuyente</t>
        </is>
      </c>
      <c r="P790" t="inlineStr">
        <is>
          <t>BEB-002</t>
        </is>
      </c>
      <c r="Q790" t="inlineStr">
        <is>
          <t>Agua purificada 1 galón</t>
        </is>
      </c>
      <c r="R790" t="inlineStr">
        <is>
          <t>Bebidas</t>
        </is>
      </c>
      <c r="S790" t="inlineStr">
        <is>
          <t>Bebidas Izalco</t>
        </is>
      </c>
      <c r="T790" t="inlineStr">
        <is>
          <t>2450-7700</t>
        </is>
      </c>
      <c r="U790" t="n">
        <v>1.1</v>
      </c>
      <c r="V790" t="n">
        <v>3</v>
      </c>
      <c r="W790" t="n">
        <v>0</v>
      </c>
      <c r="X790">
        <f>IFERROR(U790*V790*(1-W790/100),"")</f>
        <v/>
      </c>
      <c r="Y790">
        <f>IFERROR(ROUND(X790*0.13,2),"")</f>
        <v/>
      </c>
      <c r="Z790">
        <f>IFERROR(X790+Y790,"")</f>
        <v/>
      </c>
      <c r="AA790" t="inlineStr">
        <is>
          <t>Bitcoin</t>
        </is>
      </c>
      <c r="AB790" t="inlineStr">
        <is>
          <t>Cliente frecuente</t>
        </is>
      </c>
    </row>
    <row r="791">
      <c r="A791" t="inlineStr">
        <is>
          <t>F-11086</t>
        </is>
      </c>
      <c r="B791" s="3" t="n">
        <v>46237</v>
      </c>
      <c r="C791" t="inlineStr">
        <is>
          <t>CCF</t>
        </is>
      </c>
      <c r="D791" t="inlineStr">
        <is>
          <t>SS01</t>
        </is>
      </c>
      <c r="E791" t="inlineStr">
        <is>
          <t xml:space="preserve">san salvador centro </t>
        </is>
      </c>
      <c r="F791" t="inlineStr">
        <is>
          <t>4a Calle Poniente #215</t>
        </is>
      </c>
      <c r="G791" t="inlineStr">
        <is>
          <t>San Salvador</t>
        </is>
      </c>
      <c r="H791" t="inlineStr">
        <is>
          <t>San Salvador</t>
        </is>
      </c>
      <c r="I791" t="inlineStr">
        <is>
          <t>Roberto Alfaro</t>
        </is>
      </c>
      <c r="J791" t="inlineStr">
        <is>
          <t>2221-4580</t>
        </is>
      </c>
      <c r="K791" t="inlineStr">
        <is>
          <t>José Martínez</t>
        </is>
      </c>
      <c r="L791" t="inlineStr">
        <is>
          <t>Comedor Doña Tere</t>
        </is>
      </c>
      <c r="M791" t="inlineStr">
        <is>
          <t>197287-2</t>
        </is>
      </c>
      <c r="N791" t="inlineStr">
        <is>
          <t>6654-5678</t>
        </is>
      </c>
      <c r="O791" t="inlineStr">
        <is>
          <t>Contribuyente</t>
        </is>
      </c>
      <c r="P791" t="inlineStr">
        <is>
          <t>BEB-002</t>
        </is>
      </c>
      <c r="Q791" t="inlineStr">
        <is>
          <t>Agua purificada 1 galón</t>
        </is>
      </c>
      <c r="R791" t="inlineStr">
        <is>
          <t>Bebidas</t>
        </is>
      </c>
      <c r="S791" t="inlineStr">
        <is>
          <t>Bebidas Izalco</t>
        </is>
      </c>
      <c r="T791" t="inlineStr">
        <is>
          <t>2450-7700</t>
        </is>
      </c>
      <c r="U791" t="n">
        <v>1.1</v>
      </c>
      <c r="V791" t="n">
        <v>3</v>
      </c>
      <c r="W791" t="n">
        <v>0</v>
      </c>
      <c r="X791">
        <f>IFERROR(U791*V791*(1-W791/100),"")</f>
        <v/>
      </c>
      <c r="Y791">
        <f>IFERROR(ROUND(X791*0.13,2),"")</f>
        <v/>
      </c>
      <c r="Z791">
        <f>IFERROR(X791+Y791,"")</f>
        <v/>
      </c>
      <c r="AA791" t="inlineStr">
        <is>
          <t>Efectivo</t>
        </is>
      </c>
      <c r="AB791" t="inlineStr"/>
    </row>
    <row r="792">
      <c r="A792" t="inlineStr">
        <is>
          <t>F-11086</t>
        </is>
      </c>
      <c r="B792" s="3" t="n">
        <v>46237</v>
      </c>
      <c r="C792" t="inlineStr">
        <is>
          <t>CCF</t>
        </is>
      </c>
      <c r="D792" t="inlineStr">
        <is>
          <t>SS01</t>
        </is>
      </c>
      <c r="E792" t="inlineStr">
        <is>
          <t>S.S. Centro</t>
        </is>
      </c>
      <c r="F792" t="inlineStr">
        <is>
          <t>4a Calle Poniente #215</t>
        </is>
      </c>
      <c r="G792" t="inlineStr">
        <is>
          <t>San Salvador</t>
        </is>
      </c>
      <c r="H792" t="inlineStr">
        <is>
          <t>San Salvador</t>
        </is>
      </c>
      <c r="I792" t="inlineStr">
        <is>
          <t>Roberto Alfaro</t>
        </is>
      </c>
      <c r="J792" t="inlineStr">
        <is>
          <t>2221-4580</t>
        </is>
      </c>
      <c r="K792" t="inlineStr">
        <is>
          <t>José Martínez</t>
        </is>
      </c>
      <c r="L792" t="inlineStr">
        <is>
          <t>Comedor Doña Tere</t>
        </is>
      </c>
      <c r="M792" t="inlineStr">
        <is>
          <t>197287-2</t>
        </is>
      </c>
      <c r="N792" t="inlineStr">
        <is>
          <t>6654-5678</t>
        </is>
      </c>
      <c r="O792" t="inlineStr">
        <is>
          <t>Contribuyente</t>
        </is>
      </c>
      <c r="P792" t="inlineStr">
        <is>
          <t>LAC-003</t>
        </is>
      </c>
      <c r="Q792" t="inlineStr">
        <is>
          <t>Leche entera 1L</t>
        </is>
      </c>
      <c r="R792" t="inlineStr">
        <is>
          <t>Lácteos</t>
        </is>
      </c>
      <c r="S792" t="inlineStr">
        <is>
          <t>Lácteos Chalate</t>
        </is>
      </c>
      <c r="T792" t="inlineStr">
        <is>
          <t>2335-1020</t>
        </is>
      </c>
      <c r="U792" t="inlineStr">
        <is>
          <t>1,20</t>
        </is>
      </c>
      <c r="V792" t="n">
        <v>1</v>
      </c>
      <c r="W792" t="n">
        <v>10</v>
      </c>
      <c r="X792">
        <f>IFERROR(U792*V792*(1-W792/100),"")</f>
        <v/>
      </c>
      <c r="Y792">
        <f>IFERROR(ROUND(X792*0.13,2),"")</f>
        <v/>
      </c>
      <c r="Z792">
        <f>IFERROR(X792+Y792,"")</f>
        <v/>
      </c>
      <c r="AA792" t="inlineStr">
        <is>
          <t>Efectivo</t>
        </is>
      </c>
      <c r="AB792" t="inlineStr">
        <is>
          <t>Llamar al 7788-1234 antes de entregar</t>
        </is>
      </c>
    </row>
    <row r="793">
      <c r="A793" t="inlineStr">
        <is>
          <t>F-11086</t>
        </is>
      </c>
      <c r="B793" s="3" t="n">
        <v>46237</v>
      </c>
      <c r="C793" t="inlineStr">
        <is>
          <t>CCF</t>
        </is>
      </c>
      <c r="D793" t="inlineStr">
        <is>
          <t>SS01</t>
        </is>
      </c>
      <c r="E793" t="inlineStr">
        <is>
          <t>SAN SALVADOR CENTRO</t>
        </is>
      </c>
      <c r="F793" t="inlineStr">
        <is>
          <t>4a Calle Poniente #215</t>
        </is>
      </c>
      <c r="G793" t="inlineStr">
        <is>
          <t>San Salvador</t>
        </is>
      </c>
      <c r="H793" t="inlineStr">
        <is>
          <t>San Salvador</t>
        </is>
      </c>
      <c r="I793" t="inlineStr">
        <is>
          <t>Roberto Alfaro</t>
        </is>
      </c>
      <c r="J793" t="inlineStr">
        <is>
          <t>2221-4580</t>
        </is>
      </c>
      <c r="K793" t="inlineStr">
        <is>
          <t>José Martínez</t>
        </is>
      </c>
      <c r="L793" t="inlineStr">
        <is>
          <t>Comedor Doña Tere</t>
        </is>
      </c>
      <c r="M793" t="inlineStr">
        <is>
          <t>197287-2</t>
        </is>
      </c>
      <c r="N793" t="inlineStr">
        <is>
          <t>6654-5678</t>
        </is>
      </c>
      <c r="O793" t="inlineStr">
        <is>
          <t>Contribuyente</t>
        </is>
      </c>
      <c r="P793" t="inlineStr">
        <is>
          <t>CAF-001</t>
        </is>
      </c>
      <c r="Q793" t="inlineStr">
        <is>
          <t>Café molido 400g</t>
        </is>
      </c>
      <c r="R793" t="inlineStr">
        <is>
          <t>ABARROTES</t>
        </is>
      </c>
      <c r="S793" t="inlineStr">
        <is>
          <t>Café Volcán S.A.</t>
        </is>
      </c>
      <c r="T793" t="inlineStr">
        <is>
          <t>2510-3344</t>
        </is>
      </c>
      <c r="U793" t="n">
        <v>4.25</v>
      </c>
      <c r="V793" t="n">
        <v>1</v>
      </c>
      <c r="W793" t="n">
        <v>10</v>
      </c>
      <c r="X793">
        <f>IFERROR(U793*V793*(1-W793/100),"")</f>
        <v/>
      </c>
      <c r="Y793">
        <f>IFERROR(ROUND(X793*0.13,2),"")</f>
        <v/>
      </c>
      <c r="Z793">
        <f>IFERROR(X793+Y793,"")</f>
        <v/>
      </c>
      <c r="AA793" t="inlineStr">
        <is>
          <t>Efectivo</t>
        </is>
      </c>
      <c r="AB793" t="inlineStr"/>
    </row>
    <row r="794">
      <c r="A794" t="inlineStr">
        <is>
          <t>F-11089</t>
        </is>
      </c>
      <c r="B794" s="3" t="n">
        <v>46215</v>
      </c>
      <c r="C794" t="inlineStr">
        <is>
          <t>Factura</t>
        </is>
      </c>
      <c r="D794" t="inlineStr">
        <is>
          <t>US01</t>
        </is>
      </c>
      <c r="E794" t="inlineStr">
        <is>
          <t>Usulután</t>
        </is>
      </c>
      <c r="F794" t="inlineStr">
        <is>
          <t>2a Av. Norte #9</t>
        </is>
      </c>
      <c r="G794" t="inlineStr">
        <is>
          <t>Usulután</t>
        </is>
      </c>
      <c r="H794" t="inlineStr">
        <is>
          <t>Usulután</t>
        </is>
      </c>
      <c r="I794" t="inlineStr">
        <is>
          <t>Nelson Fuentes</t>
        </is>
      </c>
      <c r="J794" t="inlineStr">
        <is>
          <t>2662-8810</t>
        </is>
      </c>
      <c r="K794" t="inlineStr">
        <is>
          <t>Miguel Bonilla</t>
        </is>
      </c>
      <c r="L794" t="inlineStr">
        <is>
          <t>José Sorto López</t>
        </is>
      </c>
      <c r="M794" t="inlineStr">
        <is>
          <t>04721627-5</t>
        </is>
      </c>
      <c r="N794" t="inlineStr">
        <is>
          <t>6844-3004</t>
        </is>
      </c>
      <c r="O794" t="inlineStr">
        <is>
          <t>Consumidor final</t>
        </is>
      </c>
      <c r="P794" t="inlineStr">
        <is>
          <t>AZU-001</t>
        </is>
      </c>
      <c r="Q794" t="inlineStr">
        <is>
          <t>Azúcar blanca 2.5kg</t>
        </is>
      </c>
      <c r="R794" t="inlineStr">
        <is>
          <t>Abarrotes</t>
        </is>
      </c>
      <c r="S794" t="inlineStr">
        <is>
          <t>Granos del Pacífico</t>
        </is>
      </c>
      <c r="T794" t="inlineStr">
        <is>
          <t>2234-8890</t>
        </is>
      </c>
      <c r="U794" t="n">
        <v>3.1</v>
      </c>
      <c r="V794" t="n">
        <v>4</v>
      </c>
      <c r="W794" t="n">
        <v>0</v>
      </c>
      <c r="X794">
        <f>IFERROR(U794*V794*(1-W794/100),"")</f>
        <v/>
      </c>
      <c r="Y794">
        <f>IFERROR(ROUND(X794*0.13,2),"")</f>
        <v/>
      </c>
      <c r="Z794">
        <f>IFERROR(X794+Y794,"")</f>
        <v/>
      </c>
      <c r="AA794" t="inlineStr">
        <is>
          <t>Efectivo</t>
        </is>
      </c>
      <c r="AB794" t="inlineStr"/>
    </row>
    <row r="795">
      <c r="A795" t="inlineStr">
        <is>
          <t>F-11089</t>
        </is>
      </c>
      <c r="B795" s="3" t="n">
        <v>46215</v>
      </c>
      <c r="C795" t="inlineStr">
        <is>
          <t>Factura</t>
        </is>
      </c>
      <c r="D795" t="inlineStr">
        <is>
          <t>US01</t>
        </is>
      </c>
      <c r="E795" t="inlineStr">
        <is>
          <t>Usulutan</t>
        </is>
      </c>
      <c r="F795" t="inlineStr">
        <is>
          <t>2a Av. Norte #9</t>
        </is>
      </c>
      <c r="G795" t="inlineStr">
        <is>
          <t>Usulután</t>
        </is>
      </c>
      <c r="H795" t="inlineStr">
        <is>
          <t>Usulután</t>
        </is>
      </c>
      <c r="I795" t="inlineStr">
        <is>
          <t>Nelson Fuentes</t>
        </is>
      </c>
      <c r="J795" t="inlineStr">
        <is>
          <t>2662-8810</t>
        </is>
      </c>
      <c r="K795" t="inlineStr">
        <is>
          <t>Miguel Bonilla</t>
        </is>
      </c>
      <c r="L795" t="inlineStr">
        <is>
          <t>José Sorto López</t>
        </is>
      </c>
      <c r="M795" t="inlineStr">
        <is>
          <t>04721627-5</t>
        </is>
      </c>
      <c r="N795" t="inlineStr">
        <is>
          <t>6844-3004</t>
        </is>
      </c>
      <c r="O795" t="inlineStr">
        <is>
          <t>Consumidor final</t>
        </is>
      </c>
      <c r="P795" t="inlineStr">
        <is>
          <t>LAC-002</t>
        </is>
      </c>
      <c r="Q795" t="inlineStr">
        <is>
          <t>Crema 500ml</t>
        </is>
      </c>
      <c r="R795" t="inlineStr">
        <is>
          <t>Lácteos</t>
        </is>
      </c>
      <c r="S795" t="inlineStr">
        <is>
          <t>Lácteos Chalate</t>
        </is>
      </c>
      <c r="T795" t="inlineStr">
        <is>
          <t>2335-1020</t>
        </is>
      </c>
      <c r="U795" t="n">
        <v>2.25</v>
      </c>
      <c r="V795" t="n">
        <v>-6</v>
      </c>
      <c r="W795" t="n">
        <v>0</v>
      </c>
      <c r="X795">
        <f>IFERROR(U795*V795*(1-W795/100),"")</f>
        <v/>
      </c>
      <c r="Y795">
        <f>IFERROR(ROUND(X795*0.13,2),"")</f>
        <v/>
      </c>
      <c r="Z795">
        <f>IFERROR(X795+Y795,"")</f>
        <v/>
      </c>
      <c r="AA795" t="inlineStr">
        <is>
          <t>Efectivo</t>
        </is>
      </c>
      <c r="AB795" t="inlineStr">
        <is>
          <t>Cliente frecuente</t>
        </is>
      </c>
    </row>
    <row r="796">
      <c r="A796" t="inlineStr">
        <is>
          <t>F-11092</t>
        </is>
      </c>
      <c r="B796" s="3" t="n">
        <v>46219</v>
      </c>
      <c r="C796" t="inlineStr">
        <is>
          <t>factura</t>
        </is>
      </c>
      <c r="D796" t="inlineStr">
        <is>
          <t>SS01</t>
        </is>
      </c>
      <c r="E796" t="inlineStr">
        <is>
          <t>S.S. Centro</t>
        </is>
      </c>
      <c r="F796" t="inlineStr">
        <is>
          <t>4a Calle Poniente #215</t>
        </is>
      </c>
      <c r="G796" t="inlineStr">
        <is>
          <t>San Salvador</t>
        </is>
      </c>
      <c r="H796" t="inlineStr">
        <is>
          <t>San Salvador</t>
        </is>
      </c>
      <c r="I796" t="inlineStr">
        <is>
          <t>Roberto Alfaro</t>
        </is>
      </c>
      <c r="J796" t="inlineStr">
        <is>
          <t>2221-4580</t>
        </is>
      </c>
      <c r="K796" t="inlineStr">
        <is>
          <t>José Martínez</t>
        </is>
      </c>
      <c r="L796" t="inlineStr">
        <is>
          <t>Edwin Rivera Guevara</t>
        </is>
      </c>
      <c r="M796" t="inlineStr">
        <is>
          <t>03840762-1</t>
        </is>
      </c>
      <c r="N796" t="inlineStr">
        <is>
          <t>7817-8484</t>
        </is>
      </c>
      <c r="O796" t="inlineStr">
        <is>
          <t>Consumidor final</t>
        </is>
      </c>
      <c r="P796" t="inlineStr">
        <is>
          <t>BEB-003</t>
        </is>
      </c>
      <c r="Q796" t="inlineStr">
        <is>
          <t>Horchata en polvo 400g</t>
        </is>
      </c>
      <c r="R796" t="inlineStr">
        <is>
          <t>Abarrotes</t>
        </is>
      </c>
      <c r="S796" t="inlineStr">
        <is>
          <t>Bebidas Izalco</t>
        </is>
      </c>
      <c r="T796" t="inlineStr">
        <is>
          <t>2450-7700</t>
        </is>
      </c>
      <c r="U796" t="n">
        <v>2.6</v>
      </c>
      <c r="V796" t="n">
        <v>4</v>
      </c>
      <c r="W796" t="n">
        <v>0</v>
      </c>
      <c r="X796">
        <f>IFERROR(U796*V796*(1-W796/100),"")</f>
        <v/>
      </c>
      <c r="Y796">
        <f>IFERROR(ROUND(X796*0.13,2),"")</f>
        <v/>
      </c>
      <c r="Z796">
        <f>IFERROR(X796+Y796,"")</f>
        <v/>
      </c>
      <c r="AA796" t="inlineStr">
        <is>
          <t>Transferencia</t>
        </is>
      </c>
      <c r="AB796" t="inlineStr"/>
    </row>
    <row r="797">
      <c r="A797" t="inlineStr">
        <is>
          <t>F-11094</t>
        </is>
      </c>
      <c r="B797" s="3" t="n">
        <v>46237</v>
      </c>
      <c r="C797" t="inlineStr">
        <is>
          <t>CCF</t>
        </is>
      </c>
      <c r="D797" t="inlineStr">
        <is>
          <t>SO01</t>
        </is>
      </c>
      <c r="E797" t="inlineStr">
        <is>
          <t>Sonsonate</t>
        </is>
      </c>
      <c r="F797" t="inlineStr">
        <is>
          <t>Calle Obispo Marroquín #3</t>
        </is>
      </c>
      <c r="G797" t="inlineStr">
        <is>
          <t>Sonsonate</t>
        </is>
      </c>
      <c r="H797" t="inlineStr">
        <is>
          <t>Sonsonate</t>
        </is>
      </c>
      <c r="I797" t="inlineStr">
        <is>
          <t>Ernesto Chávez</t>
        </is>
      </c>
      <c r="J797" t="inlineStr">
        <is>
          <t>2451-2288</t>
        </is>
      </c>
      <c r="K797" t="inlineStr">
        <is>
          <t>Ricardo Funes</t>
        </is>
      </c>
      <c r="L797" t="inlineStr">
        <is>
          <t>Pupusería El Comal</t>
        </is>
      </c>
      <c r="M797" t="inlineStr">
        <is>
          <t>261664-6</t>
        </is>
      </c>
      <c r="N797" t="inlineStr">
        <is>
          <t>6293-1154</t>
        </is>
      </c>
      <c r="O797" t="inlineStr">
        <is>
          <t>Contribuyente</t>
        </is>
      </c>
      <c r="P797" t="inlineStr">
        <is>
          <t>PAN-003</t>
        </is>
      </c>
      <c r="Q797" t="inlineStr">
        <is>
          <t>Quesadilla salvadoreña</t>
        </is>
      </c>
      <c r="R797" t="inlineStr">
        <is>
          <t>PANADERIA</t>
        </is>
      </c>
      <c r="S797" t="inlineStr">
        <is>
          <t>Panificadora Ilopango</t>
        </is>
      </c>
      <c r="T797" t="inlineStr">
        <is>
          <t>2295-0081</t>
        </is>
      </c>
      <c r="U797" t="inlineStr">
        <is>
          <t>$2.50</t>
        </is>
      </c>
      <c r="V797" t="n">
        <v>2</v>
      </c>
      <c r="W797" t="n">
        <v>0</v>
      </c>
      <c r="X797">
        <f>IFERROR(U797*V797*(1-W797/100),"")</f>
        <v/>
      </c>
      <c r="Y797">
        <f>IFERROR(ROUND(X797*0.13,2),"")</f>
        <v/>
      </c>
      <c r="Z797">
        <f>IFERROR(X797+Y797,"")</f>
        <v/>
      </c>
      <c r="AA797" t="inlineStr">
        <is>
          <t>Tarjeta</t>
        </is>
      </c>
      <c r="AB797" t="inlineStr">
        <is>
          <t>precio especial autorizado por gerente</t>
        </is>
      </c>
    </row>
    <row r="798">
      <c r="A798" t="inlineStr">
        <is>
          <t>F-11094</t>
        </is>
      </c>
      <c r="B798" s="4" t="n">
        <v>46237</v>
      </c>
      <c r="C798" t="inlineStr">
        <is>
          <t>CCF</t>
        </is>
      </c>
      <c r="D798" t="inlineStr">
        <is>
          <t>SO01</t>
        </is>
      </c>
      <c r="E798" t="inlineStr">
        <is>
          <t>Sonsonate</t>
        </is>
      </c>
      <c r="F798" t="inlineStr">
        <is>
          <t>Calle Obispo Marroquín #3</t>
        </is>
      </c>
      <c r="G798" t="inlineStr">
        <is>
          <t>Sonsonate</t>
        </is>
      </c>
      <c r="H798" t="inlineStr">
        <is>
          <t>Sonsonate</t>
        </is>
      </c>
      <c r="I798" t="inlineStr">
        <is>
          <t>Ernesto Chávez</t>
        </is>
      </c>
      <c r="J798" t="inlineStr">
        <is>
          <t>2451-2288</t>
        </is>
      </c>
      <c r="K798" t="inlineStr">
        <is>
          <t>Ricardo Funes</t>
        </is>
      </c>
      <c r="L798" t="inlineStr">
        <is>
          <t>Pupusería El Comal</t>
        </is>
      </c>
      <c r="M798" t="inlineStr">
        <is>
          <t>261664-6</t>
        </is>
      </c>
      <c r="N798" t="inlineStr">
        <is>
          <t>6293-1154</t>
        </is>
      </c>
      <c r="O798" t="inlineStr">
        <is>
          <t>Contribuyente</t>
        </is>
      </c>
      <c r="P798" t="inlineStr">
        <is>
          <t>PAN-003</t>
        </is>
      </c>
      <c r="Q798" t="inlineStr">
        <is>
          <t>Quesadilla salvadoreña</t>
        </is>
      </c>
      <c r="R798" t="inlineStr">
        <is>
          <t>PANADERIA</t>
        </is>
      </c>
      <c r="S798" t="inlineStr">
        <is>
          <t>Panificadora Ilopango</t>
        </is>
      </c>
      <c r="T798" t="inlineStr">
        <is>
          <t>2295-0081</t>
        </is>
      </c>
      <c r="U798" t="inlineStr">
        <is>
          <t>$2.50</t>
        </is>
      </c>
      <c r="V798" t="n">
        <v>2</v>
      </c>
      <c r="W798" t="n">
        <v>0</v>
      </c>
      <c r="X798">
        <f>IFERROR(U798*V798*(1-W798/100),"")</f>
        <v/>
      </c>
      <c r="Y798">
        <f>IFERROR(ROUND(X798*0.13,2),"")</f>
        <v/>
      </c>
      <c r="Z798">
        <f>IFERROR(X798+Y798,"")</f>
        <v/>
      </c>
      <c r="AA798" t="inlineStr">
        <is>
          <t>Tarjeta</t>
        </is>
      </c>
      <c r="AB798" t="inlineStr">
        <is>
          <t>precio especial autorizado por gerente</t>
        </is>
      </c>
    </row>
    <row r="799">
      <c r="A799" t="inlineStr">
        <is>
          <t>F-11094</t>
        </is>
      </c>
      <c r="B799" s="3" t="n">
        <v>46237</v>
      </c>
      <c r="C799" t="inlineStr">
        <is>
          <t>CCF</t>
        </is>
      </c>
      <c r="D799" t="inlineStr">
        <is>
          <t>SO01</t>
        </is>
      </c>
      <c r="E799" t="inlineStr">
        <is>
          <t>SONSONATE</t>
        </is>
      </c>
      <c r="F799" t="inlineStr">
        <is>
          <t>Calle Obispo Marroquín #3</t>
        </is>
      </c>
      <c r="G799" t="inlineStr">
        <is>
          <t>Sonsonate</t>
        </is>
      </c>
      <c r="H799" t="inlineStr">
        <is>
          <t>Sonsonate</t>
        </is>
      </c>
      <c r="I799" t="inlineStr">
        <is>
          <t>Ernesto Chávez</t>
        </is>
      </c>
      <c r="J799" t="inlineStr">
        <is>
          <t>2451-2288</t>
        </is>
      </c>
      <c r="K799" t="inlineStr">
        <is>
          <t>Ricardo Funes</t>
        </is>
      </c>
      <c r="L799" t="inlineStr">
        <is>
          <t>Pupusería El Comal</t>
        </is>
      </c>
      <c r="M799" t="inlineStr">
        <is>
          <t>261664-6</t>
        </is>
      </c>
      <c r="N799" t="inlineStr">
        <is>
          <t>6293-1154</t>
        </is>
      </c>
      <c r="O799" t="inlineStr">
        <is>
          <t>Contribuyente</t>
        </is>
      </c>
      <c r="P799" t="inlineStr">
        <is>
          <t>LAC-001</t>
        </is>
      </c>
      <c r="Q799" t="inlineStr">
        <is>
          <t>Quesillo 1lb</t>
        </is>
      </c>
      <c r="R799" t="inlineStr">
        <is>
          <t>LACTEOS</t>
        </is>
      </c>
      <c r="S799" t="inlineStr">
        <is>
          <t>Lácteos Chalate</t>
        </is>
      </c>
      <c r="T799" t="inlineStr">
        <is>
          <t>2335-1020</t>
        </is>
      </c>
      <c r="U799" t="n">
        <v>3.8</v>
      </c>
      <c r="V799" t="n">
        <v>1</v>
      </c>
      <c r="W799" t="n">
        <v>5</v>
      </c>
      <c r="X799">
        <f>IFERROR(U799*V799*(1-W799/100),"")</f>
        <v/>
      </c>
      <c r="Y799">
        <f>IFERROR(ROUND(X799*0.13,2),"")</f>
        <v/>
      </c>
      <c r="Z799">
        <f>IFERROR(X799+Y799,"")</f>
        <v/>
      </c>
      <c r="AA799" t="inlineStr">
        <is>
          <t>Tarjeta</t>
        </is>
      </c>
      <c r="AB799" t="inlineStr">
        <is>
          <t>Llamar al 7788-1234 antes de entregar</t>
        </is>
      </c>
    </row>
    <row r="800">
      <c r="A800" t="inlineStr">
        <is>
          <t>F-11094</t>
        </is>
      </c>
      <c r="B800" t="inlineStr">
        <is>
          <t>2026-08-03</t>
        </is>
      </c>
      <c r="C800" t="inlineStr">
        <is>
          <t>CCF</t>
        </is>
      </c>
      <c r="D800" t="inlineStr">
        <is>
          <t>SO01</t>
        </is>
      </c>
      <c r="E800" t="inlineStr">
        <is>
          <t>SONSONATE</t>
        </is>
      </c>
      <c r="F800" t="inlineStr">
        <is>
          <t>Calle Obispo Marroquín #3</t>
        </is>
      </c>
      <c r="G800" t="inlineStr">
        <is>
          <t>Sonsonate</t>
        </is>
      </c>
      <c r="H800" t="inlineStr">
        <is>
          <t>Sonsonate</t>
        </is>
      </c>
      <c r="I800" t="inlineStr">
        <is>
          <t>Ernesto Chávez</t>
        </is>
      </c>
      <c r="J800" t="inlineStr">
        <is>
          <t>2451-2288</t>
        </is>
      </c>
      <c r="K800" t="inlineStr">
        <is>
          <t>Ricardo Funes</t>
        </is>
      </c>
      <c r="L800" t="inlineStr">
        <is>
          <t>Pupusería El Comal</t>
        </is>
      </c>
      <c r="M800" t="inlineStr">
        <is>
          <t>261664-6</t>
        </is>
      </c>
      <c r="N800" t="inlineStr">
        <is>
          <t>6293-1154</t>
        </is>
      </c>
      <c r="O800" t="inlineStr">
        <is>
          <t>Contribuyente</t>
        </is>
      </c>
      <c r="P800" t="inlineStr">
        <is>
          <t>ARR-001</t>
        </is>
      </c>
      <c r="Q800" t="inlineStr">
        <is>
          <t>Arroz blanco 5lb</t>
        </is>
      </c>
      <c r="R800" t="inlineStr">
        <is>
          <t>Abarrotes</t>
        </is>
      </c>
      <c r="S800" t="inlineStr">
        <is>
          <t>Granos del Pacífico</t>
        </is>
      </c>
      <c r="T800" t="inlineStr">
        <is>
          <t>2234-8890</t>
        </is>
      </c>
      <c r="U800" t="n">
        <v>3.95</v>
      </c>
      <c r="V800" t="n">
        <v>12</v>
      </c>
      <c r="W800" t="n">
        <v>0</v>
      </c>
      <c r="X800">
        <f>IFERROR(U800*V800*(1-W800/100),"")</f>
        <v/>
      </c>
      <c r="Y800">
        <f>IFERROR(ROUND(X800*0.13,2),"")</f>
        <v/>
      </c>
      <c r="Z800">
        <f>IFERROR(X800+Y800,"")</f>
        <v/>
      </c>
      <c r="AA800" t="inlineStr">
        <is>
          <t>Tarjeta</t>
        </is>
      </c>
      <c r="AB800" t="inlineStr">
        <is>
          <t>Cliente frecuente</t>
        </is>
      </c>
    </row>
    <row r="801">
      <c r="A801" t="inlineStr">
        <is>
          <t>F-11094</t>
        </is>
      </c>
      <c r="B801" s="3" t="n">
        <v>46237</v>
      </c>
      <c r="C801" t="inlineStr">
        <is>
          <t>CCF</t>
        </is>
      </c>
      <c r="D801" t="inlineStr">
        <is>
          <t>SO01</t>
        </is>
      </c>
      <c r="E801" t="inlineStr">
        <is>
          <t>SONSONATE</t>
        </is>
      </c>
      <c r="F801" t="inlineStr">
        <is>
          <t>Calle Obispo Marroquín #3</t>
        </is>
      </c>
      <c r="G801" t="inlineStr">
        <is>
          <t>Sonsonate</t>
        </is>
      </c>
      <c r="H801" t="inlineStr">
        <is>
          <t>Sonsonate</t>
        </is>
      </c>
      <c r="I801" t="inlineStr">
        <is>
          <t>Ernesto Chávez</t>
        </is>
      </c>
      <c r="J801" t="inlineStr">
        <is>
          <t>2451-2288</t>
        </is>
      </c>
      <c r="K801" t="inlineStr">
        <is>
          <t>Ricardo Funes</t>
        </is>
      </c>
      <c r="L801" t="inlineStr">
        <is>
          <t>Pupusería El Comal</t>
        </is>
      </c>
      <c r="M801" t="inlineStr">
        <is>
          <t>261664-6</t>
        </is>
      </c>
      <c r="N801" t="inlineStr">
        <is>
          <t>6293-1154</t>
        </is>
      </c>
      <c r="O801" t="inlineStr">
        <is>
          <t>Contribuyente</t>
        </is>
      </c>
      <c r="P801" t="inlineStr">
        <is>
          <t>AZU-001</t>
        </is>
      </c>
      <c r="Q801" t="inlineStr">
        <is>
          <t>Azúcar blanca 2.5kg</t>
        </is>
      </c>
      <c r="R801" t="inlineStr">
        <is>
          <t>Abarrotes</t>
        </is>
      </c>
      <c r="S801" t="inlineStr">
        <is>
          <t>Granos del Pacífico</t>
        </is>
      </c>
      <c r="T801" t="inlineStr">
        <is>
          <t>2234-8890</t>
        </is>
      </c>
      <c r="U801" t="n">
        <v>3.1</v>
      </c>
      <c r="V801" t="n">
        <v>4</v>
      </c>
      <c r="W801" t="n">
        <v>5</v>
      </c>
      <c r="X801">
        <f>IFERROR(U801*V801*(1-W801/100),"")</f>
        <v/>
      </c>
      <c r="Y801">
        <f>IFERROR(ROUND(X801*0.13,2),"")</f>
        <v/>
      </c>
      <c r="Z801">
        <f>IFERROR(X801+Y801,"")</f>
        <v/>
      </c>
      <c r="AA801" t="inlineStr">
        <is>
          <t>Tarjeta</t>
        </is>
      </c>
      <c r="AB801" t="inlineStr">
        <is>
          <t>Cliente frecuente</t>
        </is>
      </c>
    </row>
    <row r="802">
      <c r="A802" t="inlineStr">
        <is>
          <t>11097</t>
        </is>
      </c>
      <c r="B802" s="3" t="n">
        <v>46285</v>
      </c>
      <c r="C802" t="inlineStr">
        <is>
          <t>Factura</t>
        </is>
      </c>
      <c r="D802" t="inlineStr">
        <is>
          <t>SA01</t>
        </is>
      </c>
      <c r="E802" t="inlineStr">
        <is>
          <t>STA ANA</t>
        </is>
      </c>
      <c r="F802" t="inlineStr">
        <is>
          <t>Av. Independencia Sur #12</t>
        </is>
      </c>
      <c r="G802" t="inlineStr">
        <is>
          <t>Santa Ana</t>
        </is>
      </c>
      <c r="H802" t="inlineStr">
        <is>
          <t>Santa Ana</t>
        </is>
      </c>
      <c r="I802" t="inlineStr">
        <is>
          <t>Verónica Sandoval</t>
        </is>
      </c>
      <c r="J802" t="inlineStr">
        <is>
          <t>2440-9921</t>
        </is>
      </c>
      <c r="K802" t="inlineStr">
        <is>
          <t>Diego Zelaya</t>
        </is>
      </c>
      <c r="L802" t="inlineStr">
        <is>
          <t>Mario Sorto Castillo</t>
        </is>
      </c>
      <c r="M802" t="inlineStr">
        <is>
          <t>09824839-0</t>
        </is>
      </c>
      <c r="N802" t="inlineStr">
        <is>
          <t>7450-4234</t>
        </is>
      </c>
      <c r="O802" t="inlineStr">
        <is>
          <t>Consumidor final</t>
        </is>
      </c>
      <c r="P802" t="inlineStr">
        <is>
          <t>LAC-001</t>
        </is>
      </c>
      <c r="Q802" t="inlineStr">
        <is>
          <t>Quesillo 1lb</t>
        </is>
      </c>
      <c r="R802" t="inlineStr">
        <is>
          <t>LACTEOS</t>
        </is>
      </c>
      <c r="S802" t="inlineStr">
        <is>
          <t>Lácteos Chalate</t>
        </is>
      </c>
      <c r="T802" t="inlineStr">
        <is>
          <t>2335-1020</t>
        </is>
      </c>
      <c r="U802" t="n">
        <v>3.8</v>
      </c>
      <c r="V802" t="n">
        <v>2</v>
      </c>
      <c r="W802" t="n">
        <v>0</v>
      </c>
      <c r="X802">
        <f>IFERROR(U802*V802*(1-W802/100),"")</f>
        <v/>
      </c>
      <c r="Y802">
        <f>IFERROR(ROUND(X802*0.13,2),"")</f>
        <v/>
      </c>
      <c r="Z802">
        <f>IFERROR(X802+Y802,"")</f>
        <v/>
      </c>
      <c r="AA802" t="inlineStr">
        <is>
          <t>Efectivo</t>
        </is>
      </c>
      <c r="AB802" t="inlineStr">
        <is>
          <t>precio especial autorizado por gerente</t>
        </is>
      </c>
    </row>
    <row r="803">
      <c r="A803" t="inlineStr">
        <is>
          <t>F-11097</t>
        </is>
      </c>
      <c r="B803" s="3" t="n">
        <v>46285</v>
      </c>
      <c r="C803" t="inlineStr">
        <is>
          <t>Factura</t>
        </is>
      </c>
      <c r="D803" t="inlineStr">
        <is>
          <t>SA01</t>
        </is>
      </c>
      <c r="E803" t="inlineStr">
        <is>
          <t>Santa  Ana</t>
        </is>
      </c>
      <c r="F803" t="inlineStr">
        <is>
          <t>Av. Independencia Sur #12</t>
        </is>
      </c>
      <c r="G803" t="inlineStr">
        <is>
          <t>Santa Ana</t>
        </is>
      </c>
      <c r="H803" t="inlineStr">
        <is>
          <t>Santa Ana</t>
        </is>
      </c>
      <c r="I803" t="inlineStr">
        <is>
          <t>Verónica Sandoval</t>
        </is>
      </c>
      <c r="J803" t="inlineStr">
        <is>
          <t>2440-9921</t>
        </is>
      </c>
      <c r="K803" t="inlineStr">
        <is>
          <t>Diego Zelaya</t>
        </is>
      </c>
      <c r="L803" t="inlineStr">
        <is>
          <t>Mario Sorto Castillo</t>
        </is>
      </c>
      <c r="M803" t="inlineStr"/>
      <c r="N803" t="inlineStr">
        <is>
          <t>7450-4234</t>
        </is>
      </c>
      <c r="O803" t="inlineStr">
        <is>
          <t>Consumidor final</t>
        </is>
      </c>
      <c r="P803" t="inlineStr">
        <is>
          <t>CAF-001</t>
        </is>
      </c>
      <c r="Q803" t="inlineStr">
        <is>
          <t>Café molido 400g</t>
        </is>
      </c>
      <c r="R803" t="inlineStr">
        <is>
          <t>ABARROTES</t>
        </is>
      </c>
      <c r="S803" t="inlineStr">
        <is>
          <t>Café Volcán S.A.</t>
        </is>
      </c>
      <c r="T803" t="inlineStr">
        <is>
          <t>2510-3344</t>
        </is>
      </c>
      <c r="U803" t="n">
        <v>4.5</v>
      </c>
      <c r="V803" t="n">
        <v>1</v>
      </c>
      <c r="W803" t="n">
        <v>0</v>
      </c>
      <c r="X803">
        <f>IFERROR(U803*V803*(1-W803/100),"")</f>
        <v/>
      </c>
      <c r="Y803">
        <f>IFERROR(ROUND(X803*0.13,2),"")</f>
        <v/>
      </c>
      <c r="Z803">
        <f>IFERROR(X803+Y803,"")</f>
        <v/>
      </c>
      <c r="AA803" t="inlineStr">
        <is>
          <t>Efectivo</t>
        </is>
      </c>
      <c r="AB803" t="inlineStr">
        <is>
          <t>precio especial autorizado por gerente</t>
        </is>
      </c>
    </row>
    <row r="804">
      <c r="A804" t="inlineStr">
        <is>
          <t>11099</t>
        </is>
      </c>
      <c r="B804" t="inlineStr">
        <is>
          <t>03-Jul-26</t>
        </is>
      </c>
      <c r="C804" t="inlineStr">
        <is>
          <t>Factura</t>
        </is>
      </c>
      <c r="D804" t="inlineStr">
        <is>
          <t>SO01</t>
        </is>
      </c>
      <c r="E804" t="inlineStr">
        <is>
          <t>SONSONATE</t>
        </is>
      </c>
      <c r="F804" t="inlineStr">
        <is>
          <t>Calle Obispo Marroquín #3</t>
        </is>
      </c>
      <c r="G804" t="inlineStr">
        <is>
          <t>Sonsonate</t>
        </is>
      </c>
      <c r="H804" t="inlineStr">
        <is>
          <t>Sonsonate</t>
        </is>
      </c>
      <c r="I804" t="inlineStr">
        <is>
          <t>Ernesto Chávez</t>
        </is>
      </c>
      <c r="J804" t="inlineStr">
        <is>
          <t>2451-2288</t>
        </is>
      </c>
      <c r="K804" t="inlineStr">
        <is>
          <t>Ricardo Funes</t>
        </is>
      </c>
      <c r="L804" t="inlineStr">
        <is>
          <t>Mario Castillo Flores</t>
        </is>
      </c>
      <c r="M804" t="inlineStr">
        <is>
          <t>04376476-4</t>
        </is>
      </c>
      <c r="N804" t="inlineStr">
        <is>
          <t>2114-7744</t>
        </is>
      </c>
      <c r="O804" t="inlineStr">
        <is>
          <t>Consumidor final</t>
        </is>
      </c>
      <c r="P804" t="inlineStr">
        <is>
          <t>BEB-003</t>
        </is>
      </c>
      <c r="Q804" t="inlineStr">
        <is>
          <t>Horchata en polvo 400g</t>
        </is>
      </c>
      <c r="R804" t="inlineStr">
        <is>
          <t>Abarrotes</t>
        </is>
      </c>
      <c r="S804" t="inlineStr">
        <is>
          <t>Bebidas Izalco</t>
        </is>
      </c>
      <c r="T804" t="inlineStr">
        <is>
          <t>2450-7700</t>
        </is>
      </c>
      <c r="U804" t="inlineStr">
        <is>
          <t>2,60</t>
        </is>
      </c>
      <c r="V804" t="n">
        <v>3</v>
      </c>
      <c r="W804" t="n">
        <v>0</v>
      </c>
      <c r="X804">
        <f>IFERROR(U804*V804*(1-W804/100),"")</f>
        <v/>
      </c>
      <c r="Y804">
        <f>IFERROR(ROUND(X804*0.13,2),"")</f>
        <v/>
      </c>
      <c r="Z804">
        <f>IFERROR(X804+Y804,"")</f>
        <v/>
      </c>
      <c r="AA804" t="inlineStr">
        <is>
          <t>Tarjeta</t>
        </is>
      </c>
      <c r="AB804" t="inlineStr"/>
    </row>
    <row r="805">
      <c r="A805" t="inlineStr">
        <is>
          <t>F-11099</t>
        </is>
      </c>
      <c r="B805" s="3" t="n">
        <v>46206</v>
      </c>
      <c r="C805" t="inlineStr">
        <is>
          <t>Factura</t>
        </is>
      </c>
      <c r="D805" t="inlineStr">
        <is>
          <t>SO01</t>
        </is>
      </c>
      <c r="E805" t="inlineStr">
        <is>
          <t>Sonsonate</t>
        </is>
      </c>
      <c r="F805" t="inlineStr">
        <is>
          <t>Calle Obispo Marroquín #3</t>
        </is>
      </c>
      <c r="G805" t="inlineStr">
        <is>
          <t>Sonsonate</t>
        </is>
      </c>
      <c r="H805" t="inlineStr">
        <is>
          <t>Sonsonate</t>
        </is>
      </c>
      <c r="I805" t="inlineStr">
        <is>
          <t>Ernesto Chávez</t>
        </is>
      </c>
      <c r="J805" t="inlineStr">
        <is>
          <t>2451-2288</t>
        </is>
      </c>
      <c r="K805" t="inlineStr">
        <is>
          <t>Ricardo Funes</t>
        </is>
      </c>
      <c r="L805" t="inlineStr">
        <is>
          <t>Mario Castillo Flores</t>
        </is>
      </c>
      <c r="M805" t="inlineStr">
        <is>
          <t>04376476-4</t>
        </is>
      </c>
      <c r="N805" t="inlineStr">
        <is>
          <t>2114-7744</t>
        </is>
      </c>
      <c r="O805" t="inlineStr">
        <is>
          <t>Consumidor final</t>
        </is>
      </c>
      <c r="P805" t="inlineStr">
        <is>
          <t>HAR-001</t>
        </is>
      </c>
      <c r="Q805" t="inlineStr">
        <is>
          <t>Harina de maíz 2lb</t>
        </is>
      </c>
      <c r="R805" t="inlineStr">
        <is>
          <t>Abarrotes</t>
        </is>
      </c>
      <c r="S805" t="inlineStr">
        <is>
          <t>Granos del Pacífico</t>
        </is>
      </c>
      <c r="T805" t="inlineStr">
        <is>
          <t>2234-8890</t>
        </is>
      </c>
      <c r="U805" t="inlineStr">
        <is>
          <t>$1.35</t>
        </is>
      </c>
      <c r="V805" t="n">
        <v>12</v>
      </c>
      <c r="W805" t="n">
        <v>0</v>
      </c>
      <c r="X805">
        <f>IFERROR(U805*V805*(1-W805/100),"")</f>
        <v/>
      </c>
      <c r="Y805">
        <f>IFERROR(ROUND(X805*0.13,2),"")</f>
        <v/>
      </c>
      <c r="Z805">
        <f>IFERROR(X805+Y805,"")</f>
        <v/>
      </c>
      <c r="AA805" t="inlineStr">
        <is>
          <t>Tarjeta</t>
        </is>
      </c>
      <c r="AB805" t="inlineStr">
        <is>
          <t>Cliente frecuente</t>
        </is>
      </c>
    </row>
    <row r="806">
      <c r="A806" t="inlineStr">
        <is>
          <t>F-11099</t>
        </is>
      </c>
      <c r="B806" s="4" t="n">
        <v>46206</v>
      </c>
      <c r="C806" t="inlineStr">
        <is>
          <t>Factura</t>
        </is>
      </c>
      <c r="D806" t="inlineStr">
        <is>
          <t>SO01</t>
        </is>
      </c>
      <c r="E806" t="inlineStr">
        <is>
          <t>Sonsonate</t>
        </is>
      </c>
      <c r="F806" t="inlineStr">
        <is>
          <t>Calle Obispo Marroquín #3</t>
        </is>
      </c>
      <c r="G806" t="inlineStr">
        <is>
          <t>Sonsonate</t>
        </is>
      </c>
      <c r="H806" t="inlineStr">
        <is>
          <t>Sonsonate</t>
        </is>
      </c>
      <c r="I806" t="inlineStr">
        <is>
          <t>Ernesto Chávez</t>
        </is>
      </c>
      <c r="J806" t="inlineStr">
        <is>
          <t>2451-2288</t>
        </is>
      </c>
      <c r="K806" t="inlineStr">
        <is>
          <t>Ricardo Funes</t>
        </is>
      </c>
      <c r="L806" t="inlineStr">
        <is>
          <t>Mario Castillo Flores</t>
        </is>
      </c>
      <c r="M806" t="inlineStr">
        <is>
          <t>04376476-4</t>
        </is>
      </c>
      <c r="N806" t="inlineStr">
        <is>
          <t>2114-7744</t>
        </is>
      </c>
      <c r="O806" t="inlineStr">
        <is>
          <t>Consumidor final</t>
        </is>
      </c>
      <c r="P806" t="inlineStr">
        <is>
          <t>HAR-001</t>
        </is>
      </c>
      <c r="Q806" t="inlineStr">
        <is>
          <t>Harina de maíz 2lb</t>
        </is>
      </c>
      <c r="R806" t="inlineStr">
        <is>
          <t>Abarrotes</t>
        </is>
      </c>
      <c r="S806" t="inlineStr">
        <is>
          <t>Granos del Pacífico</t>
        </is>
      </c>
      <c r="T806" t="inlineStr">
        <is>
          <t>2234-8890</t>
        </is>
      </c>
      <c r="U806" t="inlineStr">
        <is>
          <t>$1.35</t>
        </is>
      </c>
      <c r="V806" t="n">
        <v>12</v>
      </c>
      <c r="W806" t="n">
        <v>0</v>
      </c>
      <c r="X806">
        <f>IFERROR(U806*V806*(1-W806/100),"")</f>
        <v/>
      </c>
      <c r="Y806">
        <f>IFERROR(ROUND(X806*0.13,2),"")</f>
        <v/>
      </c>
      <c r="Z806">
        <f>IFERROR(X806+Y806,"")</f>
        <v/>
      </c>
      <c r="AA806" t="inlineStr">
        <is>
          <t>Tarjeta</t>
        </is>
      </c>
      <c r="AB806" t="inlineStr">
        <is>
          <t>Cliente frecuente</t>
        </is>
      </c>
    </row>
    <row r="807">
      <c r="A807" t="inlineStr">
        <is>
          <t>F-11102</t>
        </is>
      </c>
      <c r="B807" s="3" t="n">
        <v>46241</v>
      </c>
      <c r="C807" t="inlineStr">
        <is>
          <t>Factura</t>
        </is>
      </c>
      <c r="D807" t="inlineStr">
        <is>
          <t>LL01</t>
        </is>
      </c>
      <c r="E807" t="inlineStr">
        <is>
          <t>SANTA TECLA</t>
        </is>
      </c>
      <c r="F807" t="inlineStr">
        <is>
          <t>Calle Daniel Hernández #18</t>
        </is>
      </c>
      <c r="G807" t="inlineStr">
        <is>
          <t>Santa Tecla</t>
        </is>
      </c>
      <c r="H807" t="inlineStr">
        <is>
          <t>La Libertad</t>
        </is>
      </c>
      <c r="I807" t="inlineStr">
        <is>
          <t>Óscar Rivas</t>
        </is>
      </c>
      <c r="J807" t="inlineStr">
        <is>
          <t>2228-7731</t>
        </is>
      </c>
      <c r="K807" t="inlineStr">
        <is>
          <t>Andrea Pineda</t>
        </is>
      </c>
      <c r="L807" t="inlineStr">
        <is>
          <t>Edwin Cornejo Mejía</t>
        </is>
      </c>
      <c r="M807" t="inlineStr">
        <is>
          <t>09391819-6</t>
        </is>
      </c>
      <c r="N807" t="inlineStr">
        <is>
          <t>7415-9980</t>
        </is>
      </c>
      <c r="O807" t="inlineStr">
        <is>
          <t>Consumidor final</t>
        </is>
      </c>
      <c r="P807" t="inlineStr">
        <is>
          <t>PAN-001</t>
        </is>
      </c>
      <c r="Q807" t="inlineStr">
        <is>
          <t>Pan francés bolsa 10u</t>
        </is>
      </c>
      <c r="R807" t="inlineStr">
        <is>
          <t>Panadería</t>
        </is>
      </c>
      <c r="S807" t="inlineStr">
        <is>
          <t>Panificadora Ilopango</t>
        </is>
      </c>
      <c r="T807" t="inlineStr">
        <is>
          <t>2295-0081</t>
        </is>
      </c>
      <c r="U807" t="inlineStr">
        <is>
          <t>1,00</t>
        </is>
      </c>
      <c r="V807" t="n">
        <v>24</v>
      </c>
      <c r="W807" t="n">
        <v>0</v>
      </c>
      <c r="X807">
        <f>IFERROR(U807*V807*(1-W807/100),"")</f>
        <v/>
      </c>
      <c r="Y807">
        <f>IFERROR(ROUND(X807*0.13,2),"")</f>
        <v/>
      </c>
      <c r="Z807">
        <f>IFERROR(X807+Y807,"")</f>
        <v/>
      </c>
      <c r="AA807" t="inlineStr">
        <is>
          <t>Transferencia</t>
        </is>
      </c>
      <c r="AB807" t="inlineStr">
        <is>
          <t>Llamar al 7788-1234 antes de entregar</t>
        </is>
      </c>
    </row>
    <row r="808">
      <c r="A808" t="inlineStr">
        <is>
          <t>11102</t>
        </is>
      </c>
      <c r="B808" s="3" t="n">
        <v>46241</v>
      </c>
      <c r="C808" t="inlineStr">
        <is>
          <t>Factura</t>
        </is>
      </c>
      <c r="D808" t="inlineStr">
        <is>
          <t>LL01</t>
        </is>
      </c>
      <c r="E808" t="inlineStr">
        <is>
          <t>Sta. Tecla</t>
        </is>
      </c>
      <c r="F808" t="inlineStr">
        <is>
          <t>Calle Daniel Hernández #18</t>
        </is>
      </c>
      <c r="G808" t="inlineStr">
        <is>
          <t>Santa Tecla</t>
        </is>
      </c>
      <c r="H808" t="inlineStr">
        <is>
          <t>La Libertad</t>
        </is>
      </c>
      <c r="I808" t="inlineStr">
        <is>
          <t>Óscar Rivas</t>
        </is>
      </c>
      <c r="J808" t="inlineStr">
        <is>
          <t>2228-7731</t>
        </is>
      </c>
      <c r="K808" t="inlineStr">
        <is>
          <t>Andrea Pineda</t>
        </is>
      </c>
      <c r="L808" t="inlineStr">
        <is>
          <t>Edwin Cornejo Mejía</t>
        </is>
      </c>
      <c r="M808" t="inlineStr">
        <is>
          <t>09391819-6</t>
        </is>
      </c>
      <c r="N808" t="inlineStr">
        <is>
          <t>7415-9980</t>
        </is>
      </c>
      <c r="O808" t="inlineStr">
        <is>
          <t>Consumidor final</t>
        </is>
      </c>
      <c r="P808" t="inlineStr">
        <is>
          <t>HAR-001</t>
        </is>
      </c>
      <c r="Q808" t="inlineStr">
        <is>
          <t>Harina de maíz 2lb</t>
        </is>
      </c>
      <c r="R808" t="inlineStr">
        <is>
          <t>Abarrotes</t>
        </is>
      </c>
      <c r="S808" t="inlineStr">
        <is>
          <t>Granos del Pacífico</t>
        </is>
      </c>
      <c r="T808" t="inlineStr">
        <is>
          <t>2234-8890</t>
        </is>
      </c>
      <c r="U808" t="inlineStr">
        <is>
          <t>$1.35</t>
        </is>
      </c>
      <c r="V808" t="n">
        <v>3</v>
      </c>
      <c r="W808" t="n">
        <v>0</v>
      </c>
      <c r="X808">
        <f>IFERROR(U808*V808*(1-W808/100),"")</f>
        <v/>
      </c>
      <c r="Y808">
        <f>IFERROR(ROUND(X808*0.13,2),"")</f>
        <v/>
      </c>
      <c r="Z808">
        <f>IFERROR(X808+Y808,"")</f>
        <v/>
      </c>
      <c r="AA808" t="inlineStr">
        <is>
          <t>Transferencia</t>
        </is>
      </c>
      <c r="AB808" t="inlineStr">
        <is>
          <t>Llamar al 7788-1234 antes de entregar</t>
        </is>
      </c>
    </row>
    <row r="809">
      <c r="A809" t="inlineStr">
        <is>
          <t>F-11102</t>
        </is>
      </c>
      <c r="B809" s="3" t="n">
        <v>46241</v>
      </c>
      <c r="C809" t="inlineStr">
        <is>
          <t>Factura</t>
        </is>
      </c>
      <c r="D809" t="inlineStr">
        <is>
          <t>LL01</t>
        </is>
      </c>
      <c r="E809" t="inlineStr">
        <is>
          <t>Santa Tecla</t>
        </is>
      </c>
      <c r="F809" t="inlineStr">
        <is>
          <t>Calle Daniel Hernández #18</t>
        </is>
      </c>
      <c r="G809" t="inlineStr">
        <is>
          <t>Santa Tecla</t>
        </is>
      </c>
      <c r="H809" t="inlineStr">
        <is>
          <t>La Libertad</t>
        </is>
      </c>
      <c r="I809" t="inlineStr">
        <is>
          <t>Óscar Rivas</t>
        </is>
      </c>
      <c r="J809" t="inlineStr">
        <is>
          <t>2228-7731</t>
        </is>
      </c>
      <c r="K809" t="inlineStr">
        <is>
          <t>Andrea Pineda</t>
        </is>
      </c>
      <c r="L809" t="inlineStr">
        <is>
          <t>EDWIN CORNEJO MEJÍA</t>
        </is>
      </c>
      <c r="M809" t="inlineStr">
        <is>
          <t>09391819-6</t>
        </is>
      </c>
      <c r="N809" t="inlineStr">
        <is>
          <t>7415-9980</t>
        </is>
      </c>
      <c r="O809" t="inlineStr">
        <is>
          <t>Consumidor final</t>
        </is>
      </c>
      <c r="P809" t="inlineStr">
        <is>
          <t>HIG-002</t>
        </is>
      </c>
      <c r="Q809" t="inlineStr">
        <is>
          <t>Papel higiénico 4 rollos</t>
        </is>
      </c>
      <c r="R809" t="inlineStr">
        <is>
          <t>Limpieza</t>
        </is>
      </c>
      <c r="S809" t="inlineStr">
        <is>
          <t>Higiene Total C.A.</t>
        </is>
      </c>
      <c r="T809" t="inlineStr">
        <is>
          <t>2207-5566</t>
        </is>
      </c>
      <c r="U809" t="n">
        <v>2.15</v>
      </c>
      <c r="V809" t="n">
        <v>2</v>
      </c>
      <c r="W809" t="n">
        <v>0</v>
      </c>
      <c r="X809">
        <f>IFERROR(U809*V809*(1-W809/100),"")</f>
        <v/>
      </c>
      <c r="Y809">
        <f>IFERROR(ROUND(X809*0.13,2),"")</f>
        <v/>
      </c>
      <c r="Z809">
        <f>IFERROR(X809+Y809,"")</f>
        <v/>
      </c>
      <c r="AA809" t="inlineStr">
        <is>
          <t>Transferencia</t>
        </is>
      </c>
      <c r="AB809" t="inlineStr">
        <is>
          <t>Llamar al 7788-1234 antes de entregar</t>
        </is>
      </c>
    </row>
    <row r="810">
      <c r="A810" t="inlineStr">
        <is>
          <t>F-11102</t>
        </is>
      </c>
      <c r="B810" s="3" t="n">
        <v>46241</v>
      </c>
      <c r="C810" t="inlineStr">
        <is>
          <t>Factura</t>
        </is>
      </c>
      <c r="D810" t="inlineStr">
        <is>
          <t>LL01</t>
        </is>
      </c>
      <c r="E810" t="inlineStr">
        <is>
          <t>Sta. Tecla</t>
        </is>
      </c>
      <c r="F810" t="inlineStr">
        <is>
          <t>Calle Daniel Hernández #18</t>
        </is>
      </c>
      <c r="G810" t="inlineStr">
        <is>
          <t>Santa Tecla</t>
        </is>
      </c>
      <c r="H810" t="inlineStr">
        <is>
          <t>La Libertad</t>
        </is>
      </c>
      <c r="I810" t="inlineStr">
        <is>
          <t>Óscar Rivas</t>
        </is>
      </c>
      <c r="J810" t="inlineStr">
        <is>
          <t>2228-7731</t>
        </is>
      </c>
      <c r="K810" t="inlineStr">
        <is>
          <t>Andrea Pineda</t>
        </is>
      </c>
      <c r="L810" t="inlineStr">
        <is>
          <t>Edwin Cornejo Mejía</t>
        </is>
      </c>
      <c r="M810" t="inlineStr">
        <is>
          <t>09391819-6</t>
        </is>
      </c>
      <c r="N810" t="inlineStr">
        <is>
          <t>7415-9980</t>
        </is>
      </c>
      <c r="O810" t="inlineStr">
        <is>
          <t>Consumidor final</t>
        </is>
      </c>
      <c r="P810" t="inlineStr">
        <is>
          <t>FRI-001</t>
        </is>
      </c>
      <c r="Q810" t="inlineStr">
        <is>
          <t>Frijol rojo de seda 2lb</t>
        </is>
      </c>
      <c r="R810" t="inlineStr">
        <is>
          <t>Abarrotes</t>
        </is>
      </c>
      <c r="S810" t="inlineStr">
        <is>
          <t>Granos del Pacífico</t>
        </is>
      </c>
      <c r="T810" t="inlineStr">
        <is>
          <t>2234-8890</t>
        </is>
      </c>
      <c r="U810" t="n">
        <v>2.4</v>
      </c>
      <c r="V810" t="n">
        <v>3</v>
      </c>
      <c r="W810" t="n">
        <v>0</v>
      </c>
      <c r="X810">
        <f>IFERROR(U810*V810*(1-W810/100),"")</f>
        <v/>
      </c>
      <c r="Y810">
        <f>IFERROR(ROUND(X810*0.13,2),"")</f>
        <v/>
      </c>
      <c r="Z810">
        <f>IFERROR(X810+Y810,"")</f>
        <v/>
      </c>
      <c r="AA810" t="inlineStr">
        <is>
          <t>Transferencia</t>
        </is>
      </c>
      <c r="AB810" t="inlineStr"/>
    </row>
    <row r="811">
      <c r="A811" t="inlineStr">
        <is>
          <t>F-11104</t>
        </is>
      </c>
      <c r="B811" s="3" t="n">
        <v>46210</v>
      </c>
      <c r="C811" t="inlineStr">
        <is>
          <t>CCF</t>
        </is>
      </c>
      <c r="D811" t="inlineStr">
        <is>
          <t>SS01</t>
        </is>
      </c>
      <c r="E811" t="inlineStr">
        <is>
          <t>S.S. Centro</t>
        </is>
      </c>
      <c r="F811" t="inlineStr">
        <is>
          <t>4a Calle Poniente #215</t>
        </is>
      </c>
      <c r="G811" t="inlineStr">
        <is>
          <t>San Salvador</t>
        </is>
      </c>
      <c r="H811" t="inlineStr">
        <is>
          <t>San Salvador</t>
        </is>
      </c>
      <c r="I811" t="inlineStr">
        <is>
          <t>Roberto Alfaro</t>
        </is>
      </c>
      <c r="J811" t="inlineStr">
        <is>
          <t>2221-4580</t>
        </is>
      </c>
      <c r="K811" t="inlineStr">
        <is>
          <t>Daniela Orellana</t>
        </is>
      </c>
      <c r="L811" t="inlineStr">
        <is>
          <t>Pupusería El Comal</t>
        </is>
      </c>
      <c r="M811" t="inlineStr">
        <is>
          <t>261664-6</t>
        </is>
      </c>
      <c r="N811" t="inlineStr">
        <is>
          <t>6293-1154</t>
        </is>
      </c>
      <c r="O811" t="inlineStr">
        <is>
          <t>Contribuyente</t>
        </is>
      </c>
      <c r="P811" t="inlineStr">
        <is>
          <t>LAC-003</t>
        </is>
      </c>
      <c r="Q811" t="inlineStr">
        <is>
          <t>Leche entera 1L</t>
        </is>
      </c>
      <c r="R811" t="inlineStr">
        <is>
          <t>Lácteos</t>
        </is>
      </c>
      <c r="S811" t="inlineStr">
        <is>
          <t>Lácteos Chalate</t>
        </is>
      </c>
      <c r="T811" t="inlineStr">
        <is>
          <t>2335-1020</t>
        </is>
      </c>
      <c r="U811" t="n">
        <v>1.2</v>
      </c>
      <c r="V811" t="n">
        <v>4</v>
      </c>
      <c r="W811" t="n">
        <v>0</v>
      </c>
      <c r="X811">
        <f>IFERROR(U811*V811*(1-W811/100),"")</f>
        <v/>
      </c>
      <c r="Y811">
        <f>IFERROR(ROUND(X811*0.13,2),"")</f>
        <v/>
      </c>
      <c r="Z811">
        <f>IFERROR(X811+Y811,"")</f>
        <v/>
      </c>
      <c r="AA811" t="inlineStr">
        <is>
          <t>Transferencia</t>
        </is>
      </c>
      <c r="AB811" t="inlineStr"/>
    </row>
    <row r="812">
      <c r="A812" t="inlineStr">
        <is>
          <t>F-11104</t>
        </is>
      </c>
      <c r="B812" s="3" t="n">
        <v>46210</v>
      </c>
      <c r="C812" t="inlineStr">
        <is>
          <t>CCF</t>
        </is>
      </c>
      <c r="D812" t="inlineStr">
        <is>
          <t>SS01</t>
        </is>
      </c>
      <c r="E812" t="inlineStr">
        <is>
          <t xml:space="preserve">san salvador centro </t>
        </is>
      </c>
      <c r="F812" t="inlineStr">
        <is>
          <t>4a Calle Poniente #215</t>
        </is>
      </c>
      <c r="G812" t="inlineStr">
        <is>
          <t>San Salvador</t>
        </is>
      </c>
      <c r="H812" t="inlineStr">
        <is>
          <t>San Salvador</t>
        </is>
      </c>
      <c r="I812" t="inlineStr">
        <is>
          <t>Roberto Alfaro</t>
        </is>
      </c>
      <c r="J812" t="inlineStr">
        <is>
          <t>2221-4580</t>
        </is>
      </c>
      <c r="K812" t="inlineStr">
        <is>
          <t>Daniela Orellana</t>
        </is>
      </c>
      <c r="L812" t="inlineStr">
        <is>
          <t>Pupusería El Comal</t>
        </is>
      </c>
      <c r="M812" t="inlineStr">
        <is>
          <t>261664-6</t>
        </is>
      </c>
      <c r="N812" t="inlineStr">
        <is>
          <t>6293-1154</t>
        </is>
      </c>
      <c r="O812" t="inlineStr">
        <is>
          <t>Contribuyente</t>
        </is>
      </c>
      <c r="P812" t="inlineStr">
        <is>
          <t>HIG-002</t>
        </is>
      </c>
      <c r="Q812" t="inlineStr">
        <is>
          <t>Papel higiénico 4 rollos</t>
        </is>
      </c>
      <c r="R812" t="inlineStr">
        <is>
          <t>Limpieza</t>
        </is>
      </c>
      <c r="S812" t="inlineStr">
        <is>
          <t>Higiene Total C.A.</t>
        </is>
      </c>
      <c r="T812" t="inlineStr">
        <is>
          <t>2207-5566</t>
        </is>
      </c>
      <c r="U812" t="n">
        <v>2.15</v>
      </c>
      <c r="V812" t="n">
        <v>4</v>
      </c>
      <c r="W812" t="n">
        <v>10</v>
      </c>
      <c r="X812">
        <f>IFERROR(U812*V812*(1-W812/100),"")</f>
        <v/>
      </c>
      <c r="Y812">
        <f>IFERROR(ROUND(X812*0.13,2),"")</f>
        <v/>
      </c>
      <c r="Z812">
        <f>IFERROR(X812+Y812,"")</f>
        <v/>
      </c>
      <c r="AA812" t="inlineStr">
        <is>
          <t>Transferencia</t>
        </is>
      </c>
      <c r="AB812" t="inlineStr">
        <is>
          <t>Cliente frecuente</t>
        </is>
      </c>
    </row>
    <row r="813">
      <c r="A813" t="inlineStr">
        <is>
          <t>F-11104</t>
        </is>
      </c>
      <c r="B813" s="3" t="n">
        <v>46210</v>
      </c>
      <c r="C813" t="inlineStr">
        <is>
          <t>CCF</t>
        </is>
      </c>
      <c r="D813" t="inlineStr">
        <is>
          <t>SS01</t>
        </is>
      </c>
      <c r="E813" t="inlineStr">
        <is>
          <t>San Salvador Centro</t>
        </is>
      </c>
      <c r="F813" t="inlineStr">
        <is>
          <t>4a Calle Poniente #215</t>
        </is>
      </c>
      <c r="G813" t="inlineStr">
        <is>
          <t>San Salvador</t>
        </is>
      </c>
      <c r="H813" t="inlineStr">
        <is>
          <t>San Salvador</t>
        </is>
      </c>
      <c r="I813" t="inlineStr">
        <is>
          <t>Roberto Alfaro</t>
        </is>
      </c>
      <c r="J813" t="inlineStr">
        <is>
          <t>2221-4580</t>
        </is>
      </c>
      <c r="K813" t="inlineStr">
        <is>
          <t>Daniela Orellana</t>
        </is>
      </c>
      <c r="L813" t="inlineStr">
        <is>
          <t>Pupusería El Comal</t>
        </is>
      </c>
      <c r="M813" t="inlineStr">
        <is>
          <t>261664-6</t>
        </is>
      </c>
      <c r="N813" t="inlineStr">
        <is>
          <t>6293-1154</t>
        </is>
      </c>
      <c r="O813" t="inlineStr">
        <is>
          <t>Contribuyente</t>
        </is>
      </c>
      <c r="P813" t="inlineStr">
        <is>
          <t>BEB-003</t>
        </is>
      </c>
      <c r="Q813" t="inlineStr">
        <is>
          <t>Horchata en polvo 400g</t>
        </is>
      </c>
      <c r="R813" t="inlineStr">
        <is>
          <t>Abarrotes</t>
        </is>
      </c>
      <c r="S813" t="inlineStr">
        <is>
          <t>Bebidas Izalco</t>
        </is>
      </c>
      <c r="T813" t="inlineStr">
        <is>
          <t>2450-7700</t>
        </is>
      </c>
      <c r="U813" t="n">
        <v>2.6</v>
      </c>
      <c r="V813" t="n">
        <v>2</v>
      </c>
      <c r="W813" t="n">
        <v>0</v>
      </c>
      <c r="X813">
        <f>IFERROR(U813*V813*(1-W813/100),"")</f>
        <v/>
      </c>
      <c r="Y813">
        <f>IFERROR(ROUND(X813*0.13,2),"")</f>
        <v/>
      </c>
      <c r="Z813">
        <f>IFERROR(X813+Y813,"")</f>
        <v/>
      </c>
      <c r="AA813" t="inlineStr">
        <is>
          <t>Transferencia</t>
        </is>
      </c>
      <c r="AB813" t="inlineStr">
        <is>
          <t>Llamar al 7788-1234 antes de entregar</t>
        </is>
      </c>
    </row>
    <row r="814">
      <c r="A814" t="inlineStr">
        <is>
          <t>F-11105</t>
        </is>
      </c>
      <c r="B814" t="inlineStr">
        <is>
          <t>22/07/2026</t>
        </is>
      </c>
      <c r="C814" t="inlineStr">
        <is>
          <t>Factura</t>
        </is>
      </c>
      <c r="D814" t="inlineStr">
        <is>
          <t>SA01</t>
        </is>
      </c>
      <c r="E814" t="inlineStr">
        <is>
          <t>STA ANA</t>
        </is>
      </c>
      <c r="F814" t="inlineStr">
        <is>
          <t>Av. Independencia Sur #12</t>
        </is>
      </c>
      <c r="G814" t="inlineStr">
        <is>
          <t>Santa Ana</t>
        </is>
      </c>
      <c r="H814" t="inlineStr">
        <is>
          <t>Santa Ana</t>
        </is>
      </c>
      <c r="I814" t="inlineStr">
        <is>
          <t>Mauricio Linares</t>
        </is>
      </c>
      <c r="J814" t="inlineStr">
        <is>
          <t>2440-9921</t>
        </is>
      </c>
      <c r="K814" t="inlineStr">
        <is>
          <t>Sofía Cáceres</t>
        </is>
      </c>
      <c r="L814" t="inlineStr">
        <is>
          <t>Douglas Pérez Guevara</t>
        </is>
      </c>
      <c r="M814" t="inlineStr">
        <is>
          <t>09863904-2</t>
        </is>
      </c>
      <c r="N814" t="inlineStr">
        <is>
          <t>7997-9269</t>
        </is>
      </c>
      <c r="O814" t="inlineStr">
        <is>
          <t>Consumidor final</t>
        </is>
      </c>
      <c r="P814" t="inlineStr">
        <is>
          <t>HIG-003</t>
        </is>
      </c>
      <c r="Q814" t="inlineStr">
        <is>
          <t>Jabón de lavar barra</t>
        </is>
      </c>
      <c r="R814" t="inlineStr">
        <is>
          <t>Limpieza</t>
        </is>
      </c>
      <c r="S814" t="inlineStr">
        <is>
          <t>Higiene Total C.A.</t>
        </is>
      </c>
      <c r="T814" t="inlineStr">
        <is>
          <t>2207-5566</t>
        </is>
      </c>
      <c r="U814" t="n">
        <v>0.75</v>
      </c>
      <c r="V814" t="n">
        <v>1</v>
      </c>
      <c r="W814" t="n">
        <v>0</v>
      </c>
      <c r="X814">
        <f>IFERROR(U814*V814*(1-W814/100),"")</f>
        <v/>
      </c>
      <c r="Y814">
        <f>IFERROR(ROUND(X814*0.13,2),"")</f>
        <v/>
      </c>
      <c r="Z814">
        <f>IFERROR(X814+Y814,"")</f>
        <v/>
      </c>
      <c r="AA814" t="inlineStr">
        <is>
          <t>Tarjeta</t>
        </is>
      </c>
      <c r="AB814" t="inlineStr">
        <is>
          <t>Cliente frecuente</t>
        </is>
      </c>
    </row>
    <row r="815">
      <c r="A815" t="inlineStr">
        <is>
          <t>F-11106</t>
        </is>
      </c>
      <c r="B815" t="inlineStr">
        <is>
          <t>19-Aug-26</t>
        </is>
      </c>
      <c r="C815" t="inlineStr">
        <is>
          <t>CCF</t>
        </is>
      </c>
      <c r="D815" t="inlineStr">
        <is>
          <t>SS01</t>
        </is>
      </c>
      <c r="E815" t="inlineStr">
        <is>
          <t>S.S. Centro</t>
        </is>
      </c>
      <c r="F815" t="inlineStr">
        <is>
          <t>4a Calle Poniente #215</t>
        </is>
      </c>
      <c r="G815" t="inlineStr">
        <is>
          <t>San Salvador</t>
        </is>
      </c>
      <c r="H815" t="inlineStr">
        <is>
          <t>San Salvador</t>
        </is>
      </c>
      <c r="I815" t="inlineStr">
        <is>
          <t>Roberto Alfaro</t>
        </is>
      </c>
      <c r="J815" t="inlineStr">
        <is>
          <t>2221-4580</t>
        </is>
      </c>
      <c r="K815" t="inlineStr">
        <is>
          <t>Daniela Orellana</t>
        </is>
      </c>
      <c r="L815" t="inlineStr">
        <is>
          <t>Cafetería Los Almendros</t>
        </is>
      </c>
      <c r="M815" t="inlineStr">
        <is>
          <t>292641-2</t>
        </is>
      </c>
      <c r="N815" t="inlineStr">
        <is>
          <t>2283-6155</t>
        </is>
      </c>
      <c r="O815" t="inlineStr">
        <is>
          <t>Contribuyente</t>
        </is>
      </c>
      <c r="P815" t="inlineStr">
        <is>
          <t>BEB-002</t>
        </is>
      </c>
      <c r="Q815" t="inlineStr">
        <is>
          <t>Agua purificada 1 galón</t>
        </is>
      </c>
      <c r="R815" t="inlineStr">
        <is>
          <t>Bebidas</t>
        </is>
      </c>
      <c r="S815" t="inlineStr">
        <is>
          <t>Bebidas Izalco</t>
        </is>
      </c>
      <c r="T815" t="inlineStr">
        <is>
          <t>2450-7700</t>
        </is>
      </c>
      <c r="U815" t="n">
        <v>1.1</v>
      </c>
      <c r="V815" t="n">
        <v>1</v>
      </c>
      <c r="W815" t="n">
        <v>0</v>
      </c>
      <c r="X815">
        <f>IFERROR(U815*V815*(1-W815/100),"")</f>
        <v/>
      </c>
      <c r="Y815">
        <f>IFERROR(ROUND(X815*0.13,2),"")</f>
        <v/>
      </c>
      <c r="Z815">
        <f>IFERROR(X815+Y815,"")</f>
        <v/>
      </c>
      <c r="AA815" t="inlineStr">
        <is>
          <t>Bitcoin</t>
        </is>
      </c>
      <c r="AB815" t="inlineStr">
        <is>
          <t>precio especial autorizado por gerente</t>
        </is>
      </c>
    </row>
    <row r="816">
      <c r="A816" t="inlineStr">
        <is>
          <t>F-11106</t>
        </is>
      </c>
      <c r="B816" s="3" t="n">
        <v>46253</v>
      </c>
      <c r="C816" t="inlineStr">
        <is>
          <t>CCF</t>
        </is>
      </c>
      <c r="D816" t="inlineStr">
        <is>
          <t>SS01</t>
        </is>
      </c>
      <c r="E816" t="inlineStr">
        <is>
          <t xml:space="preserve">san salvador centro </t>
        </is>
      </c>
      <c r="F816" t="inlineStr">
        <is>
          <t>4a Calle Poniente #215</t>
        </is>
      </c>
      <c r="G816" t="inlineStr">
        <is>
          <t>San Salvador</t>
        </is>
      </c>
      <c r="H816" t="inlineStr">
        <is>
          <t>San Salvador</t>
        </is>
      </c>
      <c r="I816" t="inlineStr">
        <is>
          <t>Roberto Alfaro</t>
        </is>
      </c>
      <c r="J816" t="inlineStr">
        <is>
          <t>2221-4580</t>
        </is>
      </c>
      <c r="K816" t="inlineStr">
        <is>
          <t>Daniela Orellana</t>
        </is>
      </c>
      <c r="L816" t="inlineStr">
        <is>
          <t>Cafetería Los Almendros</t>
        </is>
      </c>
      <c r="M816" t="inlineStr">
        <is>
          <t>292641-2</t>
        </is>
      </c>
      <c r="N816" t="inlineStr">
        <is>
          <t>2283-6155</t>
        </is>
      </c>
      <c r="O816" t="inlineStr">
        <is>
          <t>Contribuyente</t>
        </is>
      </c>
      <c r="P816" t="inlineStr">
        <is>
          <t>LAC-003</t>
        </is>
      </c>
      <c r="Q816" t="inlineStr">
        <is>
          <t>Leche entera 1L</t>
        </is>
      </c>
      <c r="R816" t="inlineStr">
        <is>
          <t>Lácteos</t>
        </is>
      </c>
      <c r="S816" t="inlineStr">
        <is>
          <t>Lácteos Chalate</t>
        </is>
      </c>
      <c r="T816" t="inlineStr">
        <is>
          <t>2335-1020</t>
        </is>
      </c>
      <c r="U816" t="n">
        <v>1.2</v>
      </c>
      <c r="V816" t="n">
        <v>2</v>
      </c>
      <c r="W816" t="n">
        <v>5</v>
      </c>
      <c r="X816">
        <f>IFERROR(U816*V816*(1-W816/100),"")</f>
        <v/>
      </c>
      <c r="Y816">
        <f>IFERROR(ROUND(X816*0.13,2),"")</f>
        <v/>
      </c>
      <c r="Z816">
        <f>IFERROR(X816+Y816,"")</f>
        <v/>
      </c>
      <c r="AA816" t="inlineStr">
        <is>
          <t>Bitcoin</t>
        </is>
      </c>
      <c r="AB816" t="inlineStr">
        <is>
          <t>entregar en bodega</t>
        </is>
      </c>
    </row>
    <row r="817">
      <c r="A817" t="inlineStr">
        <is>
          <t>F-11106</t>
        </is>
      </c>
      <c r="B817" s="3" t="n">
        <v>46253</v>
      </c>
      <c r="C817" t="inlineStr">
        <is>
          <t>CCF</t>
        </is>
      </c>
      <c r="D817" t="inlineStr">
        <is>
          <t>SS01</t>
        </is>
      </c>
      <c r="E817" t="inlineStr">
        <is>
          <t>San Salvador Centro</t>
        </is>
      </c>
      <c r="F817" t="inlineStr">
        <is>
          <t>4a Calle Poniente #215</t>
        </is>
      </c>
      <c r="G817" t="inlineStr">
        <is>
          <t>San Salvador</t>
        </is>
      </c>
      <c r="H817" t="inlineStr">
        <is>
          <t>San Salvador</t>
        </is>
      </c>
      <c r="I817" t="inlineStr">
        <is>
          <t>Roberto Alfaro</t>
        </is>
      </c>
      <c r="J817" t="inlineStr">
        <is>
          <t>2221-4580</t>
        </is>
      </c>
      <c r="K817" t="inlineStr">
        <is>
          <t>Daniela Orellana</t>
        </is>
      </c>
      <c r="L817" t="inlineStr">
        <is>
          <t>Cafetería Los Almendros</t>
        </is>
      </c>
      <c r="M817" t="inlineStr">
        <is>
          <t>292641-2</t>
        </is>
      </c>
      <c r="N817" t="inlineStr">
        <is>
          <t>2283-6155</t>
        </is>
      </c>
      <c r="O817" t="inlineStr">
        <is>
          <t>Contribuyente</t>
        </is>
      </c>
      <c r="P817" t="inlineStr">
        <is>
          <t>HIG-002</t>
        </is>
      </c>
      <c r="Q817" t="inlineStr">
        <is>
          <t>Papel higiénico 4 rollos</t>
        </is>
      </c>
      <c r="R817" t="inlineStr">
        <is>
          <t>Higiene</t>
        </is>
      </c>
      <c r="S817" t="inlineStr">
        <is>
          <t>Higiene Total C.A.</t>
        </is>
      </c>
      <c r="T817" t="inlineStr">
        <is>
          <t>2207-5566</t>
        </is>
      </c>
      <c r="U817" t="n">
        <v>2.15</v>
      </c>
      <c r="V817" t="n">
        <v>2</v>
      </c>
      <c r="W817" t="n">
        <v>5</v>
      </c>
      <c r="X817">
        <f>IFERROR(U817*V817*(1-W817/100),"")</f>
        <v/>
      </c>
      <c r="Y817">
        <f>IFERROR(ROUND(X817*0.13,2),"")</f>
        <v/>
      </c>
      <c r="Z817">
        <f>IFERROR(X817+Y817,"")</f>
        <v/>
      </c>
      <c r="AA817" t="inlineStr">
        <is>
          <t>Bitcoin</t>
        </is>
      </c>
      <c r="AB817" t="inlineStr"/>
    </row>
    <row r="818">
      <c r="A818" t="inlineStr">
        <is>
          <t>F-11107</t>
        </is>
      </c>
      <c r="B818" s="3" t="n">
        <v>46272</v>
      </c>
      <c r="C818" t="inlineStr">
        <is>
          <t>Factura</t>
        </is>
      </c>
      <c r="D818" t="inlineStr">
        <is>
          <t>SS01</t>
        </is>
      </c>
      <c r="E818" t="inlineStr">
        <is>
          <t>S.S. Centro</t>
        </is>
      </c>
      <c r="F818" t="inlineStr">
        <is>
          <t>4a Calle Poniente #215</t>
        </is>
      </c>
      <c r="G818" t="inlineStr">
        <is>
          <t>San Salvador</t>
        </is>
      </c>
      <c r="H818" t="inlineStr">
        <is>
          <t>San Salvador</t>
        </is>
      </c>
      <c r="I818" t="inlineStr">
        <is>
          <t>Roberto Alfaro</t>
        </is>
      </c>
      <c r="J818" t="inlineStr">
        <is>
          <t>2221-4580</t>
        </is>
      </c>
      <c r="K818" t="inlineStr">
        <is>
          <t>José Martínez</t>
        </is>
      </c>
      <c r="L818" t="inlineStr">
        <is>
          <t>Rosa López Castillo</t>
        </is>
      </c>
      <c r="M818" t="inlineStr">
        <is>
          <t>09782214-9</t>
        </is>
      </c>
      <c r="N818" t="inlineStr">
        <is>
          <t>6806-3209</t>
        </is>
      </c>
      <c r="O818" t="inlineStr">
        <is>
          <t>Consumidor final</t>
        </is>
      </c>
      <c r="P818" t="inlineStr">
        <is>
          <t>BEB-002</t>
        </is>
      </c>
      <c r="Q818" t="inlineStr">
        <is>
          <t>Agua purificada 1 galón</t>
        </is>
      </c>
      <c r="R818" t="inlineStr">
        <is>
          <t>Bebidas</t>
        </is>
      </c>
      <c r="S818" t="inlineStr">
        <is>
          <t>Bebidas Izalco</t>
        </is>
      </c>
      <c r="T818" t="inlineStr">
        <is>
          <t>2450-7700</t>
        </is>
      </c>
      <c r="U818" t="inlineStr">
        <is>
          <t>1,10</t>
        </is>
      </c>
      <c r="V818" t="n">
        <v>1</v>
      </c>
      <c r="W818" t="n">
        <v>0</v>
      </c>
      <c r="X818">
        <f>IFERROR(U818*V818*(1-W818/100),"")</f>
        <v/>
      </c>
      <c r="Y818">
        <f>IFERROR(ROUND(X818*0.13,2),"")</f>
        <v/>
      </c>
      <c r="Z818">
        <f>IFERROR(X818+Y818,"")</f>
        <v/>
      </c>
      <c r="AA818" t="inlineStr">
        <is>
          <t>Efectivo</t>
        </is>
      </c>
      <c r="AB818" t="inlineStr">
        <is>
          <t>Llamar al 7788-1234 antes de entregar</t>
        </is>
      </c>
    </row>
    <row r="819">
      <c r="A819" t="inlineStr">
        <is>
          <t>F-11107</t>
        </is>
      </c>
      <c r="B819" t="inlineStr">
        <is>
          <t>07/09/2026</t>
        </is>
      </c>
      <c r="C819" t="inlineStr">
        <is>
          <t>Factura</t>
        </is>
      </c>
      <c r="D819" t="inlineStr">
        <is>
          <t>SS01</t>
        </is>
      </c>
      <c r="E819" t="inlineStr">
        <is>
          <t>S.S. Centro</t>
        </is>
      </c>
      <c r="F819" t="inlineStr">
        <is>
          <t>4a Calle Poniente #215</t>
        </is>
      </c>
      <c r="G819" t="inlineStr">
        <is>
          <t>San Salvador</t>
        </is>
      </c>
      <c r="H819" t="inlineStr">
        <is>
          <t>San Salvador</t>
        </is>
      </c>
      <c r="I819" t="inlineStr">
        <is>
          <t>Roberto Alfaro</t>
        </is>
      </c>
      <c r="J819" t="inlineStr">
        <is>
          <t>2221-4580</t>
        </is>
      </c>
      <c r="K819" t="inlineStr">
        <is>
          <t>José Martínez</t>
        </is>
      </c>
      <c r="L819" t="inlineStr">
        <is>
          <t>Rosa López Castillo</t>
        </is>
      </c>
      <c r="M819" t="inlineStr"/>
      <c r="N819" t="inlineStr">
        <is>
          <t>6806-3209</t>
        </is>
      </c>
      <c r="O819" t="inlineStr">
        <is>
          <t>Consumidor final</t>
        </is>
      </c>
      <c r="P819" t="inlineStr">
        <is>
          <t>HIG-002</t>
        </is>
      </c>
      <c r="Q819" t="inlineStr">
        <is>
          <t>Papel higiénico 4 rollos</t>
        </is>
      </c>
      <c r="R819" t="inlineStr">
        <is>
          <t>Limpieza</t>
        </is>
      </c>
      <c r="S819" t="inlineStr">
        <is>
          <t>Higiene Total C.A.</t>
        </is>
      </c>
      <c r="T819" t="inlineStr">
        <is>
          <t>2207-5566</t>
        </is>
      </c>
      <c r="U819" t="n">
        <v>2.15</v>
      </c>
      <c r="V819" t="n">
        <v>3</v>
      </c>
      <c r="W819" t="n">
        <v>0</v>
      </c>
      <c r="X819">
        <f>IFERROR(U819*V819*(1-W819/100),"")</f>
        <v/>
      </c>
      <c r="Y819">
        <f>IFERROR(ROUND(X819*0.13,2),"")</f>
        <v/>
      </c>
      <c r="Z819">
        <f>IFERROR(X819+Y819,"")</f>
        <v/>
      </c>
      <c r="AA819" t="inlineStr">
        <is>
          <t>Efectivo</t>
        </is>
      </c>
      <c r="AB819" t="inlineStr">
        <is>
          <t>entregar en bodega</t>
        </is>
      </c>
    </row>
    <row r="820">
      <c r="A820" t="inlineStr">
        <is>
          <t>F-11107</t>
        </is>
      </c>
      <c r="B820" s="3" t="n">
        <v>46272</v>
      </c>
      <c r="C820" t="inlineStr">
        <is>
          <t>Factura</t>
        </is>
      </c>
      <c r="D820" t="inlineStr">
        <is>
          <t>SS01</t>
        </is>
      </c>
      <c r="E820" t="inlineStr">
        <is>
          <t>SAN SALVADOR CENTRO</t>
        </is>
      </c>
      <c r="F820" t="inlineStr">
        <is>
          <t>4a Calle Poniente #215</t>
        </is>
      </c>
      <c r="G820" t="inlineStr">
        <is>
          <t>San Salvador</t>
        </is>
      </c>
      <c r="H820" t="inlineStr">
        <is>
          <t>San Salvador</t>
        </is>
      </c>
      <c r="I820" t="inlineStr">
        <is>
          <t>Roberto Alfaro</t>
        </is>
      </c>
      <c r="J820" t="inlineStr">
        <is>
          <t>2221-4580</t>
        </is>
      </c>
      <c r="K820" t="inlineStr">
        <is>
          <t>José Martínez</t>
        </is>
      </c>
      <c r="L820" t="inlineStr">
        <is>
          <t>Rosa López Castillo</t>
        </is>
      </c>
      <c r="M820" t="inlineStr">
        <is>
          <t>09782214-9</t>
        </is>
      </c>
      <c r="N820" t="inlineStr">
        <is>
          <t>6806-3209</t>
        </is>
      </c>
      <c r="O820" t="inlineStr">
        <is>
          <t>Consumidor final</t>
        </is>
      </c>
      <c r="P820" t="inlineStr">
        <is>
          <t>PAN-003</t>
        </is>
      </c>
      <c r="Q820" t="inlineStr">
        <is>
          <t>Quesadilla salvadoreña</t>
        </is>
      </c>
      <c r="R820" t="inlineStr">
        <is>
          <t>Panadería</t>
        </is>
      </c>
      <c r="S820" t="inlineStr">
        <is>
          <t>Panificadora Ilopango</t>
        </is>
      </c>
      <c r="T820" t="inlineStr">
        <is>
          <t>2295-0081</t>
        </is>
      </c>
      <c r="U820" t="n">
        <v>2.5</v>
      </c>
      <c r="V820" t="n">
        <v>1</v>
      </c>
      <c r="W820" t="n">
        <v>0</v>
      </c>
      <c r="X820">
        <f>IFERROR(U820*V820*(1-W820/100),"")</f>
        <v/>
      </c>
      <c r="Y820">
        <f>IFERROR(ROUND(X820*0.13,2),"")</f>
        <v/>
      </c>
      <c r="Z820">
        <f>IFERROR(X820+Y820,"")</f>
        <v/>
      </c>
      <c r="AA820" t="inlineStr">
        <is>
          <t>Efectivo</t>
        </is>
      </c>
      <c r="AB820" t="inlineStr"/>
    </row>
    <row r="821">
      <c r="A821" t="inlineStr">
        <is>
          <t>F-11108</t>
        </is>
      </c>
      <c r="B821" t="inlineStr">
        <is>
          <t>2026-08-10</t>
        </is>
      </c>
      <c r="C821" t="inlineStr">
        <is>
          <t>Factura</t>
        </is>
      </c>
      <c r="D821" t="inlineStr">
        <is>
          <t>SS02</t>
        </is>
      </c>
      <c r="E821" t="inlineStr">
        <is>
          <t>ESCALON</t>
        </is>
      </c>
      <c r="F821" t="inlineStr">
        <is>
          <t>Paseo General Escalón #3910</t>
        </is>
      </c>
      <c r="G821" t="inlineStr">
        <is>
          <t>San Salvador</t>
        </is>
      </c>
      <c r="H821" t="inlineStr">
        <is>
          <t>San Salvador</t>
        </is>
      </c>
      <c r="I821" t="inlineStr">
        <is>
          <t>Claudia Menjívar</t>
        </is>
      </c>
      <c r="J821" t="inlineStr">
        <is>
          <t>2264-1190</t>
        </is>
      </c>
      <c r="K821" t="inlineStr">
        <is>
          <t>Fátima Rosales</t>
        </is>
      </c>
      <c r="L821" t="inlineStr">
        <is>
          <t>Brenda Castillo Sorto</t>
        </is>
      </c>
      <c r="M821" t="inlineStr">
        <is>
          <t>09144591-2</t>
        </is>
      </c>
      <c r="N821" t="inlineStr">
        <is>
          <t>2460-3568</t>
        </is>
      </c>
      <c r="O821" t="inlineStr">
        <is>
          <t>Consumidor final</t>
        </is>
      </c>
      <c r="P821" t="inlineStr">
        <is>
          <t>HAR-001</t>
        </is>
      </c>
      <c r="Q821" t="inlineStr">
        <is>
          <t>Harina de maíz 2lb</t>
        </is>
      </c>
      <c r="R821" t="inlineStr">
        <is>
          <t>Abarrotes</t>
        </is>
      </c>
      <c r="S821" t="inlineStr">
        <is>
          <t>Granos del Pacífico</t>
        </is>
      </c>
      <c r="T821" t="inlineStr">
        <is>
          <t>2234-8890</t>
        </is>
      </c>
      <c r="U821" t="n">
        <v>1.35</v>
      </c>
      <c r="V821" t="n">
        <v>1</v>
      </c>
      <c r="W821" t="n">
        <v>0</v>
      </c>
      <c r="X821">
        <f>IFERROR(U821*V821*(1-W821/100),"")</f>
        <v/>
      </c>
      <c r="Y821">
        <f>IFERROR(ROUND(X821*0.13,2),"")</f>
        <v/>
      </c>
      <c r="Z821">
        <f>IFERROR(X821+Y821,"")</f>
        <v/>
      </c>
      <c r="AA821" t="inlineStr">
        <is>
          <t>Efectivo</t>
        </is>
      </c>
      <c r="AB821" t="inlineStr">
        <is>
          <t>precio especial autorizado por gerente</t>
        </is>
      </c>
    </row>
    <row r="822">
      <c r="A822" t="inlineStr">
        <is>
          <t>F-11109</t>
        </is>
      </c>
      <c r="B822" s="3" t="n">
        <v>46218</v>
      </c>
      <c r="C822" t="inlineStr">
        <is>
          <t>Factura</t>
        </is>
      </c>
      <c r="D822" t="inlineStr">
        <is>
          <t>US01</t>
        </is>
      </c>
      <c r="E822" t="inlineStr">
        <is>
          <t>Usulutan</t>
        </is>
      </c>
      <c r="F822" t="inlineStr">
        <is>
          <t>2a Av. Norte #9</t>
        </is>
      </c>
      <c r="G822" t="inlineStr">
        <is>
          <t>Usulután</t>
        </is>
      </c>
      <c r="H822" t="inlineStr">
        <is>
          <t>Usulután</t>
        </is>
      </c>
      <c r="I822" t="inlineStr">
        <is>
          <t>Nelson Fuentes</t>
        </is>
      </c>
      <c r="J822" t="inlineStr">
        <is>
          <t>2662-8810</t>
        </is>
      </c>
      <c r="K822" t="inlineStr">
        <is>
          <t>Miguel Bonilla</t>
        </is>
      </c>
      <c r="L822" t="inlineStr">
        <is>
          <t>Mario Castillo Flores</t>
        </is>
      </c>
      <c r="M822" t="inlineStr">
        <is>
          <t>04376476-4</t>
        </is>
      </c>
      <c r="N822" t="inlineStr">
        <is>
          <t>2114-7744</t>
        </is>
      </c>
      <c r="O822" t="inlineStr">
        <is>
          <t>Consumidor final</t>
        </is>
      </c>
      <c r="P822" t="inlineStr">
        <is>
          <t>HAR-001</t>
        </is>
      </c>
      <c r="Q822" t="inlineStr">
        <is>
          <t>Harina de maíz 2lb</t>
        </is>
      </c>
      <c r="R822" t="inlineStr">
        <is>
          <t>Abarrotes</t>
        </is>
      </c>
      <c r="S822" t="inlineStr">
        <is>
          <t>Granos del Pacífico</t>
        </is>
      </c>
      <c r="T822" t="inlineStr">
        <is>
          <t>2234-8890</t>
        </is>
      </c>
      <c r="U822" t="inlineStr">
        <is>
          <t>1,35</t>
        </is>
      </c>
      <c r="V822" t="n">
        <v>6</v>
      </c>
      <c r="W822" t="n">
        <v>0</v>
      </c>
      <c r="X822">
        <f>IFERROR(U822*V822*(1-W822/100),"")</f>
        <v/>
      </c>
      <c r="Y822">
        <f>IFERROR(ROUND(X822*0.13,2),"")</f>
        <v/>
      </c>
      <c r="Z822">
        <f>IFERROR(X822+Y822,"")</f>
        <v/>
      </c>
      <c r="AA822" t="inlineStr">
        <is>
          <t>Tarjeta</t>
        </is>
      </c>
      <c r="AB822" t="inlineStr">
        <is>
          <t>precio especial autorizado por gerente</t>
        </is>
      </c>
    </row>
    <row r="823">
      <c r="A823" t="inlineStr">
        <is>
          <t>F-11109</t>
        </is>
      </c>
      <c r="B823" s="3" t="n">
        <v>46218</v>
      </c>
      <c r="C823" t="inlineStr">
        <is>
          <t>Factura</t>
        </is>
      </c>
      <c r="D823" t="inlineStr">
        <is>
          <t>US01</t>
        </is>
      </c>
      <c r="E823" t="inlineStr">
        <is>
          <t>Usulután</t>
        </is>
      </c>
      <c r="F823" t="inlineStr">
        <is>
          <t>2a Av. Norte #9</t>
        </is>
      </c>
      <c r="G823" t="inlineStr">
        <is>
          <t>Usulután</t>
        </is>
      </c>
      <c r="H823" t="inlineStr">
        <is>
          <t>Usulután</t>
        </is>
      </c>
      <c r="I823" t="inlineStr">
        <is>
          <t>Nelson Fuentes</t>
        </is>
      </c>
      <c r="J823" t="inlineStr">
        <is>
          <t>2662-8810</t>
        </is>
      </c>
      <c r="K823" t="inlineStr">
        <is>
          <t>Miguel Bonilla</t>
        </is>
      </c>
      <c r="L823" t="inlineStr">
        <is>
          <t>Mario Castillo Flores</t>
        </is>
      </c>
      <c r="M823" t="inlineStr">
        <is>
          <t>04376476-4</t>
        </is>
      </c>
      <c r="N823" t="inlineStr">
        <is>
          <t>2114-7744</t>
        </is>
      </c>
      <c r="O823" t="inlineStr">
        <is>
          <t>Consumidor final</t>
        </is>
      </c>
      <c r="P823" t="inlineStr">
        <is>
          <t>FRI-001</t>
        </is>
      </c>
      <c r="Q823" t="inlineStr">
        <is>
          <t>Frijol rojo de seda 2lb</t>
        </is>
      </c>
      <c r="R823" t="inlineStr">
        <is>
          <t>Abarrotes</t>
        </is>
      </c>
      <c r="S823" t="inlineStr">
        <is>
          <t>Granos del Pacífico</t>
        </is>
      </c>
      <c r="T823" t="inlineStr">
        <is>
          <t>2234-8890</t>
        </is>
      </c>
      <c r="U823" t="n">
        <v>2.4</v>
      </c>
      <c r="V823" t="n">
        <v>6</v>
      </c>
      <c r="W823" t="n">
        <v>0</v>
      </c>
      <c r="X823">
        <f>IFERROR(U823*V823*(1-W823/100),"")</f>
        <v/>
      </c>
      <c r="Y823">
        <f>IFERROR(ROUND(X823*0.13,2),"")</f>
        <v/>
      </c>
      <c r="Z823">
        <f>IFERROR(X823+Y823,"")</f>
        <v/>
      </c>
      <c r="AA823" t="inlineStr">
        <is>
          <t>Tarjeta</t>
        </is>
      </c>
      <c r="AB823" t="inlineStr">
        <is>
          <t>entregar en bodega</t>
        </is>
      </c>
    </row>
    <row r="824">
      <c r="A824" t="inlineStr">
        <is>
          <t>F-11111</t>
        </is>
      </c>
      <c r="B824" s="3" t="n">
        <v>46239</v>
      </c>
      <c r="C824" t="inlineStr">
        <is>
          <t>Factura</t>
        </is>
      </c>
      <c r="D824" t="inlineStr">
        <is>
          <t>SS02</t>
        </is>
      </c>
      <c r="E824" t="inlineStr">
        <is>
          <t>Col. Escalón</t>
        </is>
      </c>
      <c r="F824" t="inlineStr">
        <is>
          <t>Paseo General Escalón #3910</t>
        </is>
      </c>
      <c r="G824" t="inlineStr">
        <is>
          <t>San Salvador</t>
        </is>
      </c>
      <c r="H824" t="inlineStr">
        <is>
          <t>San Salvador</t>
        </is>
      </c>
      <c r="I824" t="inlineStr">
        <is>
          <t>Claudia Menjívar</t>
        </is>
      </c>
      <c r="J824" t="inlineStr">
        <is>
          <t>2264-1190</t>
        </is>
      </c>
      <c r="K824" t="inlineStr">
        <is>
          <t>Fátima Rosales</t>
        </is>
      </c>
      <c r="L824" t="inlineStr">
        <is>
          <t>Walter Mejía Castillo</t>
        </is>
      </c>
      <c r="M824" t="inlineStr">
        <is>
          <t>02326285-9</t>
        </is>
      </c>
      <c r="N824" t="inlineStr">
        <is>
          <t>2959-3937</t>
        </is>
      </c>
      <c r="O824" t="inlineStr">
        <is>
          <t>Consumidor final</t>
        </is>
      </c>
      <c r="P824" t="inlineStr">
        <is>
          <t>PAN-002</t>
        </is>
      </c>
      <c r="Q824" t="inlineStr">
        <is>
          <t>Semita alta</t>
        </is>
      </c>
      <c r="R824" t="inlineStr">
        <is>
          <t>Panadería</t>
        </is>
      </c>
      <c r="S824" t="inlineStr">
        <is>
          <t>Panificadora Ilopango</t>
        </is>
      </c>
      <c r="T824" t="inlineStr">
        <is>
          <t>2295-0081</t>
        </is>
      </c>
      <c r="U824" t="inlineStr">
        <is>
          <t>$1.75</t>
        </is>
      </c>
      <c r="V824" t="n">
        <v>3</v>
      </c>
      <c r="W824" t="n">
        <v>0</v>
      </c>
      <c r="X824">
        <f>IFERROR(U824*V824*(1-W824/100),"")</f>
        <v/>
      </c>
      <c r="Y824">
        <f>IFERROR(ROUND(X824*0.13,2),"")</f>
        <v/>
      </c>
      <c r="Z824">
        <f>IFERROR(X824+Y824,"")</f>
        <v/>
      </c>
      <c r="AA824" t="inlineStr">
        <is>
          <t>Bitcoin</t>
        </is>
      </c>
      <c r="AB824" t="inlineStr">
        <is>
          <t>pagó con billete de $100</t>
        </is>
      </c>
    </row>
    <row r="825">
      <c r="A825" t="inlineStr">
        <is>
          <t>F-11111</t>
        </is>
      </c>
      <c r="B825" s="3" t="n">
        <v>46239</v>
      </c>
      <c r="C825" t="inlineStr">
        <is>
          <t>Factura</t>
        </is>
      </c>
      <c r="D825" t="inlineStr">
        <is>
          <t>SS02</t>
        </is>
      </c>
      <c r="E825" t="inlineStr">
        <is>
          <t>Col. Escalón</t>
        </is>
      </c>
      <c r="F825" t="inlineStr">
        <is>
          <t>Paseo General Escalón #3910</t>
        </is>
      </c>
      <c r="G825" t="inlineStr">
        <is>
          <t>San Salvador</t>
        </is>
      </c>
      <c r="H825" t="inlineStr">
        <is>
          <t>San Salvador</t>
        </is>
      </c>
      <c r="I825" t="inlineStr">
        <is>
          <t>Claudia Menjívar</t>
        </is>
      </c>
      <c r="J825" t="inlineStr">
        <is>
          <t>2264-1190</t>
        </is>
      </c>
      <c r="K825" t="inlineStr">
        <is>
          <t>Fátima Rosales</t>
        </is>
      </c>
      <c r="L825" t="inlineStr">
        <is>
          <t>Walter Mejía Castillo</t>
        </is>
      </c>
      <c r="M825" t="inlineStr">
        <is>
          <t>02326285-9</t>
        </is>
      </c>
      <c r="N825" t="inlineStr">
        <is>
          <t>2959-3937</t>
        </is>
      </c>
      <c r="O825" t="inlineStr">
        <is>
          <t>Consumidor final</t>
        </is>
      </c>
      <c r="P825" t="inlineStr">
        <is>
          <t>AZU-001</t>
        </is>
      </c>
      <c r="Q825" t="inlineStr">
        <is>
          <t>Azúcar blanca 2.5kg</t>
        </is>
      </c>
      <c r="R825" t="inlineStr">
        <is>
          <t>Abarrotes</t>
        </is>
      </c>
      <c r="S825" t="inlineStr">
        <is>
          <t>Granos del Pacífico</t>
        </is>
      </c>
      <c r="T825" t="inlineStr">
        <is>
          <t>2234-8890</t>
        </is>
      </c>
      <c r="U825" t="n">
        <v>3.1</v>
      </c>
      <c r="V825" t="n">
        <v>4</v>
      </c>
      <c r="W825" t="n">
        <v>0</v>
      </c>
      <c r="X825">
        <f>IFERROR(U825*V825*(1-W825/100),"")</f>
        <v/>
      </c>
      <c r="Y825">
        <f>IFERROR(ROUND(X825*0.13,2),"")</f>
        <v/>
      </c>
      <c r="Z825">
        <f>IFERROR(X825+Y825,"")</f>
        <v/>
      </c>
      <c r="AA825" t="inlineStr">
        <is>
          <t>Bitcoin</t>
        </is>
      </c>
      <c r="AB825" t="inlineStr">
        <is>
          <t>pagó con billete de $100</t>
        </is>
      </c>
    </row>
    <row r="826">
      <c r="A826" t="inlineStr">
        <is>
          <t>F-11112</t>
        </is>
      </c>
      <c r="B826" s="3" t="n">
        <v>46284</v>
      </c>
      <c r="C826" t="inlineStr">
        <is>
          <t>FCF</t>
        </is>
      </c>
      <c r="D826" t="inlineStr">
        <is>
          <t>SM01</t>
        </is>
      </c>
      <c r="E826" t="inlineStr">
        <is>
          <t>San Miguel</t>
        </is>
      </c>
      <c r="F826" t="inlineStr">
        <is>
          <t>Av. Roosevelt Sur #7</t>
        </is>
      </c>
      <c r="G826" t="inlineStr">
        <is>
          <t>San Miguel</t>
        </is>
      </c>
      <c r="H826" t="inlineStr">
        <is>
          <t>San Miguel</t>
        </is>
      </c>
      <c r="I826" t="inlineStr">
        <is>
          <t>Iris Portillo</t>
        </is>
      </c>
      <c r="J826" t="inlineStr">
        <is>
          <t>2661-5076</t>
        </is>
      </c>
      <c r="K826" t="inlineStr">
        <is>
          <t>Jorge Villalta</t>
        </is>
      </c>
      <c r="L826" t="inlineStr">
        <is>
          <t>Douglas Pérez Guevara</t>
        </is>
      </c>
      <c r="M826" t="inlineStr">
        <is>
          <t>09863904-2</t>
        </is>
      </c>
      <c r="N826" t="inlineStr">
        <is>
          <t>7997-9269</t>
        </is>
      </c>
      <c r="O826" t="inlineStr">
        <is>
          <t>Consumidor final</t>
        </is>
      </c>
      <c r="P826" t="inlineStr">
        <is>
          <t>PAN-002</t>
        </is>
      </c>
      <c r="Q826" t="inlineStr">
        <is>
          <t>Semita alta</t>
        </is>
      </c>
      <c r="R826" t="inlineStr">
        <is>
          <t>Panadería</t>
        </is>
      </c>
      <c r="S826" t="inlineStr">
        <is>
          <t>Panificadora Ilopango</t>
        </is>
      </c>
      <c r="T826" t="inlineStr">
        <is>
          <t>2295-0081</t>
        </is>
      </c>
      <c r="U826" t="n">
        <v>1.75</v>
      </c>
      <c r="V826" t="n">
        <v>4</v>
      </c>
      <c r="W826" t="n">
        <v>0</v>
      </c>
      <c r="X826">
        <f>IFERROR(U826*V826*(1-W826/100),"")</f>
        <v/>
      </c>
      <c r="Y826">
        <f>IFERROR(ROUND(X826*0.13,2),"")</f>
        <v/>
      </c>
      <c r="Z826">
        <f>IFERROR(X826+Y826,"")</f>
        <v/>
      </c>
      <c r="AA826" t="inlineStr">
        <is>
          <t>Tarjeta</t>
        </is>
      </c>
      <c r="AB826" t="inlineStr">
        <is>
          <t>Llamar al 7788-1234 antes de entregar</t>
        </is>
      </c>
    </row>
    <row r="827">
      <c r="A827" t="inlineStr">
        <is>
          <t>F-11112</t>
        </is>
      </c>
      <c r="B827" s="3" t="n">
        <v>46284</v>
      </c>
      <c r="C827" t="inlineStr">
        <is>
          <t>FCF</t>
        </is>
      </c>
      <c r="D827" t="inlineStr">
        <is>
          <t>SM01</t>
        </is>
      </c>
      <c r="E827" t="inlineStr">
        <is>
          <t>SAN MIGUEL</t>
        </is>
      </c>
      <c r="F827" t="inlineStr">
        <is>
          <t>Av. Roosevelt Sur #7</t>
        </is>
      </c>
      <c r="G827" t="inlineStr">
        <is>
          <t>San Miguel</t>
        </is>
      </c>
      <c r="H827" t="inlineStr">
        <is>
          <t>San Miguel</t>
        </is>
      </c>
      <c r="I827" t="inlineStr">
        <is>
          <t>Iris Portillo</t>
        </is>
      </c>
      <c r="J827" t="inlineStr">
        <is>
          <t>2661-5076</t>
        </is>
      </c>
      <c r="K827" t="inlineStr">
        <is>
          <t>Jorge Villalta</t>
        </is>
      </c>
      <c r="L827" t="inlineStr">
        <is>
          <t>Douglas Pérez Guevara</t>
        </is>
      </c>
      <c r="M827" t="inlineStr">
        <is>
          <t>09863904-2</t>
        </is>
      </c>
      <c r="N827" t="inlineStr">
        <is>
          <t>7997-9269</t>
        </is>
      </c>
      <c r="O827" t="inlineStr">
        <is>
          <t>Consumidor final</t>
        </is>
      </c>
      <c r="P827" t="inlineStr">
        <is>
          <t>BEB-003</t>
        </is>
      </c>
      <c r="Q827" t="inlineStr">
        <is>
          <t>Horchata en polvo 400g</t>
        </is>
      </c>
      <c r="R827" t="inlineStr">
        <is>
          <t>Abarrotes</t>
        </is>
      </c>
      <c r="S827" t="inlineStr">
        <is>
          <t>Bebidas Izalco</t>
        </is>
      </c>
      <c r="T827" t="inlineStr">
        <is>
          <t>2450-7700</t>
        </is>
      </c>
      <c r="U827" t="n">
        <v>2.6</v>
      </c>
      <c r="V827" t="n">
        <v>1</v>
      </c>
      <c r="W827" t="n">
        <v>0</v>
      </c>
      <c r="X827">
        <f>IFERROR(U827*V827*(1-W827/100),"")</f>
        <v/>
      </c>
      <c r="Y827">
        <f>IFERROR(ROUND(X827*0.13,2),"")</f>
        <v/>
      </c>
      <c r="Z827">
        <f>IFERROR(X827+Y827,"")</f>
        <v/>
      </c>
      <c r="AA827" t="inlineStr">
        <is>
          <t>Tarjeta</t>
        </is>
      </c>
      <c r="AB827" t="inlineStr"/>
    </row>
    <row r="828">
      <c r="A828" t="inlineStr">
        <is>
          <t>F-11112</t>
        </is>
      </c>
      <c r="B828" s="3" t="n">
        <v>46284</v>
      </c>
      <c r="C828" t="inlineStr">
        <is>
          <t>FCF</t>
        </is>
      </c>
      <c r="D828" t="inlineStr">
        <is>
          <t>SM01</t>
        </is>
      </c>
      <c r="E828" t="inlineStr">
        <is>
          <t>SAN MIGUEL</t>
        </is>
      </c>
      <c r="F828" t="inlineStr">
        <is>
          <t>Av. Roosevelt Sur #7</t>
        </is>
      </c>
      <c r="G828" t="inlineStr">
        <is>
          <t>San Miguel</t>
        </is>
      </c>
      <c r="H828" t="inlineStr">
        <is>
          <t>San Miguel</t>
        </is>
      </c>
      <c r="I828" t="inlineStr">
        <is>
          <t>Iris Portillo</t>
        </is>
      </c>
      <c r="J828" t="inlineStr">
        <is>
          <t>2661-5076</t>
        </is>
      </c>
      <c r="K828" t="inlineStr">
        <is>
          <t>Jorge Villalta</t>
        </is>
      </c>
      <c r="L828" t="inlineStr">
        <is>
          <t>Douglas Pérez Guevara</t>
        </is>
      </c>
      <c r="M828" t="inlineStr">
        <is>
          <t>09863904-2</t>
        </is>
      </c>
      <c r="N828" t="inlineStr">
        <is>
          <t>7997-9269</t>
        </is>
      </c>
      <c r="O828" t="inlineStr">
        <is>
          <t>Consumidor final</t>
        </is>
      </c>
      <c r="P828" t="inlineStr">
        <is>
          <t>CAF-002</t>
        </is>
      </c>
      <c r="Q828" t="inlineStr">
        <is>
          <t>Café en grano 1lb</t>
        </is>
      </c>
      <c r="R828" t="inlineStr">
        <is>
          <t>Abarrotes</t>
        </is>
      </c>
      <c r="S828" t="inlineStr">
        <is>
          <t>Café Volcán S.A.</t>
        </is>
      </c>
      <c r="T828" t="inlineStr">
        <is>
          <t>2510-3344</t>
        </is>
      </c>
      <c r="U828" t="n">
        <v>6.75</v>
      </c>
      <c r="V828" t="n">
        <v>12</v>
      </c>
      <c r="W828" t="n">
        <v>0</v>
      </c>
      <c r="X828">
        <f>IFERROR(U828*V828*(1-W828/100),"")</f>
        <v/>
      </c>
      <c r="Y828">
        <f>IFERROR(ROUND(X828*0.13,2),"")</f>
        <v/>
      </c>
      <c r="Z828">
        <f>IFERROR(X828+Y828,"")</f>
        <v/>
      </c>
      <c r="AA828" t="inlineStr">
        <is>
          <t>Tarjeta</t>
        </is>
      </c>
      <c r="AB828" t="inlineStr">
        <is>
          <t>precio especial autorizado por gerente</t>
        </is>
      </c>
    </row>
    <row r="829">
      <c r="A829" t="inlineStr">
        <is>
          <t>F-11113</t>
        </is>
      </c>
      <c r="B829" s="3" t="n">
        <v>46226</v>
      </c>
      <c r="C829" t="inlineStr">
        <is>
          <t>Factura</t>
        </is>
      </c>
      <c r="D829" t="inlineStr">
        <is>
          <t>SS01</t>
        </is>
      </c>
      <c r="E829" t="inlineStr">
        <is>
          <t>S.S. Centro</t>
        </is>
      </c>
      <c r="F829" t="inlineStr">
        <is>
          <t>4a Calle Poniente #215</t>
        </is>
      </c>
      <c r="G829" t="inlineStr">
        <is>
          <t>San Salvador</t>
        </is>
      </c>
      <c r="H829" t="inlineStr">
        <is>
          <t>San Salvador</t>
        </is>
      </c>
      <c r="I829" t="inlineStr">
        <is>
          <t>Roberto Alfaro</t>
        </is>
      </c>
      <c r="J829" t="inlineStr">
        <is>
          <t>2221-4580</t>
        </is>
      </c>
      <c r="K829" t="inlineStr">
        <is>
          <t>José Martínez</t>
        </is>
      </c>
      <c r="L829" t="inlineStr">
        <is>
          <t>Jorge García Hernández</t>
        </is>
      </c>
      <c r="M829" t="inlineStr">
        <is>
          <t>09167886-4</t>
        </is>
      </c>
      <c r="N829" t="inlineStr">
        <is>
          <t>7875-6853</t>
        </is>
      </c>
      <c r="O829" t="inlineStr">
        <is>
          <t>Consumidor final</t>
        </is>
      </c>
      <c r="P829" t="inlineStr">
        <is>
          <t>PAN-003</t>
        </is>
      </c>
      <c r="Q829" t="inlineStr">
        <is>
          <t>Quesadilla salvadoreña</t>
        </is>
      </c>
      <c r="R829" t="inlineStr">
        <is>
          <t>PANADERIA</t>
        </is>
      </c>
      <c r="S829" t="inlineStr">
        <is>
          <t>Panificadora Ilopango</t>
        </is>
      </c>
      <c r="T829" t="inlineStr">
        <is>
          <t>2295-0081</t>
        </is>
      </c>
      <c r="U829" t="n">
        <v>2.5</v>
      </c>
      <c r="V829" t="n">
        <v>4</v>
      </c>
      <c r="W829" t="n">
        <v>0</v>
      </c>
      <c r="X829">
        <f>IFERROR(U829*V829*(1-W829/100),"")</f>
        <v/>
      </c>
      <c r="Y829">
        <f>IFERROR(ROUND(X829*0.13,2),"")</f>
        <v/>
      </c>
      <c r="Z829">
        <f>IFERROR(X829+Y829,"")</f>
        <v/>
      </c>
      <c r="AA829" t="inlineStr">
        <is>
          <t>efectivo</t>
        </is>
      </c>
      <c r="AB829" t="inlineStr"/>
    </row>
    <row r="830">
      <c r="A830" t="inlineStr">
        <is>
          <t>F-11113</t>
        </is>
      </c>
      <c r="B830" s="3" t="n">
        <v>46226</v>
      </c>
      <c r="C830" t="inlineStr">
        <is>
          <t>Factura</t>
        </is>
      </c>
      <c r="D830" t="inlineStr">
        <is>
          <t>SS01</t>
        </is>
      </c>
      <c r="E830" t="inlineStr">
        <is>
          <t xml:space="preserve">san salvador centro </t>
        </is>
      </c>
      <c r="F830" t="inlineStr">
        <is>
          <t>4a Calle Poniente #215</t>
        </is>
      </c>
      <c r="G830" t="inlineStr">
        <is>
          <t>San Salvador</t>
        </is>
      </c>
      <c r="H830" t="inlineStr">
        <is>
          <t>San Salvador</t>
        </is>
      </c>
      <c r="I830" t="inlineStr">
        <is>
          <t>Roberto Alfaro</t>
        </is>
      </c>
      <c r="J830" t="inlineStr">
        <is>
          <t>2221-4580</t>
        </is>
      </c>
      <c r="K830" t="inlineStr">
        <is>
          <t>José Martínez</t>
        </is>
      </c>
      <c r="L830" t="inlineStr">
        <is>
          <t>Jorge García Hernández</t>
        </is>
      </c>
      <c r="M830" t="inlineStr">
        <is>
          <t>09167886-4</t>
        </is>
      </c>
      <c r="N830" t="inlineStr">
        <is>
          <t>7875-6853</t>
        </is>
      </c>
      <c r="O830" t="inlineStr">
        <is>
          <t>Consumidor final</t>
        </is>
      </c>
      <c r="P830" t="inlineStr">
        <is>
          <t>CAF-002</t>
        </is>
      </c>
      <c r="Q830" t="inlineStr">
        <is>
          <t>Café en grano 1lb</t>
        </is>
      </c>
      <c r="R830" t="inlineStr">
        <is>
          <t>Abarrotes</t>
        </is>
      </c>
      <c r="S830" t="inlineStr">
        <is>
          <t>Café Volcán S.A.</t>
        </is>
      </c>
      <c r="T830" t="inlineStr">
        <is>
          <t>2510-3344</t>
        </is>
      </c>
      <c r="U830" t="n">
        <v>6.75</v>
      </c>
      <c r="V830" t="n">
        <v>3</v>
      </c>
      <c r="W830" t="n">
        <v>0</v>
      </c>
      <c r="X830">
        <f>IFERROR(U830*V830*(1-W830/100),"")</f>
        <v/>
      </c>
      <c r="Y830">
        <f>IFERROR(ROUND(X830*0.13,2),"")</f>
        <v/>
      </c>
      <c r="Z830">
        <f>IFERROR(X830+Y830,"")</f>
        <v/>
      </c>
      <c r="AA830" t="inlineStr">
        <is>
          <t>efectivo</t>
        </is>
      </c>
      <c r="AB830" t="inlineStr">
        <is>
          <t>Llamar al 7788-1234 antes de entregar</t>
        </is>
      </c>
    </row>
    <row r="831">
      <c r="A831" t="inlineStr">
        <is>
          <t>F-11113</t>
        </is>
      </c>
      <c r="B831" s="3" t="n">
        <v>46226</v>
      </c>
      <c r="C831" t="inlineStr">
        <is>
          <t>Factura</t>
        </is>
      </c>
      <c r="D831" t="inlineStr">
        <is>
          <t>SS01</t>
        </is>
      </c>
      <c r="E831" t="inlineStr">
        <is>
          <t xml:space="preserve">san salvador centro </t>
        </is>
      </c>
      <c r="F831" t="inlineStr">
        <is>
          <t>4a Calle Poniente #215</t>
        </is>
      </c>
      <c r="G831" t="inlineStr">
        <is>
          <t>San Salvador</t>
        </is>
      </c>
      <c r="H831" t="inlineStr">
        <is>
          <t>San Salvador</t>
        </is>
      </c>
      <c r="I831" t="inlineStr">
        <is>
          <t>Roberto Alfaro</t>
        </is>
      </c>
      <c r="J831" t="inlineStr">
        <is>
          <t>2221-4580</t>
        </is>
      </c>
      <c r="K831" t="inlineStr">
        <is>
          <t>José Martínez</t>
        </is>
      </c>
      <c r="L831" t="inlineStr">
        <is>
          <t>Jorge García Hernández</t>
        </is>
      </c>
      <c r="M831" t="inlineStr">
        <is>
          <t>09167886-4</t>
        </is>
      </c>
      <c r="N831" t="inlineStr">
        <is>
          <t>7875-6853</t>
        </is>
      </c>
      <c r="O831" t="inlineStr">
        <is>
          <t>Consumidor final</t>
        </is>
      </c>
      <c r="P831" t="inlineStr">
        <is>
          <t>HIG-003</t>
        </is>
      </c>
      <c r="Q831" t="inlineStr">
        <is>
          <t>Jabón de lavar barra</t>
        </is>
      </c>
      <c r="R831" t="inlineStr">
        <is>
          <t>Limpieza</t>
        </is>
      </c>
      <c r="S831" t="inlineStr">
        <is>
          <t>Higiene Total C.A.</t>
        </is>
      </c>
      <c r="T831" t="inlineStr">
        <is>
          <t>2207-5566</t>
        </is>
      </c>
      <c r="U831" t="inlineStr">
        <is>
          <t>0,75</t>
        </is>
      </c>
      <c r="V831" t="n">
        <v>12</v>
      </c>
      <c r="W831" t="n">
        <v>0</v>
      </c>
      <c r="X831">
        <f>IFERROR(U831*V831*(1-W831/100),"")</f>
        <v/>
      </c>
      <c r="Y831">
        <f>IFERROR(ROUND(X831*0.13,2),"")</f>
        <v/>
      </c>
      <c r="Z831">
        <f>IFERROR(X831+Y831,"")</f>
        <v/>
      </c>
      <c r="AA831" t="inlineStr">
        <is>
          <t>efectivo</t>
        </is>
      </c>
      <c r="AB831" t="inlineStr">
        <is>
          <t>precio especial autorizado por gerente</t>
        </is>
      </c>
    </row>
    <row r="832">
      <c r="A832" t="inlineStr">
        <is>
          <t>F-11116</t>
        </is>
      </c>
      <c r="B832" s="3" t="n">
        <v>46231</v>
      </c>
      <c r="C832" t="inlineStr">
        <is>
          <t>Factura</t>
        </is>
      </c>
      <c r="D832" t="inlineStr">
        <is>
          <t>SS01</t>
        </is>
      </c>
      <c r="E832" t="inlineStr">
        <is>
          <t xml:space="preserve">san salvador centro </t>
        </is>
      </c>
      <c r="F832" t="inlineStr">
        <is>
          <t>4a Calle Poniente #215</t>
        </is>
      </c>
      <c r="G832" t="inlineStr">
        <is>
          <t>San Salvador</t>
        </is>
      </c>
      <c r="H832" t="inlineStr">
        <is>
          <t>San Salvador</t>
        </is>
      </c>
      <c r="I832" t="inlineStr">
        <is>
          <t>Roberto Alfaro</t>
        </is>
      </c>
      <c r="J832" t="inlineStr">
        <is>
          <t>2221-4580</t>
        </is>
      </c>
      <c r="K832" t="inlineStr">
        <is>
          <t>José Martínez</t>
        </is>
      </c>
      <c r="L832" t="inlineStr">
        <is>
          <t>Carmen Flores Sorto</t>
        </is>
      </c>
      <c r="M832" t="inlineStr">
        <is>
          <t>02579994-7</t>
        </is>
      </c>
      <c r="N832" t="inlineStr">
        <is>
          <t>2462-9572</t>
        </is>
      </c>
      <c r="O832" t="inlineStr">
        <is>
          <t>Consumidor final</t>
        </is>
      </c>
      <c r="P832" t="inlineStr">
        <is>
          <t>LAC-001</t>
        </is>
      </c>
      <c r="Q832" t="inlineStr">
        <is>
          <t>Quesillo 1lb</t>
        </is>
      </c>
      <c r="R832" t="inlineStr">
        <is>
          <t>Lacteos</t>
        </is>
      </c>
      <c r="S832" t="inlineStr">
        <is>
          <t>Lácteos Chalate</t>
        </is>
      </c>
      <c r="T832" t="inlineStr">
        <is>
          <t>7120-4455</t>
        </is>
      </c>
      <c r="U832" t="n">
        <v>3.8</v>
      </c>
      <c r="V832" t="n">
        <v>3</v>
      </c>
      <c r="W832" t="n">
        <v>0</v>
      </c>
      <c r="X832">
        <f>IFERROR(U832*V832*(1-W832/100),"")</f>
        <v/>
      </c>
      <c r="Y832">
        <f>IFERROR(ROUND(X832*0.13,2),"")</f>
        <v/>
      </c>
      <c r="Z832">
        <f>IFERROR(X832+Y832,"")</f>
        <v/>
      </c>
      <c r="AA832" t="inlineStr">
        <is>
          <t>Efectivo</t>
        </is>
      </c>
      <c r="AB832" t="inlineStr"/>
    </row>
    <row r="833">
      <c r="A833" t="inlineStr">
        <is>
          <t>F-11118</t>
        </is>
      </c>
      <c r="B833" s="3" t="n">
        <v>46277</v>
      </c>
      <c r="C833" t="inlineStr">
        <is>
          <t>Factura</t>
        </is>
      </c>
      <c r="D833" t="inlineStr">
        <is>
          <t>SS01</t>
        </is>
      </c>
      <c r="E833" t="inlineStr">
        <is>
          <t>S.S. Centro</t>
        </is>
      </c>
      <c r="F833" t="inlineStr">
        <is>
          <t>4a Calle Poniente #215</t>
        </is>
      </c>
      <c r="G833" t="inlineStr">
        <is>
          <t>San Salvador</t>
        </is>
      </c>
      <c r="H833" t="inlineStr">
        <is>
          <t>San Salvador</t>
        </is>
      </c>
      <c r="I833" t="inlineStr">
        <is>
          <t>Roberto Alfaro</t>
        </is>
      </c>
      <c r="J833" t="inlineStr">
        <is>
          <t>2221-4580</t>
        </is>
      </c>
      <c r="K833" t="inlineStr">
        <is>
          <t>Daniela Orellana</t>
        </is>
      </c>
      <c r="L833" t="inlineStr">
        <is>
          <t>José Sorto López</t>
        </is>
      </c>
      <c r="M833" t="inlineStr">
        <is>
          <t>04721627-5</t>
        </is>
      </c>
      <c r="N833" t="inlineStr">
        <is>
          <t>6844-3004</t>
        </is>
      </c>
      <c r="O833" t="inlineStr">
        <is>
          <t>Consumidor final</t>
        </is>
      </c>
      <c r="P833" t="inlineStr">
        <is>
          <t>PAN-003</t>
        </is>
      </c>
      <c r="Q833" t="inlineStr">
        <is>
          <t>Quesadilla salvadoreña</t>
        </is>
      </c>
      <c r="R833" t="inlineStr">
        <is>
          <t>PANADERIA</t>
        </is>
      </c>
      <c r="S833" t="inlineStr">
        <is>
          <t>Panificadora Ilopango</t>
        </is>
      </c>
      <c r="T833" t="inlineStr">
        <is>
          <t>2295-0081</t>
        </is>
      </c>
      <c r="U833" t="n">
        <v>2.5</v>
      </c>
      <c r="V833" t="n">
        <v>3</v>
      </c>
      <c r="W833" t="n">
        <v>0</v>
      </c>
      <c r="X833">
        <f>IFERROR(U833*V833*(1-W833/100),"")</f>
        <v/>
      </c>
      <c r="Y833">
        <f>IFERROR(ROUND(X833*0.13,2),"")</f>
        <v/>
      </c>
      <c r="Z833">
        <f>IFERROR(X833+Y833,"")</f>
        <v/>
      </c>
      <c r="AA833" t="inlineStr">
        <is>
          <t>Tarjeta</t>
        </is>
      </c>
      <c r="AB833" t="inlineStr"/>
    </row>
    <row r="834">
      <c r="A834" t="inlineStr">
        <is>
          <t>F-11120</t>
        </is>
      </c>
      <c r="B834" s="3" t="n">
        <v>46249</v>
      </c>
      <c r="C834" t="inlineStr">
        <is>
          <t>FCF</t>
        </is>
      </c>
      <c r="D834" t="inlineStr">
        <is>
          <t>SS02</t>
        </is>
      </c>
      <c r="E834" t="inlineStr">
        <is>
          <t>Escalon</t>
        </is>
      </c>
      <c r="F834" t="inlineStr">
        <is>
          <t>Paseo General Escalón #3910</t>
        </is>
      </c>
      <c r="G834" t="inlineStr">
        <is>
          <t>San Salvador</t>
        </is>
      </c>
      <c r="H834" t="inlineStr">
        <is>
          <t>San Salvador</t>
        </is>
      </c>
      <c r="I834" t="inlineStr">
        <is>
          <t>Claudia Menjívar</t>
        </is>
      </c>
      <c r="J834" t="inlineStr">
        <is>
          <t>2264-1190</t>
        </is>
      </c>
      <c r="K834" t="inlineStr">
        <is>
          <t>Fátima Rosales</t>
        </is>
      </c>
      <c r="L834" t="inlineStr">
        <is>
          <t>JOSÉ CORNEJO HERNÁNDEZ</t>
        </is>
      </c>
      <c r="M834" t="inlineStr">
        <is>
          <t>07580296-3</t>
        </is>
      </c>
      <c r="N834" t="inlineStr">
        <is>
          <t>6828-1335</t>
        </is>
      </c>
      <c r="O834" t="inlineStr">
        <is>
          <t>Consumidor final</t>
        </is>
      </c>
      <c r="P834" t="inlineStr">
        <is>
          <t>PAN-002</t>
        </is>
      </c>
      <c r="Q834" t="inlineStr">
        <is>
          <t>Semita alta</t>
        </is>
      </c>
      <c r="R834" t="inlineStr">
        <is>
          <t>Panadería</t>
        </is>
      </c>
      <c r="S834" t="inlineStr">
        <is>
          <t>Panificadora Ilopango</t>
        </is>
      </c>
      <c r="T834" t="inlineStr">
        <is>
          <t>2295-0081</t>
        </is>
      </c>
      <c r="U834" t="n">
        <v>1.75</v>
      </c>
      <c r="V834" t="n">
        <v>2</v>
      </c>
      <c r="W834" t="n">
        <v>0</v>
      </c>
      <c r="X834">
        <f>IFERROR(U834*V834*(1-W834/100),"")</f>
        <v/>
      </c>
      <c r="Y834">
        <f>IFERROR(ROUND(X834*0.13,2),"")</f>
        <v/>
      </c>
      <c r="Z834">
        <f>IFERROR(X834+Y834,"")</f>
        <v/>
      </c>
      <c r="AA834" t="inlineStr">
        <is>
          <t>Tarjeta</t>
        </is>
      </c>
      <c r="AB834" t="inlineStr">
        <is>
          <t>precio especial autorizado por gerente</t>
        </is>
      </c>
    </row>
    <row r="835">
      <c r="A835" t="inlineStr">
        <is>
          <t>F-11122</t>
        </is>
      </c>
      <c r="B835" s="3" t="n">
        <v>46216</v>
      </c>
      <c r="C835" t="inlineStr">
        <is>
          <t>Factura</t>
        </is>
      </c>
      <c r="D835" t="inlineStr">
        <is>
          <t>LL02</t>
        </is>
      </c>
      <c r="E835" t="inlineStr">
        <is>
          <t>Puerto de La Libertad</t>
        </is>
      </c>
      <c r="F835" t="inlineStr">
        <is>
          <t>Calle El Malecón, Local 4</t>
        </is>
      </c>
      <c r="G835" t="inlineStr">
        <is>
          <t>La Libertad</t>
        </is>
      </c>
      <c r="H835" t="inlineStr">
        <is>
          <t>La Libertad</t>
        </is>
      </c>
      <c r="I835" t="inlineStr">
        <is>
          <t>Wendy Aguilar</t>
        </is>
      </c>
      <c r="J835" t="inlineStr">
        <is>
          <t>2335-6140</t>
        </is>
      </c>
      <c r="K835" t="inlineStr">
        <is>
          <t>Gabriela Saravia</t>
        </is>
      </c>
      <c r="L835" t="inlineStr">
        <is>
          <t>Sandra Sorto López</t>
        </is>
      </c>
      <c r="M835" t="inlineStr">
        <is>
          <t>00961529-1</t>
        </is>
      </c>
      <c r="N835" t="inlineStr">
        <is>
          <t>2123-6077</t>
        </is>
      </c>
      <c r="O835" t="inlineStr">
        <is>
          <t>Consumidor final</t>
        </is>
      </c>
      <c r="P835" t="inlineStr">
        <is>
          <t>CAF-001</t>
        </is>
      </c>
      <c r="Q835" t="inlineStr">
        <is>
          <t>Café molido 400g</t>
        </is>
      </c>
      <c r="R835" t="inlineStr">
        <is>
          <t>Abarrotes</t>
        </is>
      </c>
      <c r="S835" t="inlineStr">
        <is>
          <t>Café Volcán S.A.</t>
        </is>
      </c>
      <c r="T835" t="inlineStr">
        <is>
          <t>2510-3344</t>
        </is>
      </c>
      <c r="U835" t="n">
        <v>4.25</v>
      </c>
      <c r="V835" t="n">
        <v>12</v>
      </c>
      <c r="W835" t="n">
        <v>0</v>
      </c>
      <c r="X835">
        <f>IFERROR(U835*V835*(1-W835/100),"")</f>
        <v/>
      </c>
      <c r="Y835">
        <f>IFERROR(ROUND(X835*0.13,2),"")</f>
        <v/>
      </c>
      <c r="Z835">
        <f>IFERROR(X835+Y835,"")</f>
        <v/>
      </c>
      <c r="AA835" t="inlineStr">
        <is>
          <t>Transferencia</t>
        </is>
      </c>
      <c r="AB835" t="inlineStr">
        <is>
          <t>pagó con billete de $100</t>
        </is>
      </c>
    </row>
    <row r="836">
      <c r="A836" t="inlineStr">
        <is>
          <t>F-11122</t>
        </is>
      </c>
      <c r="B836" s="3" t="n">
        <v>46216</v>
      </c>
      <c r="C836" t="inlineStr">
        <is>
          <t>Factura</t>
        </is>
      </c>
      <c r="D836" t="inlineStr">
        <is>
          <t>LL02</t>
        </is>
      </c>
      <c r="E836" t="inlineStr">
        <is>
          <t>Pto. La Libertad</t>
        </is>
      </c>
      <c r="F836" t="inlineStr">
        <is>
          <t>Calle El Malecón, Local 4</t>
        </is>
      </c>
      <c r="G836" t="inlineStr">
        <is>
          <t>La Libertad</t>
        </is>
      </c>
      <c r="H836" t="inlineStr">
        <is>
          <t>La Libertad</t>
        </is>
      </c>
      <c r="I836" t="inlineStr">
        <is>
          <t>Wendy Aguilar</t>
        </is>
      </c>
      <c r="J836" t="inlineStr">
        <is>
          <t>2335-6140</t>
        </is>
      </c>
      <c r="K836" t="inlineStr">
        <is>
          <t>Gabriela Saravia</t>
        </is>
      </c>
      <c r="L836" t="inlineStr">
        <is>
          <t>Sandra Sorto López</t>
        </is>
      </c>
      <c r="M836" t="inlineStr">
        <is>
          <t>00961529-1</t>
        </is>
      </c>
      <c r="N836" t="inlineStr">
        <is>
          <t>2123-6077</t>
        </is>
      </c>
      <c r="O836" t="inlineStr">
        <is>
          <t>Consumidor final</t>
        </is>
      </c>
      <c r="P836" t="inlineStr">
        <is>
          <t>HIG-003</t>
        </is>
      </c>
      <c r="Q836" t="inlineStr">
        <is>
          <t>Jabón de lavar barra</t>
        </is>
      </c>
      <c r="R836" t="inlineStr">
        <is>
          <t>Limpieza</t>
        </is>
      </c>
      <c r="S836" t="inlineStr">
        <is>
          <t>Higiene Total C.A.</t>
        </is>
      </c>
      <c r="T836" t="inlineStr">
        <is>
          <t>2207-5566</t>
        </is>
      </c>
      <c r="U836" t="n">
        <v>0.75</v>
      </c>
      <c r="V836" t="n">
        <v>1</v>
      </c>
      <c r="W836" t="n">
        <v>0</v>
      </c>
      <c r="X836">
        <f>IFERROR(U836*V836*(1-W836/100),"")</f>
        <v/>
      </c>
      <c r="Y836">
        <f>IFERROR(ROUND(X836*0.13,2),"")</f>
        <v/>
      </c>
      <c r="Z836">
        <f>IFERROR(X836+Y836,"")</f>
        <v/>
      </c>
      <c r="AA836" t="inlineStr">
        <is>
          <t>Transferencia</t>
        </is>
      </c>
      <c r="AB836" t="inlineStr"/>
    </row>
    <row r="837">
      <c r="A837" t="inlineStr">
        <is>
          <t>F-11124</t>
        </is>
      </c>
      <c r="B837" t="inlineStr">
        <is>
          <t>17-Aug-26</t>
        </is>
      </c>
      <c r="C837" t="inlineStr">
        <is>
          <t>Factura</t>
        </is>
      </c>
      <c r="D837" t="inlineStr">
        <is>
          <t>SA01</t>
        </is>
      </c>
      <c r="E837" t="inlineStr">
        <is>
          <t>Santa Ana</t>
        </is>
      </c>
      <c r="F837" t="inlineStr">
        <is>
          <t>Av. Independencia Sur #12</t>
        </is>
      </c>
      <c r="G837" t="inlineStr">
        <is>
          <t>Santa Ana</t>
        </is>
      </c>
      <c r="H837" t="inlineStr">
        <is>
          <t>Santa Ana</t>
        </is>
      </c>
      <c r="I837" t="inlineStr">
        <is>
          <t>Mauricio Linares</t>
        </is>
      </c>
      <c r="J837" t="inlineStr">
        <is>
          <t>2440-9921</t>
        </is>
      </c>
      <c r="K837" t="inlineStr">
        <is>
          <t>Sofía Cáceres</t>
        </is>
      </c>
      <c r="L837" t="inlineStr">
        <is>
          <t>Sandra Rivera Pérez</t>
        </is>
      </c>
      <c r="M837" t="inlineStr">
        <is>
          <t>00391949-0</t>
        </is>
      </c>
      <c r="N837" t="inlineStr">
        <is>
          <t>6654-8845</t>
        </is>
      </c>
      <c r="O837" t="inlineStr">
        <is>
          <t>Consumidor final</t>
        </is>
      </c>
      <c r="P837" t="inlineStr">
        <is>
          <t>FRI-001</t>
        </is>
      </c>
      <c r="Q837" t="inlineStr">
        <is>
          <t>Frijol rojo de seda 2lb</t>
        </is>
      </c>
      <c r="R837" t="inlineStr">
        <is>
          <t>Granos básicos</t>
        </is>
      </c>
      <c r="S837" t="inlineStr">
        <is>
          <t>Granos del Pacífico</t>
        </is>
      </c>
      <c r="T837" t="inlineStr">
        <is>
          <t>2234-8890</t>
        </is>
      </c>
      <c r="U837" t="inlineStr">
        <is>
          <t>$2.40</t>
        </is>
      </c>
      <c r="V837" t="n">
        <v>12</v>
      </c>
      <c r="W837" t="n">
        <v>0</v>
      </c>
      <c r="X837">
        <f>IFERROR(U837*V837*(1-W837/100),"")</f>
        <v/>
      </c>
      <c r="Y837">
        <f>IFERROR(ROUND(X837*0.13,2),"")</f>
        <v/>
      </c>
      <c r="Z837">
        <f>IFERROR(X837+Y837,"")</f>
        <v/>
      </c>
      <c r="AA837" t="inlineStr">
        <is>
          <t>Efectivo</t>
        </is>
      </c>
      <c r="AB837" t="inlineStr">
        <is>
          <t>entregar en bodega</t>
        </is>
      </c>
    </row>
    <row r="838">
      <c r="A838" t="inlineStr">
        <is>
          <t>F-11124</t>
        </is>
      </c>
      <c r="B838" t="inlineStr">
        <is>
          <t>17/08/2026</t>
        </is>
      </c>
      <c r="C838" t="inlineStr">
        <is>
          <t>Factura</t>
        </is>
      </c>
      <c r="D838" t="inlineStr">
        <is>
          <t>SA01</t>
        </is>
      </c>
      <c r="E838" t="inlineStr">
        <is>
          <t>Santa  Ana</t>
        </is>
      </c>
      <c r="F838" t="inlineStr">
        <is>
          <t>Av. Independencia Sur #12</t>
        </is>
      </c>
      <c r="G838" t="inlineStr">
        <is>
          <t>Santa Ana</t>
        </is>
      </c>
      <c r="H838" t="inlineStr">
        <is>
          <t>Santa Ana</t>
        </is>
      </c>
      <c r="I838" t="inlineStr">
        <is>
          <t>Mauricio Linares</t>
        </is>
      </c>
      <c r="J838" t="inlineStr">
        <is>
          <t>2440-9921</t>
        </is>
      </c>
      <c r="K838" t="inlineStr">
        <is>
          <t>Sofía Cáceres</t>
        </is>
      </c>
      <c r="L838" t="inlineStr">
        <is>
          <t>Sandra Rivera Pérez</t>
        </is>
      </c>
      <c r="M838" t="inlineStr">
        <is>
          <t>00391949-0</t>
        </is>
      </c>
      <c r="N838" t="inlineStr">
        <is>
          <t>6654-8845</t>
        </is>
      </c>
      <c r="O838" t="inlineStr">
        <is>
          <t>Consumidor final</t>
        </is>
      </c>
      <c r="P838" t="inlineStr">
        <is>
          <t>PAN-001</t>
        </is>
      </c>
      <c r="Q838" t="inlineStr">
        <is>
          <t>Pan francés bolsa 10u</t>
        </is>
      </c>
      <c r="R838" t="inlineStr">
        <is>
          <t>Panadería</t>
        </is>
      </c>
      <c r="S838" t="inlineStr">
        <is>
          <t>Panificadora Ilopango</t>
        </is>
      </c>
      <c r="T838" t="inlineStr">
        <is>
          <t>2295-0081</t>
        </is>
      </c>
      <c r="U838" t="n">
        <v>1</v>
      </c>
      <c r="V838" t="n">
        <v>4</v>
      </c>
      <c r="W838" t="n">
        <v>0</v>
      </c>
      <c r="X838">
        <f>IFERROR(U838*V838*(1-W838/100),"")</f>
        <v/>
      </c>
      <c r="Y838">
        <f>IFERROR(ROUND(X838*0.13,2),"")</f>
        <v/>
      </c>
      <c r="Z838">
        <f>IFERROR(X838+Y838,"")</f>
        <v/>
      </c>
      <c r="AA838" t="inlineStr">
        <is>
          <t>Efectivo</t>
        </is>
      </c>
      <c r="AB838" t="inlineStr">
        <is>
          <t>Llamar al 7788-1234 antes de entregar</t>
        </is>
      </c>
    </row>
    <row r="839">
      <c r="A839" t="inlineStr">
        <is>
          <t>F-11124</t>
        </is>
      </c>
      <c r="B839" s="3" t="n">
        <v>46251</v>
      </c>
      <c r="C839" t="inlineStr">
        <is>
          <t>Factura</t>
        </is>
      </c>
      <c r="D839" t="inlineStr">
        <is>
          <t>SA01</t>
        </is>
      </c>
      <c r="E839" t="inlineStr">
        <is>
          <t>Santa Ana</t>
        </is>
      </c>
      <c r="F839" t="inlineStr">
        <is>
          <t>Av. Independencia Sur #12</t>
        </is>
      </c>
      <c r="G839" t="inlineStr">
        <is>
          <t>Santa Ana</t>
        </is>
      </c>
      <c r="H839" t="inlineStr">
        <is>
          <t>Santa Ana</t>
        </is>
      </c>
      <c r="I839" t="inlineStr">
        <is>
          <t>Mauricio Linares</t>
        </is>
      </c>
      <c r="J839" t="inlineStr">
        <is>
          <t>2440-9921</t>
        </is>
      </c>
      <c r="K839" t="inlineStr">
        <is>
          <t>Sofía Cáceres</t>
        </is>
      </c>
      <c r="L839" t="inlineStr">
        <is>
          <t>Sandra Rivera Pérez</t>
        </is>
      </c>
      <c r="M839" t="inlineStr">
        <is>
          <t>00391949-0</t>
        </is>
      </c>
      <c r="N839" t="inlineStr">
        <is>
          <t>6654-8845</t>
        </is>
      </c>
      <c r="O839" t="inlineStr">
        <is>
          <t>Consumidor final</t>
        </is>
      </c>
      <c r="P839" t="inlineStr">
        <is>
          <t>LAC-003</t>
        </is>
      </c>
      <c r="Q839" t="inlineStr">
        <is>
          <t>Leche entera 1L</t>
        </is>
      </c>
      <c r="R839" t="inlineStr">
        <is>
          <t>Lácteos</t>
        </is>
      </c>
      <c r="S839" t="inlineStr">
        <is>
          <t>Lácteos Chalate</t>
        </is>
      </c>
      <c r="T839" t="inlineStr">
        <is>
          <t>2335-1020</t>
        </is>
      </c>
      <c r="U839" t="n">
        <v>1.2</v>
      </c>
      <c r="V839" t="n">
        <v>1</v>
      </c>
      <c r="W839" t="n">
        <v>0</v>
      </c>
      <c r="X839">
        <f>IFERROR(U839*V839*(1-W839/100),"")</f>
        <v/>
      </c>
      <c r="Y839">
        <f>IFERROR(ROUND(X839*0.13,2),"")</f>
        <v/>
      </c>
      <c r="Z839">
        <f>IFERROR(X839+Y839,"")</f>
        <v/>
      </c>
      <c r="AA839" t="inlineStr">
        <is>
          <t>Efectivo</t>
        </is>
      </c>
      <c r="AB839" t="inlineStr">
        <is>
          <t>pagó con billete de $100</t>
        </is>
      </c>
    </row>
    <row r="840">
      <c r="A840" t="inlineStr">
        <is>
          <t>11124</t>
        </is>
      </c>
      <c r="B840" s="3" t="n">
        <v>46251</v>
      </c>
      <c r="C840" t="inlineStr">
        <is>
          <t>Factura</t>
        </is>
      </c>
      <c r="D840" t="inlineStr">
        <is>
          <t>SA01</t>
        </is>
      </c>
      <c r="E840" t="inlineStr">
        <is>
          <t>STA ANA</t>
        </is>
      </c>
      <c r="F840" t="inlineStr">
        <is>
          <t>Av. Independencia Sur #12</t>
        </is>
      </c>
      <c r="G840" t="inlineStr">
        <is>
          <t>Santa Ana</t>
        </is>
      </c>
      <c r="H840" t="inlineStr">
        <is>
          <t>Santa Ana</t>
        </is>
      </c>
      <c r="I840" t="inlineStr">
        <is>
          <t>Mauricio Linares</t>
        </is>
      </c>
      <c r="J840" t="inlineStr">
        <is>
          <t>2440-9921</t>
        </is>
      </c>
      <c r="K840" t="inlineStr">
        <is>
          <t>Sofía Cáceres</t>
        </is>
      </c>
      <c r="L840" t="inlineStr">
        <is>
          <t>Sandra Rivera Pérez</t>
        </is>
      </c>
      <c r="M840" t="inlineStr">
        <is>
          <t>00391949-0</t>
        </is>
      </c>
      <c r="N840" t="inlineStr">
        <is>
          <t>6654-8845</t>
        </is>
      </c>
      <c r="O840" t="inlineStr">
        <is>
          <t>Consumidor final</t>
        </is>
      </c>
      <c r="P840" t="inlineStr">
        <is>
          <t>CAF-001</t>
        </is>
      </c>
      <c r="Q840" t="inlineStr">
        <is>
          <t>Café molido 400g</t>
        </is>
      </c>
      <c r="R840" t="inlineStr">
        <is>
          <t>Abarrotes</t>
        </is>
      </c>
      <c r="S840" t="inlineStr">
        <is>
          <t>Café Volcán S.A.</t>
        </is>
      </c>
      <c r="T840" t="inlineStr">
        <is>
          <t>2510-3344</t>
        </is>
      </c>
      <c r="U840" t="n">
        <v>4.25</v>
      </c>
      <c r="V840" t="n">
        <v>4</v>
      </c>
      <c r="W840" t="n">
        <v>0</v>
      </c>
      <c r="X840">
        <f>IFERROR(U840*V840*(1-W840/100),"")</f>
        <v/>
      </c>
      <c r="Y840">
        <f>IFERROR(ROUND(X840*0.13,2),"")</f>
        <v/>
      </c>
      <c r="Z840">
        <f>IFERROR(X840+Y840,"")</f>
        <v/>
      </c>
      <c r="AA840" t="inlineStr">
        <is>
          <t>Efectivo</t>
        </is>
      </c>
      <c r="AB840" t="inlineStr">
        <is>
          <t>Cliente frecuente</t>
        </is>
      </c>
    </row>
    <row r="841">
      <c r="A841" t="inlineStr">
        <is>
          <t>F-11126</t>
        </is>
      </c>
      <c r="B841" t="inlineStr">
        <is>
          <t>2026-07-11</t>
        </is>
      </c>
      <c r="C841" t="inlineStr">
        <is>
          <t>factura</t>
        </is>
      </c>
      <c r="D841" t="inlineStr">
        <is>
          <t>SA01</t>
        </is>
      </c>
      <c r="E841" t="inlineStr">
        <is>
          <t>STA ANA</t>
        </is>
      </c>
      <c r="F841" t="inlineStr">
        <is>
          <t>Av. Independencia Sur #12</t>
        </is>
      </c>
      <c r="G841" t="inlineStr">
        <is>
          <t>Santa Ana</t>
        </is>
      </c>
      <c r="H841" t="inlineStr">
        <is>
          <t>Santa Ana</t>
        </is>
      </c>
      <c r="I841" t="inlineStr">
        <is>
          <t>Mauricio Linares</t>
        </is>
      </c>
      <c r="J841" t="inlineStr">
        <is>
          <t>2440-9921</t>
        </is>
      </c>
      <c r="K841" t="inlineStr">
        <is>
          <t>Diego Zelaya</t>
        </is>
      </c>
      <c r="L841" t="inlineStr">
        <is>
          <t>Carlos Mejía García</t>
        </is>
      </c>
      <c r="M841" t="inlineStr">
        <is>
          <t>07315753-2</t>
        </is>
      </c>
      <c r="N841" t="inlineStr">
        <is>
          <t>2800-1990</t>
        </is>
      </c>
      <c r="O841" t="inlineStr">
        <is>
          <t>Consumidor final</t>
        </is>
      </c>
      <c r="P841" t="inlineStr">
        <is>
          <t>LAC-003</t>
        </is>
      </c>
      <c r="Q841" t="inlineStr">
        <is>
          <t>Leche entera 1L</t>
        </is>
      </c>
      <c r="R841" t="inlineStr">
        <is>
          <t>Lácteos</t>
        </is>
      </c>
      <c r="S841" t="inlineStr">
        <is>
          <t>Lácteos Chalate</t>
        </is>
      </c>
      <c r="T841" t="inlineStr">
        <is>
          <t>2335-1020</t>
        </is>
      </c>
      <c r="U841" t="n">
        <v>1.2</v>
      </c>
      <c r="V841" t="n">
        <v>1</v>
      </c>
      <c r="W841" t="n">
        <v>0</v>
      </c>
      <c r="X841">
        <f>IFERROR(U841*V841*(1-W841/100),"")</f>
        <v/>
      </c>
      <c r="Y841">
        <f>IFERROR(ROUND(X841*0.13,2),"")</f>
        <v/>
      </c>
      <c r="Z841">
        <f>IFERROR(X841+Y841,"")</f>
        <v/>
      </c>
      <c r="AA841" t="inlineStr">
        <is>
          <t>efectivo</t>
        </is>
      </c>
      <c r="AB841" t="inlineStr"/>
    </row>
    <row r="842">
      <c r="A842" t="inlineStr">
        <is>
          <t>F-11126</t>
        </is>
      </c>
      <c r="B842" s="3" t="n">
        <v>46214</v>
      </c>
      <c r="C842" t="inlineStr">
        <is>
          <t>factura</t>
        </is>
      </c>
      <c r="D842" t="inlineStr">
        <is>
          <t>SA01</t>
        </is>
      </c>
      <c r="E842" t="inlineStr">
        <is>
          <t>Santa  Ana</t>
        </is>
      </c>
      <c r="F842" t="inlineStr">
        <is>
          <t>Av. Independencia Sur #12</t>
        </is>
      </c>
      <c r="G842" t="inlineStr">
        <is>
          <t>Santa Ana</t>
        </is>
      </c>
      <c r="H842" t="inlineStr">
        <is>
          <t>Santa Ana</t>
        </is>
      </c>
      <c r="I842" t="inlineStr">
        <is>
          <t>Mauricio Linares</t>
        </is>
      </c>
      <c r="J842" t="inlineStr">
        <is>
          <t>2440-9921</t>
        </is>
      </c>
      <c r="K842" t="inlineStr">
        <is>
          <t>Diego Zelaya</t>
        </is>
      </c>
      <c r="L842" t="inlineStr">
        <is>
          <t>Carlos Mejía García</t>
        </is>
      </c>
      <c r="M842" t="inlineStr">
        <is>
          <t>07315753-2</t>
        </is>
      </c>
      <c r="N842" t="inlineStr">
        <is>
          <t>2800-1990</t>
        </is>
      </c>
      <c r="O842" t="inlineStr">
        <is>
          <t>Consumidor final</t>
        </is>
      </c>
      <c r="P842" t="inlineStr">
        <is>
          <t>AZU-001</t>
        </is>
      </c>
      <c r="Q842" t="inlineStr">
        <is>
          <t>Azúcar blanca 2.5kg</t>
        </is>
      </c>
      <c r="R842" t="inlineStr">
        <is>
          <t>Abarrotes</t>
        </is>
      </c>
      <c r="S842" t="inlineStr">
        <is>
          <t>Granos del Pacífico</t>
        </is>
      </c>
      <c r="T842" t="inlineStr">
        <is>
          <t>2234-8890</t>
        </is>
      </c>
      <c r="U842" t="n">
        <v>3.1</v>
      </c>
      <c r="V842" t="n">
        <v>4</v>
      </c>
      <c r="W842" t="n">
        <v>0</v>
      </c>
      <c r="X842">
        <f>IFERROR(U842*V842*(1-W842/100),"")</f>
        <v/>
      </c>
      <c r="Y842">
        <f>IFERROR(ROUND(X842*0.13,2),"")</f>
        <v/>
      </c>
      <c r="Z842">
        <f>IFERROR(X842+Y842,"")</f>
        <v/>
      </c>
      <c r="AA842" t="inlineStr">
        <is>
          <t>efectivo</t>
        </is>
      </c>
      <c r="AB842" t="inlineStr"/>
    </row>
    <row r="843">
      <c r="A843" t="inlineStr">
        <is>
          <t>11126</t>
        </is>
      </c>
      <c r="B843" t="inlineStr">
        <is>
          <t>11/07/2026</t>
        </is>
      </c>
      <c r="C843" t="inlineStr">
        <is>
          <t>factura</t>
        </is>
      </c>
      <c r="D843" t="inlineStr">
        <is>
          <t>SA01</t>
        </is>
      </c>
      <c r="E843" t="inlineStr">
        <is>
          <t>Santa Ana</t>
        </is>
      </c>
      <c r="F843" t="inlineStr">
        <is>
          <t>Av. Independencia Sur #12</t>
        </is>
      </c>
      <c r="G843" t="inlineStr">
        <is>
          <t>Santa Ana</t>
        </is>
      </c>
      <c r="H843" t="inlineStr">
        <is>
          <t>Santa Ana</t>
        </is>
      </c>
      <c r="I843" t="inlineStr">
        <is>
          <t>Mauricio Linares</t>
        </is>
      </c>
      <c r="J843" t="inlineStr">
        <is>
          <t>2440-9921</t>
        </is>
      </c>
      <c r="K843" t="inlineStr">
        <is>
          <t>Diego Zelaya</t>
        </is>
      </c>
      <c r="L843" t="inlineStr">
        <is>
          <t>Carlos Mejía García</t>
        </is>
      </c>
      <c r="M843" t="inlineStr">
        <is>
          <t>07315753-2</t>
        </is>
      </c>
      <c r="N843" t="inlineStr">
        <is>
          <t>2800-1990</t>
        </is>
      </c>
      <c r="O843" t="inlineStr">
        <is>
          <t>Consumidor final</t>
        </is>
      </c>
      <c r="P843" t="inlineStr">
        <is>
          <t>HIG-002</t>
        </is>
      </c>
      <c r="Q843" t="inlineStr">
        <is>
          <t>Papel higiénico 4 rollos</t>
        </is>
      </c>
      <c r="R843" t="inlineStr">
        <is>
          <t>Limpieza</t>
        </is>
      </c>
      <c r="S843" t="inlineStr">
        <is>
          <t>Higiene Total C.A.</t>
        </is>
      </c>
      <c r="T843" t="inlineStr">
        <is>
          <t>2207-5566</t>
        </is>
      </c>
      <c r="U843" t="n">
        <v>2.15</v>
      </c>
      <c r="V843" t="n">
        <v>1</v>
      </c>
      <c r="W843" t="n">
        <v>0</v>
      </c>
      <c r="X843">
        <f>IFERROR(U843*V843*(1-W843/100),"")</f>
        <v/>
      </c>
      <c r="Y843">
        <f>IFERROR(ROUND(X843*0.13,2),"")</f>
        <v/>
      </c>
      <c r="Z843">
        <f>IFERROR(X843+Y843,"")</f>
        <v/>
      </c>
      <c r="AA843" t="inlineStr">
        <is>
          <t>efectivo</t>
        </is>
      </c>
      <c r="AB843" t="inlineStr">
        <is>
          <t>Llamar al 7788-1234 antes de entregar</t>
        </is>
      </c>
    </row>
    <row r="844">
      <c r="A844" t="inlineStr">
        <is>
          <t>F-11129</t>
        </is>
      </c>
      <c r="B844" t="inlineStr">
        <is>
          <t>11/07/2026</t>
        </is>
      </c>
      <c r="C844" t="inlineStr">
        <is>
          <t>Factura</t>
        </is>
      </c>
      <c r="D844" t="inlineStr">
        <is>
          <t>SA01</t>
        </is>
      </c>
      <c r="E844" t="inlineStr">
        <is>
          <t>Santa  Ana</t>
        </is>
      </c>
      <c r="F844" t="inlineStr">
        <is>
          <t>Av. Independencia Sur #12</t>
        </is>
      </c>
      <c r="G844" t="inlineStr">
        <is>
          <t>Santa Ana</t>
        </is>
      </c>
      <c r="H844" t="inlineStr">
        <is>
          <t>Santa Ana</t>
        </is>
      </c>
      <c r="I844" t="inlineStr">
        <is>
          <t>Mauricio Linares</t>
        </is>
      </c>
      <c r="J844" t="inlineStr">
        <is>
          <t>2440-9921</t>
        </is>
      </c>
      <c r="K844" t="inlineStr">
        <is>
          <t>Diego Zelaya</t>
        </is>
      </c>
      <c r="L844" t="inlineStr">
        <is>
          <t>Edwin Castillo Romero</t>
        </is>
      </c>
      <c r="M844" t="inlineStr">
        <is>
          <t>07552102-5</t>
        </is>
      </c>
      <c r="N844" t="inlineStr">
        <is>
          <t>2609-8644</t>
        </is>
      </c>
      <c r="O844" t="inlineStr">
        <is>
          <t>Consumidor final</t>
        </is>
      </c>
      <c r="P844" t="inlineStr">
        <is>
          <t>ARR-001</t>
        </is>
      </c>
      <c r="Q844" t="inlineStr">
        <is>
          <t>Arroz blanco 5lb</t>
        </is>
      </c>
      <c r="R844" t="inlineStr">
        <is>
          <t>Granos básicos</t>
        </is>
      </c>
      <c r="S844" t="inlineStr">
        <is>
          <t>Granos del Pacífico</t>
        </is>
      </c>
      <c r="T844" t="inlineStr">
        <is>
          <t>2234-8890</t>
        </is>
      </c>
      <c r="U844" t="n">
        <v>3.95</v>
      </c>
      <c r="V844" t="n">
        <v>2</v>
      </c>
      <c r="W844" t="n">
        <v>0</v>
      </c>
      <c r="X844">
        <f>IFERROR(U844*V844*(1-W844/100),"")</f>
        <v/>
      </c>
      <c r="Y844">
        <f>IFERROR(ROUND(X844*0.13,2),"")</f>
        <v/>
      </c>
      <c r="Z844">
        <f>IFERROR(X844+Y844,"")</f>
        <v/>
      </c>
      <c r="AA844" t="inlineStr">
        <is>
          <t>Efectivo</t>
        </is>
      </c>
      <c r="AB844" t="inlineStr">
        <is>
          <t>Cliente frecuente</t>
        </is>
      </c>
    </row>
    <row r="845">
      <c r="A845" t="inlineStr">
        <is>
          <t>F-11129</t>
        </is>
      </c>
      <c r="B845" s="3" t="n">
        <v>46214</v>
      </c>
      <c r="C845" t="inlineStr">
        <is>
          <t>Factura</t>
        </is>
      </c>
      <c r="D845" t="inlineStr">
        <is>
          <t>SA01</t>
        </is>
      </c>
      <c r="E845" t="inlineStr">
        <is>
          <t>Santa Ana</t>
        </is>
      </c>
      <c r="F845" t="inlineStr">
        <is>
          <t>Av. Independencia Sur #12</t>
        </is>
      </c>
      <c r="G845" t="inlineStr">
        <is>
          <t>Santa Ana</t>
        </is>
      </c>
      <c r="H845" t="inlineStr">
        <is>
          <t>Santa Ana</t>
        </is>
      </c>
      <c r="I845" t="inlineStr">
        <is>
          <t>Mauricio Linares</t>
        </is>
      </c>
      <c r="J845" t="inlineStr">
        <is>
          <t>2440-9921</t>
        </is>
      </c>
      <c r="K845" t="inlineStr">
        <is>
          <t>Diego Zelaya</t>
        </is>
      </c>
      <c r="L845" t="inlineStr">
        <is>
          <t>Edwin Castillo Romero</t>
        </is>
      </c>
      <c r="M845" t="inlineStr">
        <is>
          <t>07552102-5</t>
        </is>
      </c>
      <c r="N845" t="inlineStr">
        <is>
          <t>2609-8644</t>
        </is>
      </c>
      <c r="O845" t="inlineStr">
        <is>
          <t>Consumidor final</t>
        </is>
      </c>
      <c r="P845" t="inlineStr">
        <is>
          <t>HIG-003</t>
        </is>
      </c>
      <c r="Q845" t="inlineStr">
        <is>
          <t>Jabón de lavar barra</t>
        </is>
      </c>
      <c r="R845" t="inlineStr">
        <is>
          <t>Limpieza</t>
        </is>
      </c>
      <c r="S845" t="inlineStr">
        <is>
          <t>Higiene Total C.A.</t>
        </is>
      </c>
      <c r="T845" t="inlineStr">
        <is>
          <t>2207-5566</t>
        </is>
      </c>
      <c r="U845" t="n">
        <v>0.75</v>
      </c>
      <c r="V845" t="n">
        <v>4</v>
      </c>
      <c r="W845" t="n">
        <v>0</v>
      </c>
      <c r="X845">
        <f>IFERROR(U845*V845*(1-W845/100),"")</f>
        <v/>
      </c>
      <c r="Y845">
        <f>IFERROR(ROUND(X845*0.13,2),"")</f>
        <v/>
      </c>
      <c r="Z845">
        <f>IFERROR(X845+Y845,"")</f>
        <v/>
      </c>
      <c r="AA845" t="inlineStr">
        <is>
          <t>Efectivo</t>
        </is>
      </c>
      <c r="AB845" t="inlineStr"/>
    </row>
    <row r="846">
      <c r="A846" t="inlineStr">
        <is>
          <t>F-11129</t>
        </is>
      </c>
      <c r="B846" t="inlineStr">
        <is>
          <t>11/07/2026</t>
        </is>
      </c>
      <c r="C846" t="inlineStr">
        <is>
          <t>Factura</t>
        </is>
      </c>
      <c r="D846" t="inlineStr">
        <is>
          <t>SA01</t>
        </is>
      </c>
      <c r="E846" t="inlineStr">
        <is>
          <t>Santa Ana</t>
        </is>
      </c>
      <c r="F846" t="inlineStr">
        <is>
          <t>Av. Independencia Sur #12</t>
        </is>
      </c>
      <c r="G846" t="inlineStr">
        <is>
          <t>Santa Ana</t>
        </is>
      </c>
      <c r="H846" t="inlineStr">
        <is>
          <t>Santa Ana</t>
        </is>
      </c>
      <c r="I846" t="inlineStr">
        <is>
          <t>Mauricio Linares</t>
        </is>
      </c>
      <c r="J846" t="inlineStr">
        <is>
          <t>2440-9921</t>
        </is>
      </c>
      <c r="K846" t="inlineStr">
        <is>
          <t>Diego Zelaya</t>
        </is>
      </c>
      <c r="L846" t="inlineStr">
        <is>
          <t>Edwin Castillo Romero</t>
        </is>
      </c>
      <c r="M846" t="inlineStr">
        <is>
          <t>07552102-5</t>
        </is>
      </c>
      <c r="N846" t="inlineStr">
        <is>
          <t>2609-8644</t>
        </is>
      </c>
      <c r="O846" t="inlineStr">
        <is>
          <t>Consumidor final</t>
        </is>
      </c>
      <c r="P846" t="inlineStr">
        <is>
          <t>BEB-002</t>
        </is>
      </c>
      <c r="Q846" t="inlineStr">
        <is>
          <t>Agua purificada 1 galón</t>
        </is>
      </c>
      <c r="R846" t="inlineStr">
        <is>
          <t>Bebidas</t>
        </is>
      </c>
      <c r="S846" t="inlineStr">
        <is>
          <t>Bebidas Izalco</t>
        </is>
      </c>
      <c r="T846" t="inlineStr">
        <is>
          <t>2450-7700</t>
        </is>
      </c>
      <c r="U846" t="n">
        <v>1.1</v>
      </c>
      <c r="V846" t="n">
        <v>6</v>
      </c>
      <c r="W846" t="n">
        <v>0</v>
      </c>
      <c r="X846">
        <f>IFERROR(U846*V846*(1-W846/100),"")</f>
        <v/>
      </c>
      <c r="Y846">
        <f>IFERROR(ROUND(X846*0.13,2),"")</f>
        <v/>
      </c>
      <c r="Z846">
        <f>IFERROR(X846+Y846,"")</f>
        <v/>
      </c>
      <c r="AA846" t="inlineStr">
        <is>
          <t>Efectivo</t>
        </is>
      </c>
      <c r="AB846" t="inlineStr"/>
    </row>
    <row r="847">
      <c r="A847" t="inlineStr">
        <is>
          <t>F-11129</t>
        </is>
      </c>
      <c r="B847" s="3" t="n">
        <v>46214</v>
      </c>
      <c r="C847" t="inlineStr">
        <is>
          <t>Factura</t>
        </is>
      </c>
      <c r="D847" t="inlineStr">
        <is>
          <t>SA01</t>
        </is>
      </c>
      <c r="E847" t="inlineStr">
        <is>
          <t>Santa Ana</t>
        </is>
      </c>
      <c r="F847" t="inlineStr">
        <is>
          <t>Av. Independencia Sur #12</t>
        </is>
      </c>
      <c r="G847" t="inlineStr">
        <is>
          <t>Santa Ana</t>
        </is>
      </c>
      <c r="H847" t="inlineStr">
        <is>
          <t>Santa Ana</t>
        </is>
      </c>
      <c r="I847" t="inlineStr">
        <is>
          <t>Mauricio Linares</t>
        </is>
      </c>
      <c r="J847" t="inlineStr">
        <is>
          <t>2440-9921</t>
        </is>
      </c>
      <c r="K847" t="inlineStr">
        <is>
          <t>Diego Zelaya</t>
        </is>
      </c>
      <c r="L847" t="inlineStr">
        <is>
          <t>Edwin Castillo Romero</t>
        </is>
      </c>
      <c r="M847" t="inlineStr">
        <is>
          <t>07552102-5</t>
        </is>
      </c>
      <c r="N847" t="inlineStr">
        <is>
          <t>2609-8644</t>
        </is>
      </c>
      <c r="O847" t="inlineStr">
        <is>
          <t>Consumidor final</t>
        </is>
      </c>
      <c r="P847" t="inlineStr">
        <is>
          <t>BEB-001</t>
        </is>
      </c>
      <c r="Q847" t="inlineStr">
        <is>
          <t>Gaseosa 2.5L</t>
        </is>
      </c>
      <c r="R847" t="inlineStr">
        <is>
          <t>Bebidas</t>
        </is>
      </c>
      <c r="S847" t="inlineStr">
        <is>
          <t>Bebidas Izalco</t>
        </is>
      </c>
      <c r="T847" t="inlineStr">
        <is>
          <t>2450-7700</t>
        </is>
      </c>
      <c r="U847" t="inlineStr">
        <is>
          <t>1,95</t>
        </is>
      </c>
      <c r="V847" t="n">
        <v>1</v>
      </c>
      <c r="W847" t="n">
        <v>0</v>
      </c>
      <c r="X847">
        <f>IFERROR(U847*V847*(1-W847/100),"")</f>
        <v/>
      </c>
      <c r="Y847">
        <f>IFERROR(ROUND(X847*0.13,2),"")</f>
        <v/>
      </c>
      <c r="Z847">
        <f>IFERROR(X847+Y847,"")</f>
        <v/>
      </c>
      <c r="AA847" t="inlineStr">
        <is>
          <t>Efectivo</t>
        </is>
      </c>
      <c r="AB847" t="inlineStr">
        <is>
          <t>precio especial autorizado por gerente</t>
        </is>
      </c>
    </row>
    <row r="848">
      <c r="A848" t="inlineStr">
        <is>
          <t>F-11130</t>
        </is>
      </c>
      <c r="B848" s="3" t="n">
        <v>46219</v>
      </c>
      <c r="C848" t="inlineStr">
        <is>
          <t>Factura</t>
        </is>
      </c>
      <c r="D848" t="inlineStr">
        <is>
          <t>LL02</t>
        </is>
      </c>
      <c r="E848" t="inlineStr">
        <is>
          <t>Puerto de La Libertad</t>
        </is>
      </c>
      <c r="F848" t="inlineStr">
        <is>
          <t>Calle El Malecón, Local 4</t>
        </is>
      </c>
      <c r="G848" t="inlineStr">
        <is>
          <t>La Libertad</t>
        </is>
      </c>
      <c r="H848" t="inlineStr">
        <is>
          <t>La Libertad</t>
        </is>
      </c>
      <c r="I848" t="inlineStr">
        <is>
          <t>Wendy Aguilar</t>
        </is>
      </c>
      <c r="J848" t="inlineStr">
        <is>
          <t>2335-6140</t>
        </is>
      </c>
      <c r="K848" t="inlineStr">
        <is>
          <t>Gabriela Saravia</t>
        </is>
      </c>
      <c r="L848" t="inlineStr">
        <is>
          <t>José Sorto López</t>
        </is>
      </c>
      <c r="M848" t="inlineStr">
        <is>
          <t>04721627-5</t>
        </is>
      </c>
      <c r="N848" t="inlineStr">
        <is>
          <t>6844-3004</t>
        </is>
      </c>
      <c r="O848" t="inlineStr">
        <is>
          <t>Consumidor final</t>
        </is>
      </c>
      <c r="P848" t="inlineStr">
        <is>
          <t>LAC-002</t>
        </is>
      </c>
      <c r="Q848" t="inlineStr">
        <is>
          <t>Crema 500ml</t>
        </is>
      </c>
      <c r="R848" t="inlineStr">
        <is>
          <t>Lacteos</t>
        </is>
      </c>
      <c r="S848" t="inlineStr">
        <is>
          <t>Lácteos Chalate</t>
        </is>
      </c>
      <c r="T848" t="inlineStr">
        <is>
          <t>2335-1020</t>
        </is>
      </c>
      <c r="U848" t="n">
        <v>2.25</v>
      </c>
      <c r="V848" t="n">
        <v>3</v>
      </c>
      <c r="W848" t="n">
        <v>0</v>
      </c>
      <c r="X848">
        <f>IFERROR(U848*V848*(1-W848/100),"")</f>
        <v/>
      </c>
      <c r="Y848">
        <f>IFERROR(ROUND(X848*0.13,2),"")</f>
        <v/>
      </c>
      <c r="Z848">
        <f>IFERROR(X848+Y848,"")</f>
        <v/>
      </c>
      <c r="AA848" t="inlineStr">
        <is>
          <t>Efectivo</t>
        </is>
      </c>
      <c r="AB848" t="inlineStr">
        <is>
          <t>entregar en bodega</t>
        </is>
      </c>
    </row>
    <row r="849">
      <c r="A849" t="inlineStr">
        <is>
          <t>F-11131</t>
        </is>
      </c>
      <c r="B849" s="3" t="n">
        <v>46216</v>
      </c>
      <c r="C849" t="inlineStr">
        <is>
          <t>Factura</t>
        </is>
      </c>
      <c r="D849" t="inlineStr">
        <is>
          <t>SS01</t>
        </is>
      </c>
      <c r="E849" t="inlineStr">
        <is>
          <t>San Salvador Centro</t>
        </is>
      </c>
      <c r="F849" t="inlineStr">
        <is>
          <t>4a Calle Poniente #215</t>
        </is>
      </c>
      <c r="G849" t="inlineStr">
        <is>
          <t>San Salvador</t>
        </is>
      </c>
      <c r="H849" t="inlineStr">
        <is>
          <t>San Salvador</t>
        </is>
      </c>
      <c r="I849" t="inlineStr">
        <is>
          <t>Roberto Alfaro</t>
        </is>
      </c>
      <c r="J849" t="inlineStr">
        <is>
          <t>2221-4580</t>
        </is>
      </c>
      <c r="K849" t="inlineStr">
        <is>
          <t>Daniela Orellana</t>
        </is>
      </c>
      <c r="L849" t="inlineStr">
        <is>
          <t>Brenda Castillo Sorto</t>
        </is>
      </c>
      <c r="M849" t="inlineStr">
        <is>
          <t>09144591-2</t>
        </is>
      </c>
      <c r="N849" t="inlineStr">
        <is>
          <t>2460-3568</t>
        </is>
      </c>
      <c r="O849" t="inlineStr">
        <is>
          <t>Consumidor final</t>
        </is>
      </c>
      <c r="P849" t="inlineStr">
        <is>
          <t>BEB-002</t>
        </is>
      </c>
      <c r="Q849" t="inlineStr">
        <is>
          <t>Agua purificada 1 galón</t>
        </is>
      </c>
      <c r="R849" t="inlineStr">
        <is>
          <t>Bebidas</t>
        </is>
      </c>
      <c r="S849" t="inlineStr">
        <is>
          <t>Bebidas Izalco</t>
        </is>
      </c>
      <c r="T849" t="inlineStr">
        <is>
          <t>2450-7700</t>
        </is>
      </c>
      <c r="U849" t="n">
        <v>1.1</v>
      </c>
      <c r="V849" t="n">
        <v>1</v>
      </c>
      <c r="W849" t="n">
        <v>0</v>
      </c>
      <c r="X849">
        <f>IFERROR(U849*V849*(1-W849/100),"")</f>
        <v/>
      </c>
      <c r="Y849">
        <f>IFERROR(ROUND(X849*0.13,2),"")</f>
        <v/>
      </c>
      <c r="Z849">
        <f>IFERROR(X849+Y849,"")</f>
        <v/>
      </c>
      <c r="AA849" t="inlineStr">
        <is>
          <t>Tarjeta</t>
        </is>
      </c>
      <c r="AB849" t="inlineStr">
        <is>
          <t>entregar en bodega</t>
        </is>
      </c>
    </row>
    <row r="850">
      <c r="A850" t="inlineStr">
        <is>
          <t>F-11131</t>
        </is>
      </c>
      <c r="B850" s="3" t="n">
        <v>46216</v>
      </c>
      <c r="C850" t="inlineStr">
        <is>
          <t>Factura</t>
        </is>
      </c>
      <c r="D850" t="inlineStr">
        <is>
          <t>SS01</t>
        </is>
      </c>
      <c r="E850" t="inlineStr">
        <is>
          <t xml:space="preserve">san salvador centro </t>
        </is>
      </c>
      <c r="F850" t="inlineStr">
        <is>
          <t>4a Calle Poniente #215</t>
        </is>
      </c>
      <c r="G850" t="inlineStr">
        <is>
          <t>San Salvador</t>
        </is>
      </c>
      <c r="H850" t="inlineStr">
        <is>
          <t>San Salvador</t>
        </is>
      </c>
      <c r="I850" t="inlineStr">
        <is>
          <t>Roberto Alfaro</t>
        </is>
      </c>
      <c r="J850" t="inlineStr">
        <is>
          <t>2221-4580</t>
        </is>
      </c>
      <c r="K850" t="inlineStr">
        <is>
          <t>Daniela Orellana</t>
        </is>
      </c>
      <c r="L850" t="inlineStr">
        <is>
          <t>Brenda Castillo Sorto</t>
        </is>
      </c>
      <c r="M850" t="inlineStr">
        <is>
          <t>09144591-2</t>
        </is>
      </c>
      <c r="N850" t="inlineStr">
        <is>
          <t>2460-3568</t>
        </is>
      </c>
      <c r="O850" t="inlineStr">
        <is>
          <t>Consumidor final</t>
        </is>
      </c>
      <c r="P850" t="inlineStr">
        <is>
          <t>PAN-001</t>
        </is>
      </c>
      <c r="Q850" t="inlineStr">
        <is>
          <t>Pan francés bolsa 10u</t>
        </is>
      </c>
      <c r="R850" t="inlineStr">
        <is>
          <t>Panaderia</t>
        </is>
      </c>
      <c r="S850" t="inlineStr">
        <is>
          <t>Panificadora Ilopango</t>
        </is>
      </c>
      <c r="T850" t="inlineStr">
        <is>
          <t>2295-0081</t>
        </is>
      </c>
      <c r="U850" t="n">
        <v>1</v>
      </c>
      <c r="V850" t="n">
        <v>1</v>
      </c>
      <c r="W850" t="n">
        <v>0</v>
      </c>
      <c r="X850">
        <f>IFERROR(U850*V850*(1-W850/100),"")</f>
        <v/>
      </c>
      <c r="Y850">
        <f>IFERROR(ROUND(X850*0.13,2),"")</f>
        <v/>
      </c>
      <c r="Z850">
        <f>IFERROR(X850+Y850,"")</f>
        <v/>
      </c>
      <c r="AA850" t="inlineStr">
        <is>
          <t>Tarjeta</t>
        </is>
      </c>
      <c r="AB850" t="inlineStr"/>
    </row>
    <row r="851">
      <c r="A851" t="inlineStr">
        <is>
          <t>F-11131</t>
        </is>
      </c>
      <c r="B851" t="inlineStr">
        <is>
          <t>13/07/2026</t>
        </is>
      </c>
      <c r="C851" t="inlineStr">
        <is>
          <t>Factura</t>
        </is>
      </c>
      <c r="D851" t="inlineStr">
        <is>
          <t>SS01</t>
        </is>
      </c>
      <c r="E851" t="inlineStr">
        <is>
          <t>S.S. Centro</t>
        </is>
      </c>
      <c r="F851" t="inlineStr">
        <is>
          <t>4a Calle Poniente #215</t>
        </is>
      </c>
      <c r="G851" t="inlineStr">
        <is>
          <t>San Salvador</t>
        </is>
      </c>
      <c r="H851" t="inlineStr">
        <is>
          <t>San Salvador</t>
        </is>
      </c>
      <c r="I851" t="inlineStr">
        <is>
          <t>Roberto Alfaro</t>
        </is>
      </c>
      <c r="J851" t="inlineStr">
        <is>
          <t>2221-4580</t>
        </is>
      </c>
      <c r="K851" t="inlineStr">
        <is>
          <t>Daniela Orellana</t>
        </is>
      </c>
      <c r="L851" t="inlineStr">
        <is>
          <t>Brenda Castillo Sorto</t>
        </is>
      </c>
      <c r="M851" t="inlineStr">
        <is>
          <t>09144591-2</t>
        </is>
      </c>
      <c r="N851" t="inlineStr">
        <is>
          <t>2460-3568</t>
        </is>
      </c>
      <c r="O851" t="inlineStr">
        <is>
          <t>Consumidor final</t>
        </is>
      </c>
      <c r="P851" t="inlineStr">
        <is>
          <t>ARR-001</t>
        </is>
      </c>
      <c r="Q851" t="inlineStr">
        <is>
          <t>Arroz blanco 5lb</t>
        </is>
      </c>
      <c r="R851" t="inlineStr">
        <is>
          <t>Granos básicos</t>
        </is>
      </c>
      <c r="S851" t="inlineStr">
        <is>
          <t>Granos del Pacífico</t>
        </is>
      </c>
      <c r="T851" t="inlineStr">
        <is>
          <t>2234-8890</t>
        </is>
      </c>
      <c r="U851" t="n">
        <v>3.95</v>
      </c>
      <c r="V851" t="n">
        <v>2</v>
      </c>
      <c r="W851" t="n">
        <v>0</v>
      </c>
      <c r="X851">
        <f>IFERROR(U851*V851*(1-W851/100),"")</f>
        <v/>
      </c>
      <c r="Y851">
        <f>IFERROR(ROUND(X851*0.13,2),"")</f>
        <v/>
      </c>
      <c r="Z851">
        <f>IFERROR(X851+Y851,"")</f>
        <v/>
      </c>
      <c r="AA851" t="inlineStr">
        <is>
          <t>Tarjeta</t>
        </is>
      </c>
      <c r="AB851" t="inlineStr">
        <is>
          <t>precio especial autorizado por gerente</t>
        </is>
      </c>
    </row>
    <row r="852">
      <c r="A852" t="inlineStr">
        <is>
          <t>F-11134</t>
        </is>
      </c>
      <c r="B852" s="3" t="n">
        <v>46212</v>
      </c>
      <c r="C852" t="inlineStr">
        <is>
          <t>Factura</t>
        </is>
      </c>
      <c r="D852" t="inlineStr">
        <is>
          <t>LL01</t>
        </is>
      </c>
      <c r="E852" t="inlineStr">
        <is>
          <t>SANTA TECLA</t>
        </is>
      </c>
      <c r="F852" t="inlineStr">
        <is>
          <t>Calle Daniel Hernández #18</t>
        </is>
      </c>
      <c r="G852" t="inlineStr">
        <is>
          <t>Santa Tecla</t>
        </is>
      </c>
      <c r="H852" t="inlineStr">
        <is>
          <t>La Libertad</t>
        </is>
      </c>
      <c r="I852" t="inlineStr">
        <is>
          <t>Óscar Rivas</t>
        </is>
      </c>
      <c r="J852" t="inlineStr">
        <is>
          <t>2228-7731</t>
        </is>
      </c>
      <c r="K852" t="inlineStr">
        <is>
          <t>Andrea Pineda</t>
        </is>
      </c>
      <c r="L852" t="inlineStr">
        <is>
          <t>Rosa García López</t>
        </is>
      </c>
      <c r="M852" t="inlineStr">
        <is>
          <t>08949227-3</t>
        </is>
      </c>
      <c r="N852" t="inlineStr">
        <is>
          <t>7696-6025</t>
        </is>
      </c>
      <c r="O852" t="inlineStr">
        <is>
          <t>Consumidor final</t>
        </is>
      </c>
      <c r="P852" t="inlineStr">
        <is>
          <t>LAC-003</t>
        </is>
      </c>
      <c r="Q852" t="inlineStr">
        <is>
          <t>Leche entera 1L</t>
        </is>
      </c>
      <c r="R852" t="inlineStr">
        <is>
          <t>Lácteos</t>
        </is>
      </c>
      <c r="S852" t="inlineStr">
        <is>
          <t>Lácteos Chalate</t>
        </is>
      </c>
      <c r="T852" t="inlineStr">
        <is>
          <t>2335-1020</t>
        </is>
      </c>
      <c r="U852" t="n">
        <v>1.2</v>
      </c>
      <c r="V852" t="n">
        <v>3</v>
      </c>
      <c r="W852" t="n">
        <v>0</v>
      </c>
      <c r="X852">
        <f>IFERROR(U852*V852*(1-W852/100),"")</f>
        <v/>
      </c>
      <c r="Y852">
        <f>IFERROR(ROUND(X852*0.13,2),"")</f>
        <v/>
      </c>
      <c r="Z852">
        <f>IFERROR(X852+Y852,"")</f>
        <v/>
      </c>
      <c r="AA852" t="inlineStr">
        <is>
          <t>Efectivo</t>
        </is>
      </c>
      <c r="AB852" t="inlineStr"/>
    </row>
    <row r="853">
      <c r="A853" t="inlineStr">
        <is>
          <t>F-11134</t>
        </is>
      </c>
      <c r="B853" s="3" t="n">
        <v>46212</v>
      </c>
      <c r="C853" t="inlineStr">
        <is>
          <t>Factura</t>
        </is>
      </c>
      <c r="D853" t="inlineStr">
        <is>
          <t>LL01</t>
        </is>
      </c>
      <c r="E853" t="inlineStr">
        <is>
          <t>Santa Tecla</t>
        </is>
      </c>
      <c r="F853" t="inlineStr">
        <is>
          <t>Calle Daniel Hernández #18</t>
        </is>
      </c>
      <c r="G853" t="inlineStr">
        <is>
          <t>Santa Tecla</t>
        </is>
      </c>
      <c r="H853" t="inlineStr">
        <is>
          <t>La Libertad</t>
        </is>
      </c>
      <c r="I853" t="inlineStr">
        <is>
          <t>Óscar Rivas</t>
        </is>
      </c>
      <c r="J853" t="inlineStr">
        <is>
          <t>2228-7731</t>
        </is>
      </c>
      <c r="K853" t="inlineStr">
        <is>
          <t>Andrea Pineda</t>
        </is>
      </c>
      <c r="L853" t="inlineStr">
        <is>
          <t>Rosa García López</t>
        </is>
      </c>
      <c r="M853" t="inlineStr">
        <is>
          <t>08949227-3</t>
        </is>
      </c>
      <c r="N853" t="inlineStr">
        <is>
          <t>7696-6025</t>
        </is>
      </c>
      <c r="O853" t="inlineStr">
        <is>
          <t>Consumidor final</t>
        </is>
      </c>
      <c r="P853" t="inlineStr">
        <is>
          <t>LAC-001</t>
        </is>
      </c>
      <c r="Q853" t="inlineStr">
        <is>
          <t>Quesillo 1lb</t>
        </is>
      </c>
      <c r="R853" t="inlineStr">
        <is>
          <t>LACTEOS</t>
        </is>
      </c>
      <c r="S853" t="inlineStr">
        <is>
          <t>Lácteos Chalate</t>
        </is>
      </c>
      <c r="T853" t="inlineStr">
        <is>
          <t>2335-1020</t>
        </is>
      </c>
      <c r="U853" t="inlineStr">
        <is>
          <t>3,80</t>
        </is>
      </c>
      <c r="V853" t="n">
        <v>1</v>
      </c>
      <c r="W853" t="n">
        <v>0</v>
      </c>
      <c r="X853">
        <f>IFERROR(U853*V853*(1-W853/100),"")</f>
        <v/>
      </c>
      <c r="Y853">
        <f>IFERROR(ROUND(X853*0.13,2),"")</f>
        <v/>
      </c>
      <c r="Z853">
        <f>IFERROR(X853+Y853,"")</f>
        <v/>
      </c>
      <c r="AA853" t="inlineStr">
        <is>
          <t>Efectivo</t>
        </is>
      </c>
      <c r="AB853" t="inlineStr">
        <is>
          <t>precio especial autorizado por gerente</t>
        </is>
      </c>
    </row>
    <row r="854">
      <c r="A854" t="inlineStr">
        <is>
          <t>F-11134</t>
        </is>
      </c>
      <c r="B854" s="3" t="n">
        <v>46212</v>
      </c>
      <c r="C854" t="inlineStr">
        <is>
          <t>Factura</t>
        </is>
      </c>
      <c r="D854" t="inlineStr">
        <is>
          <t>LL01</t>
        </is>
      </c>
      <c r="E854" t="inlineStr">
        <is>
          <t>Santa Tecla</t>
        </is>
      </c>
      <c r="F854" t="inlineStr">
        <is>
          <t>Calle Daniel Hernández #18</t>
        </is>
      </c>
      <c r="G854" t="inlineStr">
        <is>
          <t>Santa Tecla</t>
        </is>
      </c>
      <c r="H854" t="inlineStr">
        <is>
          <t>La Libertad</t>
        </is>
      </c>
      <c r="I854" t="inlineStr">
        <is>
          <t>Óscar Rivas</t>
        </is>
      </c>
      <c r="J854" t="inlineStr">
        <is>
          <t>2228-7731</t>
        </is>
      </c>
      <c r="K854" t="inlineStr">
        <is>
          <t>Andrea Pineda</t>
        </is>
      </c>
      <c r="L854" t="inlineStr">
        <is>
          <t>Rosa García López</t>
        </is>
      </c>
      <c r="M854" t="inlineStr">
        <is>
          <t>08949227-3</t>
        </is>
      </c>
      <c r="N854" t="inlineStr">
        <is>
          <t>7696-6025</t>
        </is>
      </c>
      <c r="O854" t="inlineStr">
        <is>
          <t>Consumidor final</t>
        </is>
      </c>
      <c r="P854" t="inlineStr">
        <is>
          <t>HAR-001</t>
        </is>
      </c>
      <c r="Q854" t="inlineStr">
        <is>
          <t>Harina de maíz 2lb</t>
        </is>
      </c>
      <c r="R854" t="inlineStr">
        <is>
          <t>Abarrotes</t>
        </is>
      </c>
      <c r="S854" t="inlineStr">
        <is>
          <t>Granos del Pacífico</t>
        </is>
      </c>
      <c r="T854" t="inlineStr">
        <is>
          <t>2234-8890</t>
        </is>
      </c>
      <c r="U854" t="n">
        <v>1.35</v>
      </c>
      <c r="V854" t="n">
        <v>4</v>
      </c>
      <c r="W854" t="n">
        <v>0</v>
      </c>
      <c r="X854">
        <f>IFERROR(U854*V854*(1-W854/100),"")</f>
        <v/>
      </c>
      <c r="Y854">
        <f>IFERROR(ROUND(X854*0.13,2),"")</f>
        <v/>
      </c>
      <c r="Z854">
        <f>IFERROR(X854+Y854,"")</f>
        <v/>
      </c>
      <c r="AA854" t="inlineStr">
        <is>
          <t>Efectivo</t>
        </is>
      </c>
      <c r="AB854" t="inlineStr"/>
    </row>
    <row r="855">
      <c r="A855" t="inlineStr">
        <is>
          <t>F-11134</t>
        </is>
      </c>
      <c r="B855" s="3" t="n">
        <v>46212</v>
      </c>
      <c r="C855" t="inlineStr">
        <is>
          <t>Factura</t>
        </is>
      </c>
      <c r="D855" t="inlineStr">
        <is>
          <t>LL01</t>
        </is>
      </c>
      <c r="E855" t="inlineStr">
        <is>
          <t>Santa Tecla</t>
        </is>
      </c>
      <c r="F855" t="inlineStr">
        <is>
          <t>Calle Daniel Hernández #18</t>
        </is>
      </c>
      <c r="G855" t="inlineStr">
        <is>
          <t>Santa Tecla</t>
        </is>
      </c>
      <c r="H855" t="inlineStr">
        <is>
          <t>La Libertad</t>
        </is>
      </c>
      <c r="I855" t="inlineStr">
        <is>
          <t>Óscar Rivas</t>
        </is>
      </c>
      <c r="J855" t="inlineStr">
        <is>
          <t>2228-7731</t>
        </is>
      </c>
      <c r="K855" t="inlineStr">
        <is>
          <t>Andrea Pineda</t>
        </is>
      </c>
      <c r="L855" t="inlineStr">
        <is>
          <t>Rosa García López</t>
        </is>
      </c>
      <c r="M855" t="inlineStr">
        <is>
          <t>08949227-3</t>
        </is>
      </c>
      <c r="N855" t="inlineStr">
        <is>
          <t>7696-6025</t>
        </is>
      </c>
      <c r="O855" t="inlineStr">
        <is>
          <t>Consumidor final</t>
        </is>
      </c>
      <c r="P855" t="inlineStr">
        <is>
          <t>BEB-001</t>
        </is>
      </c>
      <c r="Q855" t="inlineStr">
        <is>
          <t>Gaseosa 2.5L</t>
        </is>
      </c>
      <c r="R855" t="inlineStr">
        <is>
          <t>Bebidas</t>
        </is>
      </c>
      <c r="S855" t="inlineStr">
        <is>
          <t>Bebidas Izalco</t>
        </is>
      </c>
      <c r="T855" t="inlineStr">
        <is>
          <t>2450-7700</t>
        </is>
      </c>
      <c r="U855" t="n">
        <v>1.95</v>
      </c>
      <c r="V855" t="n">
        <v>12</v>
      </c>
      <c r="W855" t="n">
        <v>0</v>
      </c>
      <c r="X855">
        <f>IFERROR(U855*V855*(1-W855/100),"")</f>
        <v/>
      </c>
      <c r="Y855">
        <f>IFERROR(ROUND(X855*0.13,2),"")</f>
        <v/>
      </c>
      <c r="Z855">
        <f>IFERROR(X855+Y855,"")</f>
        <v/>
      </c>
      <c r="AA855" t="inlineStr">
        <is>
          <t>Efectivo</t>
        </is>
      </c>
      <c r="AB855" t="inlineStr">
        <is>
          <t>entregar en bodega</t>
        </is>
      </c>
    </row>
    <row r="856">
      <c r="A856" t="inlineStr">
        <is>
          <t>F-11137</t>
        </is>
      </c>
      <c r="B856" s="3" t="n">
        <v>46269</v>
      </c>
      <c r="C856" t="inlineStr">
        <is>
          <t>factura</t>
        </is>
      </c>
      <c r="D856" t="inlineStr">
        <is>
          <t>SS02</t>
        </is>
      </c>
      <c r="E856" t="inlineStr">
        <is>
          <t>ESCALON</t>
        </is>
      </c>
      <c r="F856" t="inlineStr">
        <is>
          <t>Paseo General Escalón #3910</t>
        </is>
      </c>
      <c r="G856" t="inlineStr">
        <is>
          <t>San Salvador</t>
        </is>
      </c>
      <c r="H856" t="inlineStr">
        <is>
          <t>San Salvador</t>
        </is>
      </c>
      <c r="I856" t="inlineStr">
        <is>
          <t>Claudia Menjívar</t>
        </is>
      </c>
      <c r="J856" t="inlineStr">
        <is>
          <t>2264-1190</t>
        </is>
      </c>
      <c r="K856" t="inlineStr">
        <is>
          <t>Kevin Benítez</t>
        </is>
      </c>
      <c r="L856" t="inlineStr">
        <is>
          <t>Patricia Argueta Mejía</t>
        </is>
      </c>
      <c r="M856" t="inlineStr">
        <is>
          <t>01586554-3</t>
        </is>
      </c>
      <c r="N856" t="inlineStr">
        <is>
          <t>2105-2525</t>
        </is>
      </c>
      <c r="O856" t="inlineStr">
        <is>
          <t>Consumidor final</t>
        </is>
      </c>
      <c r="P856" t="inlineStr">
        <is>
          <t>PAN-001</t>
        </is>
      </c>
      <c r="Q856" t="inlineStr">
        <is>
          <t>Pan francés bolsa 10u</t>
        </is>
      </c>
      <c r="R856" t="inlineStr">
        <is>
          <t>Panadería</t>
        </is>
      </c>
      <c r="S856" t="inlineStr">
        <is>
          <t>Panificadora Ilopango</t>
        </is>
      </c>
      <c r="T856" t="inlineStr">
        <is>
          <t>2295-0081</t>
        </is>
      </c>
      <c r="U856" t="n">
        <v>1</v>
      </c>
      <c r="V856" t="n">
        <v>4</v>
      </c>
      <c r="W856" t="n">
        <v>0</v>
      </c>
      <c r="X856">
        <f>IFERROR(U856*V856*(1-W856/100),"")</f>
        <v/>
      </c>
      <c r="Y856">
        <f>IFERROR(ROUND(X856*0.13,2),"")</f>
        <v/>
      </c>
      <c r="Z856">
        <f>IFERROR(X856+Y856,"")</f>
        <v/>
      </c>
      <c r="AA856" t="inlineStr">
        <is>
          <t>Tarjeta</t>
        </is>
      </c>
      <c r="AB856" t="inlineStr">
        <is>
          <t>pagó con billete de $100</t>
        </is>
      </c>
    </row>
    <row r="857">
      <c r="A857" t="inlineStr">
        <is>
          <t>F-11137</t>
        </is>
      </c>
      <c r="B857" s="3" t="n">
        <v>46269</v>
      </c>
      <c r="C857" t="inlineStr">
        <is>
          <t>factura</t>
        </is>
      </c>
      <c r="D857" t="inlineStr">
        <is>
          <t>SS02</t>
        </is>
      </c>
      <c r="E857" t="inlineStr">
        <is>
          <t>Col. Escalón</t>
        </is>
      </c>
      <c r="F857" t="inlineStr">
        <is>
          <t>Paseo General Escalón #3910</t>
        </is>
      </c>
      <c r="G857" t="inlineStr">
        <is>
          <t>San Salvador</t>
        </is>
      </c>
      <c r="H857" t="inlineStr">
        <is>
          <t>San Salvador</t>
        </is>
      </c>
      <c r="I857" t="inlineStr">
        <is>
          <t>Claudia Menjívar</t>
        </is>
      </c>
      <c r="J857" t="inlineStr">
        <is>
          <t>2264-1190</t>
        </is>
      </c>
      <c r="K857" t="inlineStr">
        <is>
          <t>Kevin Benítez</t>
        </is>
      </c>
      <c r="L857" t="inlineStr">
        <is>
          <t>Patricia Argueta Mejía</t>
        </is>
      </c>
      <c r="M857" t="inlineStr">
        <is>
          <t>01586554-3</t>
        </is>
      </c>
      <c r="N857" t="inlineStr">
        <is>
          <t>2105-2525</t>
        </is>
      </c>
      <c r="O857" t="inlineStr">
        <is>
          <t>Consumidor final</t>
        </is>
      </c>
      <c r="P857" t="inlineStr">
        <is>
          <t>CAF-001</t>
        </is>
      </c>
      <c r="Q857" t="inlineStr">
        <is>
          <t>Café molido 400g</t>
        </is>
      </c>
      <c r="R857" t="inlineStr">
        <is>
          <t>ABARROTES</t>
        </is>
      </c>
      <c r="S857" t="inlineStr">
        <is>
          <t>Café Volcán S.A.</t>
        </is>
      </c>
      <c r="T857" t="inlineStr">
        <is>
          <t>2510-3344</t>
        </is>
      </c>
      <c r="U857" t="n">
        <v>4.25</v>
      </c>
      <c r="V857" t="n">
        <v>12</v>
      </c>
      <c r="W857" t="n">
        <v>0</v>
      </c>
      <c r="X857">
        <f>IFERROR(U857*V857*(1-W857/100),"")</f>
        <v/>
      </c>
      <c r="Y857">
        <f>IFERROR(ROUND(X857*0.13,2),"")</f>
        <v/>
      </c>
      <c r="Z857">
        <f>IFERROR(X857+Y857,"")</f>
        <v/>
      </c>
      <c r="AA857" t="inlineStr">
        <is>
          <t>Tarjeta</t>
        </is>
      </c>
      <c r="AB857" t="inlineStr">
        <is>
          <t>Cliente frecuente</t>
        </is>
      </c>
    </row>
    <row r="858">
      <c r="A858" t="inlineStr">
        <is>
          <t>F-11139</t>
        </is>
      </c>
      <c r="B858" s="3" t="n">
        <v>46205</v>
      </c>
      <c r="C858" t="inlineStr">
        <is>
          <t>Factura</t>
        </is>
      </c>
      <c r="D858" t="inlineStr">
        <is>
          <t>SS01</t>
        </is>
      </c>
      <c r="E858" t="inlineStr">
        <is>
          <t>San Salvador Centro</t>
        </is>
      </c>
      <c r="F858" t="inlineStr">
        <is>
          <t>4a Calle Poniente #215</t>
        </is>
      </c>
      <c r="G858" t="inlineStr">
        <is>
          <t>San Salvador</t>
        </is>
      </c>
      <c r="H858" t="inlineStr">
        <is>
          <t>San Salvador</t>
        </is>
      </c>
      <c r="I858" t="inlineStr">
        <is>
          <t>Roberto Alfaro</t>
        </is>
      </c>
      <c r="J858" t="inlineStr">
        <is>
          <t>2221-4580</t>
        </is>
      </c>
      <c r="K858" t="inlineStr">
        <is>
          <t>José Martínez</t>
        </is>
      </c>
      <c r="L858" t="inlineStr">
        <is>
          <t>Rosa Flores Cornejo</t>
        </is>
      </c>
      <c r="M858" t="inlineStr">
        <is>
          <t>00476760-8</t>
        </is>
      </c>
      <c r="N858" t="inlineStr">
        <is>
          <t>7668-7502</t>
        </is>
      </c>
      <c r="O858" t="inlineStr">
        <is>
          <t>Consumidor final</t>
        </is>
      </c>
      <c r="P858" t="inlineStr">
        <is>
          <t>ARR-001</t>
        </is>
      </c>
      <c r="Q858" t="inlineStr">
        <is>
          <t>Arroz blanco 5lb</t>
        </is>
      </c>
      <c r="R858" t="inlineStr">
        <is>
          <t>Abarrotes</t>
        </is>
      </c>
      <c r="S858" t="inlineStr">
        <is>
          <t>Granos del Pacífico</t>
        </is>
      </c>
      <c r="T858" t="inlineStr">
        <is>
          <t>2234-8890</t>
        </is>
      </c>
      <c r="U858" t="inlineStr">
        <is>
          <t>$3.95</t>
        </is>
      </c>
      <c r="V858" t="n">
        <v>24</v>
      </c>
      <c r="W858" t="n">
        <v>0</v>
      </c>
      <c r="X858">
        <f>IFERROR(U858*V858*(1-W858/100),"")</f>
        <v/>
      </c>
      <c r="Y858">
        <f>IFERROR(ROUND(X858*0.13,2),"")</f>
        <v/>
      </c>
      <c r="Z858">
        <f>IFERROR(X858+Y858,"")</f>
        <v/>
      </c>
      <c r="AA858" t="inlineStr">
        <is>
          <t>Chivo</t>
        </is>
      </c>
      <c r="AB858" t="inlineStr">
        <is>
          <t>pagó con billete de $100</t>
        </is>
      </c>
    </row>
    <row r="859">
      <c r="A859" t="inlineStr">
        <is>
          <t>F-11139</t>
        </is>
      </c>
      <c r="B859" t="inlineStr">
        <is>
          <t>2026-07-02</t>
        </is>
      </c>
      <c r="C859" t="inlineStr">
        <is>
          <t>Factura</t>
        </is>
      </c>
      <c r="D859" t="inlineStr">
        <is>
          <t>SS01</t>
        </is>
      </c>
      <c r="E859" t="inlineStr">
        <is>
          <t>S.S. Centro</t>
        </is>
      </c>
      <c r="F859" t="inlineStr">
        <is>
          <t>4a Calle Poniente #215</t>
        </is>
      </c>
      <c r="G859" t="inlineStr">
        <is>
          <t>San Salvador</t>
        </is>
      </c>
      <c r="H859" t="inlineStr">
        <is>
          <t>San Salvador</t>
        </is>
      </c>
      <c r="I859" t="inlineStr">
        <is>
          <t>Roberto Alfaro</t>
        </is>
      </c>
      <c r="J859" t="inlineStr">
        <is>
          <t>2221-4580</t>
        </is>
      </c>
      <c r="K859" t="inlineStr">
        <is>
          <t>José Martínez</t>
        </is>
      </c>
      <c r="L859" t="inlineStr">
        <is>
          <t>Rosa Flores Cornejo</t>
        </is>
      </c>
      <c r="M859" t="inlineStr">
        <is>
          <t>00476760-8</t>
        </is>
      </c>
      <c r="N859" t="inlineStr">
        <is>
          <t>7668-7502</t>
        </is>
      </c>
      <c r="O859" t="inlineStr">
        <is>
          <t>Consumidor final</t>
        </is>
      </c>
      <c r="P859" t="inlineStr">
        <is>
          <t>BEB-001</t>
        </is>
      </c>
      <c r="Q859" t="inlineStr">
        <is>
          <t>Gaseosa 2.5L</t>
        </is>
      </c>
      <c r="R859" t="inlineStr">
        <is>
          <t>Bebidas</t>
        </is>
      </c>
      <c r="S859" t="inlineStr">
        <is>
          <t>Bebidas Izalco</t>
        </is>
      </c>
      <c r="T859" t="inlineStr">
        <is>
          <t>2450-7700</t>
        </is>
      </c>
      <c r="U859" t="n">
        <v>1.95</v>
      </c>
      <c r="V859" t="n">
        <v>6</v>
      </c>
      <c r="W859" t="n">
        <v>0</v>
      </c>
      <c r="X859">
        <f>IFERROR(U859*V859*(1-W859/100),"")</f>
        <v/>
      </c>
      <c r="Y859">
        <f>IFERROR(ROUND(X859*0.13,2),"")</f>
        <v/>
      </c>
      <c r="Z859">
        <f>IFERROR(X859+Y859,"")</f>
        <v/>
      </c>
      <c r="AA859" t="inlineStr">
        <is>
          <t>Chivo</t>
        </is>
      </c>
      <c r="AB859" t="inlineStr"/>
    </row>
    <row r="860">
      <c r="A860" t="inlineStr">
        <is>
          <t>F-11140</t>
        </is>
      </c>
      <c r="B860" s="3" t="n">
        <v>46220</v>
      </c>
      <c r="C860" t="inlineStr">
        <is>
          <t>Factura</t>
        </is>
      </c>
      <c r="D860" t="inlineStr">
        <is>
          <t>SO01</t>
        </is>
      </c>
      <c r="E860" t="inlineStr">
        <is>
          <t>Sonsonate</t>
        </is>
      </c>
      <c r="F860" t="inlineStr">
        <is>
          <t>Calle Obispo Marroquín #3</t>
        </is>
      </c>
      <c r="G860" t="inlineStr">
        <is>
          <t>Sonsonate</t>
        </is>
      </c>
      <c r="H860" t="inlineStr">
        <is>
          <t>Sonsonate</t>
        </is>
      </c>
      <c r="I860" t="inlineStr">
        <is>
          <t>Ernesto Chávez</t>
        </is>
      </c>
      <c r="J860" t="inlineStr">
        <is>
          <t>2451-2288</t>
        </is>
      </c>
      <c r="K860" t="inlineStr">
        <is>
          <t>Ricardo Funes</t>
        </is>
      </c>
      <c r="L860" t="inlineStr">
        <is>
          <t>Rosa López Castillo</t>
        </is>
      </c>
      <c r="M860" t="inlineStr">
        <is>
          <t>09782214-9</t>
        </is>
      </c>
      <c r="N860" t="inlineStr">
        <is>
          <t>6806-3209</t>
        </is>
      </c>
      <c r="O860" t="inlineStr">
        <is>
          <t>Consumidor final</t>
        </is>
      </c>
      <c r="P860" t="inlineStr">
        <is>
          <t>PAN-002</t>
        </is>
      </c>
      <c r="Q860" t="inlineStr">
        <is>
          <t>Semita alta</t>
        </is>
      </c>
      <c r="R860" t="inlineStr">
        <is>
          <t>Panadería</t>
        </is>
      </c>
      <c r="S860" t="inlineStr">
        <is>
          <t>Panificadora Ilopango</t>
        </is>
      </c>
      <c r="T860" t="inlineStr">
        <is>
          <t>2295-0081</t>
        </is>
      </c>
      <c r="U860" t="n">
        <v>1.75</v>
      </c>
      <c r="V860" t="n">
        <v>1</v>
      </c>
      <c r="W860" t="n">
        <v>0</v>
      </c>
      <c r="X860">
        <f>IFERROR(U860*V860*(1-W860/100),"")</f>
        <v/>
      </c>
      <c r="Y860">
        <f>IFERROR(ROUND(X860*0.13,2),"")</f>
        <v/>
      </c>
      <c r="Z860">
        <f>IFERROR(X860+Y860,"")</f>
        <v/>
      </c>
      <c r="AA860" t="inlineStr">
        <is>
          <t>Efectivo</t>
        </is>
      </c>
      <c r="AB860" t="inlineStr"/>
    </row>
    <row r="861">
      <c r="A861" t="inlineStr">
        <is>
          <t>F-11140</t>
        </is>
      </c>
      <c r="B861" s="3" t="n">
        <v>46220</v>
      </c>
      <c r="C861" t="inlineStr">
        <is>
          <t>Factura</t>
        </is>
      </c>
      <c r="D861" t="inlineStr">
        <is>
          <t>SO01</t>
        </is>
      </c>
      <c r="E861" t="inlineStr">
        <is>
          <t>Sonsonate</t>
        </is>
      </c>
      <c r="F861" t="inlineStr">
        <is>
          <t>Calle Obispo Marroquín #3</t>
        </is>
      </c>
      <c r="G861" t="inlineStr">
        <is>
          <t>Sonsonate</t>
        </is>
      </c>
      <c r="H861" t="inlineStr">
        <is>
          <t>Sonsonate</t>
        </is>
      </c>
      <c r="I861" t="inlineStr">
        <is>
          <t>Ernesto Chávez</t>
        </is>
      </c>
      <c r="J861" t="inlineStr">
        <is>
          <t>2451-2288</t>
        </is>
      </c>
      <c r="K861" t="inlineStr">
        <is>
          <t>Ricardo Funes</t>
        </is>
      </c>
      <c r="L861" t="inlineStr">
        <is>
          <t>Rosa López Castillo</t>
        </is>
      </c>
      <c r="M861" t="inlineStr">
        <is>
          <t>09782214-9</t>
        </is>
      </c>
      <c r="N861" t="inlineStr">
        <is>
          <t>6806-3209</t>
        </is>
      </c>
      <c r="O861" t="inlineStr">
        <is>
          <t>Consumidor final</t>
        </is>
      </c>
      <c r="P861" t="inlineStr">
        <is>
          <t>LAC-002</t>
        </is>
      </c>
      <c r="Q861" t="inlineStr">
        <is>
          <t>Crema 500ml</t>
        </is>
      </c>
      <c r="R861" t="inlineStr">
        <is>
          <t>Lacteos</t>
        </is>
      </c>
      <c r="S861" t="inlineStr">
        <is>
          <t>Lácteos Chalate</t>
        </is>
      </c>
      <c r="T861" t="inlineStr">
        <is>
          <t>7120-4455</t>
        </is>
      </c>
      <c r="U861" t="n">
        <v>2.25</v>
      </c>
      <c r="V861" t="n">
        <v>1</v>
      </c>
      <c r="W861" t="n">
        <v>0</v>
      </c>
      <c r="X861">
        <f>IFERROR(U861*V861*(1-W861/100),"")</f>
        <v/>
      </c>
      <c r="Y861">
        <f>IFERROR(ROUND(X861*0.13,2),"")</f>
        <v/>
      </c>
      <c r="Z861">
        <f>IFERROR(X861+Y861,"")</f>
        <v/>
      </c>
      <c r="AA861" t="inlineStr">
        <is>
          <t>Efectivo</t>
        </is>
      </c>
      <c r="AB861" t="inlineStr"/>
    </row>
    <row r="862">
      <c r="A862" t="inlineStr">
        <is>
          <t>F-11140</t>
        </is>
      </c>
      <c r="B862" t="inlineStr">
        <is>
          <t>17/07/2026</t>
        </is>
      </c>
      <c r="C862" t="inlineStr">
        <is>
          <t>Factura</t>
        </is>
      </c>
      <c r="D862" t="inlineStr">
        <is>
          <t>SO01</t>
        </is>
      </c>
      <c r="E862" t="inlineStr">
        <is>
          <t>SONSONATE</t>
        </is>
      </c>
      <c r="F862" t="inlineStr">
        <is>
          <t>Calle Obispo Marroquín #3</t>
        </is>
      </c>
      <c r="G862" t="inlineStr">
        <is>
          <t>Sonsonate</t>
        </is>
      </c>
      <c r="H862" t="inlineStr">
        <is>
          <t>Sonsonate</t>
        </is>
      </c>
      <c r="I862" t="inlineStr">
        <is>
          <t>Ernesto Chávez</t>
        </is>
      </c>
      <c r="J862" t="inlineStr">
        <is>
          <t>2451-2288</t>
        </is>
      </c>
      <c r="K862" t="inlineStr">
        <is>
          <t>Ricardo Funes</t>
        </is>
      </c>
      <c r="L862" t="inlineStr">
        <is>
          <t>Rosa López Castillo</t>
        </is>
      </c>
      <c r="M862" t="inlineStr">
        <is>
          <t>09782214-9</t>
        </is>
      </c>
      <c r="N862" t="inlineStr">
        <is>
          <t>6806-3209</t>
        </is>
      </c>
      <c r="O862" t="inlineStr">
        <is>
          <t>Consumidor final</t>
        </is>
      </c>
      <c r="P862" t="inlineStr">
        <is>
          <t>AZU-001</t>
        </is>
      </c>
      <c r="Q862" t="inlineStr">
        <is>
          <t>Azúcar blanca 2.5kg</t>
        </is>
      </c>
      <c r="R862" t="inlineStr">
        <is>
          <t>Abarrotes</t>
        </is>
      </c>
      <c r="S862" t="inlineStr">
        <is>
          <t>Granos del Pacífico</t>
        </is>
      </c>
      <c r="T862" t="inlineStr">
        <is>
          <t>2234-8890</t>
        </is>
      </c>
      <c r="U862" t="n">
        <v>3.1</v>
      </c>
      <c r="V862" t="n">
        <v>-1</v>
      </c>
      <c r="W862" t="n">
        <v>0</v>
      </c>
      <c r="X862">
        <f>IFERROR(U862*V862*(1-W862/100),"")</f>
        <v/>
      </c>
      <c r="Y862">
        <f>IFERROR(ROUND(X862*0.13,2),"")</f>
        <v/>
      </c>
      <c r="Z862">
        <f>IFERROR(X862+Y862,"")</f>
        <v/>
      </c>
      <c r="AA862" t="inlineStr">
        <is>
          <t>Efectivo</t>
        </is>
      </c>
      <c r="AB862" t="inlineStr"/>
    </row>
    <row r="863">
      <c r="A863" t="inlineStr">
        <is>
          <t>F-11140</t>
        </is>
      </c>
      <c r="B863" s="3" t="n">
        <v>46220</v>
      </c>
      <c r="C863" t="inlineStr">
        <is>
          <t>Factura</t>
        </is>
      </c>
      <c r="D863" t="inlineStr">
        <is>
          <t>SO01</t>
        </is>
      </c>
      <c r="E863" t="inlineStr">
        <is>
          <t>SONSONATE</t>
        </is>
      </c>
      <c r="F863" t="inlineStr">
        <is>
          <t>Calle Obispo Marroquín #3</t>
        </is>
      </c>
      <c r="G863" t="inlineStr">
        <is>
          <t>Sonsonate</t>
        </is>
      </c>
      <c r="H863" t="inlineStr">
        <is>
          <t>Sonsonate</t>
        </is>
      </c>
      <c r="I863" t="inlineStr">
        <is>
          <t>Ernesto Chávez</t>
        </is>
      </c>
      <c r="J863" t="inlineStr">
        <is>
          <t>2451-2288</t>
        </is>
      </c>
      <c r="K863" t="inlineStr">
        <is>
          <t>Ricardo Funes</t>
        </is>
      </c>
      <c r="L863" t="inlineStr">
        <is>
          <t>ROSA LÓPEZ CASTILLO</t>
        </is>
      </c>
      <c r="M863" t="inlineStr">
        <is>
          <t>09782214-9</t>
        </is>
      </c>
      <c r="N863" t="inlineStr">
        <is>
          <t>6806-3209</t>
        </is>
      </c>
      <c r="O863" t="inlineStr">
        <is>
          <t>Consumidor final</t>
        </is>
      </c>
      <c r="P863" t="inlineStr">
        <is>
          <t>HIG-003</t>
        </is>
      </c>
      <c r="Q863" t="inlineStr">
        <is>
          <t>Jabón de lavar barra</t>
        </is>
      </c>
      <c r="R863" t="inlineStr">
        <is>
          <t>Limpieza</t>
        </is>
      </c>
      <c r="S863" t="inlineStr">
        <is>
          <t>Higiene Total C.A.</t>
        </is>
      </c>
      <c r="T863" t="inlineStr">
        <is>
          <t>2207-5566</t>
        </is>
      </c>
      <c r="U863" t="n">
        <v>0.75</v>
      </c>
      <c r="V863" t="n">
        <v>4</v>
      </c>
      <c r="W863" t="n">
        <v>0</v>
      </c>
      <c r="X863">
        <f>IFERROR(U863*V863*(1-W863/100),"")</f>
        <v/>
      </c>
      <c r="Y863">
        <f>IFERROR(ROUND(X863*0.13,2),"")</f>
        <v/>
      </c>
      <c r="Z863">
        <f>IFERROR(X863+Y863,"")</f>
        <v/>
      </c>
      <c r="AA863" t="inlineStr">
        <is>
          <t>Efectivo</t>
        </is>
      </c>
      <c r="AB863" t="inlineStr"/>
    </row>
    <row r="864">
      <c r="A864" t="inlineStr">
        <is>
          <t>F-11142</t>
        </is>
      </c>
      <c r="B864" s="3" t="n">
        <v>46286</v>
      </c>
      <c r="C864" t="inlineStr">
        <is>
          <t>factura</t>
        </is>
      </c>
      <c r="D864" t="inlineStr">
        <is>
          <t>SM01</t>
        </is>
      </c>
      <c r="E864" t="inlineStr">
        <is>
          <t>S. Miguel</t>
        </is>
      </c>
      <c r="F864" t="inlineStr">
        <is>
          <t>Av. Roosevelt Sur #7</t>
        </is>
      </c>
      <c r="G864" t="inlineStr">
        <is>
          <t>San Miguel</t>
        </is>
      </c>
      <c r="H864" t="inlineStr">
        <is>
          <t>San Miguel</t>
        </is>
      </c>
      <c r="I864" t="inlineStr">
        <is>
          <t>Iris Portillo</t>
        </is>
      </c>
      <c r="J864" t="inlineStr">
        <is>
          <t>2661-5076</t>
        </is>
      </c>
      <c r="K864" t="inlineStr">
        <is>
          <t>Paola Cruz</t>
        </is>
      </c>
      <c r="L864" t="inlineStr">
        <is>
          <t>Edwin Castillo Romero</t>
        </is>
      </c>
      <c r="M864" t="inlineStr">
        <is>
          <t>07552102-5</t>
        </is>
      </c>
      <c r="N864" t="inlineStr">
        <is>
          <t>2609-8644</t>
        </is>
      </c>
      <c r="O864" t="inlineStr">
        <is>
          <t>Consumidor final</t>
        </is>
      </c>
      <c r="P864" t="inlineStr">
        <is>
          <t>BEB-001</t>
        </is>
      </c>
      <c r="Q864" t="inlineStr">
        <is>
          <t>Gaseosa 2.5L</t>
        </is>
      </c>
      <c r="R864" t="inlineStr">
        <is>
          <t>bebidas</t>
        </is>
      </c>
      <c r="S864" t="inlineStr">
        <is>
          <t>Bebidas Izalco</t>
        </is>
      </c>
      <c r="T864" t="inlineStr">
        <is>
          <t>2450-7700</t>
        </is>
      </c>
      <c r="U864" t="inlineStr">
        <is>
          <t>1,95</t>
        </is>
      </c>
      <c r="V864" t="n">
        <v>2</v>
      </c>
      <c r="W864" t="n">
        <v>0</v>
      </c>
      <c r="X864">
        <f>IFERROR(U864*V864*(1-W864/100),"")</f>
        <v/>
      </c>
      <c r="Y864">
        <f>IFERROR(ROUND(X864*0.13,2),"")</f>
        <v/>
      </c>
      <c r="Z864">
        <f>IFERROR(X864+Y864,"")</f>
        <v/>
      </c>
      <c r="AA864" t="inlineStr">
        <is>
          <t>efectivo</t>
        </is>
      </c>
      <c r="AB864" t="inlineStr"/>
    </row>
    <row r="865">
      <c r="A865" t="inlineStr">
        <is>
          <t>F-11142</t>
        </is>
      </c>
      <c r="B865" s="3" t="n">
        <v>46286</v>
      </c>
      <c r="C865" t="inlineStr">
        <is>
          <t>factura</t>
        </is>
      </c>
      <c r="D865" t="inlineStr">
        <is>
          <t>SM01</t>
        </is>
      </c>
      <c r="E865" t="inlineStr">
        <is>
          <t>SAN MIGUEL</t>
        </is>
      </c>
      <c r="F865" t="inlineStr">
        <is>
          <t>Av. Roosevelt Sur #7</t>
        </is>
      </c>
      <c r="G865" t="inlineStr">
        <is>
          <t>San Miguel</t>
        </is>
      </c>
      <c r="H865" t="inlineStr">
        <is>
          <t>San Miguel</t>
        </is>
      </c>
      <c r="I865" t="inlineStr">
        <is>
          <t>Iris Portillo</t>
        </is>
      </c>
      <c r="J865" t="inlineStr">
        <is>
          <t>2661-5076</t>
        </is>
      </c>
      <c r="K865" t="inlineStr">
        <is>
          <t>Paola Cruz</t>
        </is>
      </c>
      <c r="L865" t="inlineStr">
        <is>
          <t>Edwin Castillo Romero</t>
        </is>
      </c>
      <c r="M865" t="inlineStr">
        <is>
          <t>07552102-5</t>
        </is>
      </c>
      <c r="N865" t="inlineStr">
        <is>
          <t>2609-8644</t>
        </is>
      </c>
      <c r="O865" t="inlineStr">
        <is>
          <t>Consumidor final</t>
        </is>
      </c>
      <c r="P865" t="inlineStr">
        <is>
          <t>CAF-002</t>
        </is>
      </c>
      <c r="Q865" t="inlineStr">
        <is>
          <t>Café en grano 1lb</t>
        </is>
      </c>
      <c r="R865" t="inlineStr">
        <is>
          <t>Abarrotes</t>
        </is>
      </c>
      <c r="S865" t="inlineStr">
        <is>
          <t>Café Volcán S.A.</t>
        </is>
      </c>
      <c r="T865" t="inlineStr">
        <is>
          <t>2510-3344</t>
        </is>
      </c>
      <c r="U865" t="n">
        <v>6.75</v>
      </c>
      <c r="V865" t="n">
        <v>1</v>
      </c>
      <c r="W865" t="n">
        <v>0</v>
      </c>
      <c r="X865">
        <f>IFERROR(U865*V865*(1-W865/100),"")</f>
        <v/>
      </c>
      <c r="Y865">
        <f>IFERROR(ROUND(X865*0.13,2),"")</f>
        <v/>
      </c>
      <c r="Z865">
        <f>IFERROR(X865+Y865,"")</f>
        <v/>
      </c>
      <c r="AA865" t="inlineStr">
        <is>
          <t>efectivo</t>
        </is>
      </c>
      <c r="AB865" t="inlineStr">
        <is>
          <t>Cliente frecuente</t>
        </is>
      </c>
    </row>
    <row r="866">
      <c r="A866" t="inlineStr">
        <is>
          <t>F-11142</t>
        </is>
      </c>
      <c r="B866" t="inlineStr">
        <is>
          <t>2026-09-21</t>
        </is>
      </c>
      <c r="C866" t="inlineStr">
        <is>
          <t>factura</t>
        </is>
      </c>
      <c r="D866" t="inlineStr">
        <is>
          <t>SM01</t>
        </is>
      </c>
      <c r="E866" t="inlineStr">
        <is>
          <t>SAN MIGUEL</t>
        </is>
      </c>
      <c r="F866" t="inlineStr">
        <is>
          <t>Av. Roosevelt Sur #7</t>
        </is>
      </c>
      <c r="G866" t="inlineStr">
        <is>
          <t>San Miguel</t>
        </is>
      </c>
      <c r="H866" t="inlineStr">
        <is>
          <t>San Miguel</t>
        </is>
      </c>
      <c r="I866" t="inlineStr">
        <is>
          <t>Iris Portillo</t>
        </is>
      </c>
      <c r="J866" t="inlineStr">
        <is>
          <t>2661-5076</t>
        </is>
      </c>
      <c r="K866" t="inlineStr">
        <is>
          <t>Paola Cruz</t>
        </is>
      </c>
      <c r="L866" t="inlineStr">
        <is>
          <t>Edwin Castillo Romero</t>
        </is>
      </c>
      <c r="M866" t="inlineStr">
        <is>
          <t>07552102-5</t>
        </is>
      </c>
      <c r="N866" t="inlineStr">
        <is>
          <t>2609-8644</t>
        </is>
      </c>
      <c r="O866" t="inlineStr">
        <is>
          <t>Consumidor final</t>
        </is>
      </c>
      <c r="P866" t="inlineStr">
        <is>
          <t>PAN-001</t>
        </is>
      </c>
      <c r="Q866" t="inlineStr">
        <is>
          <t>Pan francés bolsa 10u</t>
        </is>
      </c>
      <c r="R866" t="inlineStr">
        <is>
          <t>Panadería</t>
        </is>
      </c>
      <c r="S866" t="inlineStr">
        <is>
          <t>Panificadora Ilopango</t>
        </is>
      </c>
      <c r="T866" t="inlineStr">
        <is>
          <t>2295-0081</t>
        </is>
      </c>
      <c r="U866" t="n">
        <v>1</v>
      </c>
      <c r="V866" t="n">
        <v>1</v>
      </c>
      <c r="W866" t="n">
        <v>0</v>
      </c>
      <c r="X866">
        <f>IFERROR(U866*V866*(1-W866/100),"")</f>
        <v/>
      </c>
      <c r="Y866">
        <f>IFERROR(ROUND(X866*0.13,2),"")</f>
        <v/>
      </c>
      <c r="Z866">
        <f>IFERROR(X866+Y866,"")</f>
        <v/>
      </c>
      <c r="AA866" t="inlineStr">
        <is>
          <t>efectivo</t>
        </is>
      </c>
      <c r="AB866" t="inlineStr">
        <is>
          <t>Llamar al 7788-1234 antes de entregar</t>
        </is>
      </c>
    </row>
    <row r="867">
      <c r="A867" t="inlineStr">
        <is>
          <t>F-11142</t>
        </is>
      </c>
      <c r="B867" s="3" t="n">
        <v>46286</v>
      </c>
      <c r="C867" t="inlineStr">
        <is>
          <t>factura</t>
        </is>
      </c>
      <c r="D867" t="inlineStr">
        <is>
          <t>SM01</t>
        </is>
      </c>
      <c r="E867" t="inlineStr">
        <is>
          <t>S. Miguel</t>
        </is>
      </c>
      <c r="F867" t="inlineStr">
        <is>
          <t>Av. Roosevelt Sur #7</t>
        </is>
      </c>
      <c r="G867" t="inlineStr">
        <is>
          <t>San Miguel</t>
        </is>
      </c>
      <c r="H867" t="inlineStr">
        <is>
          <t>San Miguel</t>
        </is>
      </c>
      <c r="I867" t="inlineStr">
        <is>
          <t>Iris Portillo</t>
        </is>
      </c>
      <c r="J867" t="inlineStr">
        <is>
          <t>2661-5076</t>
        </is>
      </c>
      <c r="K867" t="inlineStr">
        <is>
          <t>Paola Cruz</t>
        </is>
      </c>
      <c r="L867" t="inlineStr">
        <is>
          <t>Edwin Castillo Romero</t>
        </is>
      </c>
      <c r="M867" t="inlineStr"/>
      <c r="N867" t="inlineStr">
        <is>
          <t>2609-8644</t>
        </is>
      </c>
      <c r="O867" t="inlineStr">
        <is>
          <t>Consumidor final</t>
        </is>
      </c>
      <c r="P867" t="inlineStr">
        <is>
          <t>HIG-001</t>
        </is>
      </c>
      <c r="Q867" t="inlineStr">
        <is>
          <t>Detergente 1kg</t>
        </is>
      </c>
      <c r="R867" t="inlineStr">
        <is>
          <t>Limpieza</t>
        </is>
      </c>
      <c r="S867" t="inlineStr">
        <is>
          <t>Higiene Total C.A.</t>
        </is>
      </c>
      <c r="T867" t="inlineStr">
        <is>
          <t>2207-5566</t>
        </is>
      </c>
      <c r="U867" t="n">
        <v>3.45</v>
      </c>
      <c r="V867" t="n">
        <v>12</v>
      </c>
      <c r="W867" t="n">
        <v>0</v>
      </c>
      <c r="X867">
        <f>IFERROR(U867*V867*(1-W867/100),"")</f>
        <v/>
      </c>
      <c r="Y867">
        <f>IFERROR(ROUND(X867*0.13,2),"")</f>
        <v/>
      </c>
      <c r="Z867">
        <f>IFERROR(X867+Y867,"")</f>
        <v/>
      </c>
      <c r="AA867" t="inlineStr">
        <is>
          <t>efectivo</t>
        </is>
      </c>
      <c r="AB867" t="inlineStr">
        <is>
          <t>pagó con billete de $100</t>
        </is>
      </c>
    </row>
    <row r="868">
      <c r="A868" t="inlineStr">
        <is>
          <t>F-11144</t>
        </is>
      </c>
      <c r="B868" s="3" t="n">
        <v>46213</v>
      </c>
      <c r="C868" t="inlineStr">
        <is>
          <t>Factura</t>
        </is>
      </c>
      <c r="D868" t="inlineStr">
        <is>
          <t>SS02</t>
        </is>
      </c>
      <c r="E868" t="inlineStr">
        <is>
          <t>Escalón</t>
        </is>
      </c>
      <c r="F868" t="inlineStr">
        <is>
          <t>Paseo General Escalón #3910</t>
        </is>
      </c>
      <c r="G868" t="inlineStr">
        <is>
          <t>San Salvador</t>
        </is>
      </c>
      <c r="H868" t="inlineStr">
        <is>
          <t>San Salvador</t>
        </is>
      </c>
      <c r="I868" t="inlineStr">
        <is>
          <t>Claudia Menjívar</t>
        </is>
      </c>
      <c r="J868" t="inlineStr">
        <is>
          <t>2264-1190</t>
        </is>
      </c>
      <c r="K868" t="inlineStr">
        <is>
          <t>Fátima Rosales</t>
        </is>
      </c>
      <c r="L868" t="inlineStr">
        <is>
          <t>Sandra Sorto López</t>
        </is>
      </c>
      <c r="M868" t="inlineStr">
        <is>
          <t>00961529-1</t>
        </is>
      </c>
      <c r="N868" t="inlineStr">
        <is>
          <t>2123-6077</t>
        </is>
      </c>
      <c r="O868" t="inlineStr">
        <is>
          <t>Consumidor final</t>
        </is>
      </c>
      <c r="P868" t="inlineStr">
        <is>
          <t>LAC-003</t>
        </is>
      </c>
      <c r="Q868" t="inlineStr">
        <is>
          <t>Leche entera 1L</t>
        </is>
      </c>
      <c r="R868" t="inlineStr">
        <is>
          <t>Lácteos</t>
        </is>
      </c>
      <c r="S868" t="inlineStr">
        <is>
          <t>Lácteos Chalate</t>
        </is>
      </c>
      <c r="T868" t="inlineStr">
        <is>
          <t>2335-1020</t>
        </is>
      </c>
      <c r="U868" t="n">
        <v>1.2</v>
      </c>
      <c r="V868" t="n">
        <v>2</v>
      </c>
      <c r="W868" t="n">
        <v>0</v>
      </c>
      <c r="X868">
        <f>IFERROR(U868*V868*(1-W868/100),"")</f>
        <v/>
      </c>
      <c r="Y868">
        <f>IFERROR(ROUND(X868*0.13,2),"")</f>
        <v/>
      </c>
      <c r="Z868">
        <f>IFERROR(X868+Y868,"")</f>
        <v/>
      </c>
      <c r="AA868" t="inlineStr">
        <is>
          <t>Tarjeta</t>
        </is>
      </c>
      <c r="AB868" t="inlineStr"/>
    </row>
    <row r="869">
      <c r="A869" t="inlineStr">
        <is>
          <t>F-11144</t>
        </is>
      </c>
      <c r="B869" s="3" t="n">
        <v>46213</v>
      </c>
      <c r="C869" t="inlineStr">
        <is>
          <t>Factura</t>
        </is>
      </c>
      <c r="D869" t="inlineStr">
        <is>
          <t>SS02</t>
        </is>
      </c>
      <c r="E869" t="inlineStr">
        <is>
          <t>ESCALON</t>
        </is>
      </c>
      <c r="F869" t="inlineStr">
        <is>
          <t>Paseo General Escalón #3910</t>
        </is>
      </c>
      <c r="G869" t="inlineStr">
        <is>
          <t>San Salvador</t>
        </is>
      </c>
      <c r="H869" t="inlineStr">
        <is>
          <t>San Salvador</t>
        </is>
      </c>
      <c r="I869" t="inlineStr">
        <is>
          <t>Claudia Menjívar</t>
        </is>
      </c>
      <c r="J869" t="inlineStr">
        <is>
          <t>2264-1190</t>
        </is>
      </c>
      <c r="K869" t="inlineStr">
        <is>
          <t>Fátima Rosales</t>
        </is>
      </c>
      <c r="L869" t="inlineStr">
        <is>
          <t>Sandra Sorto López</t>
        </is>
      </c>
      <c r="M869" t="inlineStr">
        <is>
          <t>00961529-1</t>
        </is>
      </c>
      <c r="N869" t="inlineStr">
        <is>
          <t>2123-6077</t>
        </is>
      </c>
      <c r="O869" t="inlineStr">
        <is>
          <t>Consumidor final</t>
        </is>
      </c>
      <c r="P869" t="inlineStr">
        <is>
          <t>ARR-001</t>
        </is>
      </c>
      <c r="Q869" t="inlineStr">
        <is>
          <t>Arroz blanco 5lb</t>
        </is>
      </c>
      <c r="R869" t="inlineStr">
        <is>
          <t>Abarrotes</t>
        </is>
      </c>
      <c r="S869" t="inlineStr">
        <is>
          <t>Granos del Pacífico</t>
        </is>
      </c>
      <c r="T869" t="inlineStr">
        <is>
          <t>2234-8890</t>
        </is>
      </c>
      <c r="U869" t="n">
        <v>3.95</v>
      </c>
      <c r="V869" t="n">
        <v>24</v>
      </c>
      <c r="W869" t="n">
        <v>0</v>
      </c>
      <c r="X869">
        <f>IFERROR(U869*V869*(1-W869/100),"")</f>
        <v/>
      </c>
      <c r="Y869">
        <f>IFERROR(ROUND(X869*0.13,2),"")</f>
        <v/>
      </c>
      <c r="Z869">
        <f>IFERROR(X869+Y869,"")</f>
        <v/>
      </c>
      <c r="AA869" t="inlineStr">
        <is>
          <t>Tarjeta</t>
        </is>
      </c>
      <c r="AB869" t="inlineStr">
        <is>
          <t>Cliente frecuente</t>
        </is>
      </c>
    </row>
    <row r="870">
      <c r="A870" t="inlineStr">
        <is>
          <t>F-11144</t>
        </is>
      </c>
      <c r="B870" t="inlineStr">
        <is>
          <t>10/07/2026</t>
        </is>
      </c>
      <c r="C870" t="inlineStr">
        <is>
          <t>Factura</t>
        </is>
      </c>
      <c r="D870" t="inlineStr">
        <is>
          <t>SS02</t>
        </is>
      </c>
      <c r="E870" t="inlineStr">
        <is>
          <t>Escalon</t>
        </is>
      </c>
      <c r="F870" t="inlineStr">
        <is>
          <t>Paseo General Escalón #3910</t>
        </is>
      </c>
      <c r="G870" t="inlineStr">
        <is>
          <t>San Salvador</t>
        </is>
      </c>
      <c r="H870" t="inlineStr">
        <is>
          <t>San Salvador</t>
        </is>
      </c>
      <c r="I870" t="inlineStr">
        <is>
          <t>Claudia Menjívar</t>
        </is>
      </c>
      <c r="J870" t="inlineStr">
        <is>
          <t>2264-1190</t>
        </is>
      </c>
      <c r="K870" t="inlineStr">
        <is>
          <t>Fátima Rosales</t>
        </is>
      </c>
      <c r="L870" t="inlineStr">
        <is>
          <t>Sandra Sorto López</t>
        </is>
      </c>
      <c r="M870" t="inlineStr"/>
      <c r="N870" t="inlineStr">
        <is>
          <t>2123-6077</t>
        </is>
      </c>
      <c r="O870" t="inlineStr">
        <is>
          <t>Consumidor final</t>
        </is>
      </c>
      <c r="P870" t="inlineStr">
        <is>
          <t>HIG-001</t>
        </is>
      </c>
      <c r="Q870" t="inlineStr">
        <is>
          <t>Detergente 1kg</t>
        </is>
      </c>
      <c r="R870" t="inlineStr">
        <is>
          <t>Higiene</t>
        </is>
      </c>
      <c r="S870" t="inlineStr">
        <is>
          <t>Higiene Total C.A.</t>
        </is>
      </c>
      <c r="T870" t="inlineStr">
        <is>
          <t>2207-5566</t>
        </is>
      </c>
      <c r="U870" t="n">
        <v>3.45</v>
      </c>
      <c r="V870" t="n">
        <v>2</v>
      </c>
      <c r="W870" t="n">
        <v>0</v>
      </c>
      <c r="X870">
        <f>IFERROR(U870*V870*(1-W870/100),"")</f>
        <v/>
      </c>
      <c r="Y870">
        <f>IFERROR(ROUND(X870*0.13,2),"")</f>
        <v/>
      </c>
      <c r="Z870">
        <f>IFERROR(X870+Y870,"")</f>
        <v/>
      </c>
      <c r="AA870" t="inlineStr">
        <is>
          <t>Tarjeta</t>
        </is>
      </c>
      <c r="AB870" t="inlineStr"/>
    </row>
    <row r="871">
      <c r="A871" t="inlineStr">
        <is>
          <t>F-11144</t>
        </is>
      </c>
      <c r="B871" s="3" t="n">
        <v>46213</v>
      </c>
      <c r="C871" t="inlineStr">
        <is>
          <t>Factura</t>
        </is>
      </c>
      <c r="D871" t="inlineStr">
        <is>
          <t>SS02</t>
        </is>
      </c>
      <c r="E871" t="inlineStr">
        <is>
          <t>ESCALON</t>
        </is>
      </c>
      <c r="F871" t="inlineStr">
        <is>
          <t>Paseo General Escalón #3910</t>
        </is>
      </c>
      <c r="G871" t="inlineStr">
        <is>
          <t>San Salvador</t>
        </is>
      </c>
      <c r="H871" t="inlineStr">
        <is>
          <t>San Salvador</t>
        </is>
      </c>
      <c r="I871" t="inlineStr">
        <is>
          <t>Claudia Menjívar</t>
        </is>
      </c>
      <c r="J871" t="inlineStr">
        <is>
          <t>2264-1190</t>
        </is>
      </c>
      <c r="K871" t="inlineStr">
        <is>
          <t>Fátima Rosales</t>
        </is>
      </c>
      <c r="L871" t="inlineStr">
        <is>
          <t>Sandra Sorto López</t>
        </is>
      </c>
      <c r="M871" t="inlineStr">
        <is>
          <t>00961529-1</t>
        </is>
      </c>
      <c r="N871" t="inlineStr">
        <is>
          <t>2123-6077</t>
        </is>
      </c>
      <c r="O871" t="inlineStr">
        <is>
          <t>Consumidor final</t>
        </is>
      </c>
      <c r="P871" t="inlineStr">
        <is>
          <t>HAR-001</t>
        </is>
      </c>
      <c r="Q871" t="inlineStr">
        <is>
          <t>Harina de maíz 2lb</t>
        </is>
      </c>
      <c r="R871" t="inlineStr">
        <is>
          <t>Abarrotes</t>
        </is>
      </c>
      <c r="S871" t="inlineStr">
        <is>
          <t>Granos del Pacífico</t>
        </is>
      </c>
      <c r="T871" t="inlineStr">
        <is>
          <t>2234-8890</t>
        </is>
      </c>
      <c r="U871" t="inlineStr">
        <is>
          <t>1,35</t>
        </is>
      </c>
      <c r="V871" t="n">
        <v>4</v>
      </c>
      <c r="W871" t="n">
        <v>0</v>
      </c>
      <c r="X871">
        <f>IFERROR(U871*V871*(1-W871/100),"")</f>
        <v/>
      </c>
      <c r="Y871">
        <f>IFERROR(ROUND(X871*0.13,2),"")</f>
        <v/>
      </c>
      <c r="Z871">
        <f>IFERROR(X871+Y871,"")</f>
        <v/>
      </c>
      <c r="AA871" t="inlineStr">
        <is>
          <t>Tarjeta</t>
        </is>
      </c>
      <c r="AB871" t="inlineStr"/>
    </row>
    <row r="872">
      <c r="A872" t="inlineStr">
        <is>
          <t>F-11146</t>
        </is>
      </c>
      <c r="B872" s="3" t="n">
        <v>46267</v>
      </c>
      <c r="C872" t="inlineStr">
        <is>
          <t>Factura</t>
        </is>
      </c>
      <c r="D872" t="inlineStr">
        <is>
          <t>SS01</t>
        </is>
      </c>
      <c r="E872" t="inlineStr">
        <is>
          <t>S.S. Centro</t>
        </is>
      </c>
      <c r="F872" t="inlineStr">
        <is>
          <t>4a Calle Poniente #215</t>
        </is>
      </c>
      <c r="G872" t="inlineStr">
        <is>
          <t>San Salvador</t>
        </is>
      </c>
      <c r="H872" t="inlineStr">
        <is>
          <t>San Salvador</t>
        </is>
      </c>
      <c r="I872" t="inlineStr">
        <is>
          <t>Roberto Alfaro</t>
        </is>
      </c>
      <c r="J872" t="inlineStr">
        <is>
          <t>2221-4580</t>
        </is>
      </c>
      <c r="K872" t="inlineStr">
        <is>
          <t>Daniela Orellana</t>
        </is>
      </c>
      <c r="L872" t="inlineStr">
        <is>
          <t>Mario Sorto Castillo</t>
        </is>
      </c>
      <c r="M872" t="inlineStr">
        <is>
          <t>09824839-0</t>
        </is>
      </c>
      <c r="N872" t="inlineStr">
        <is>
          <t>7450-4234</t>
        </is>
      </c>
      <c r="O872" t="inlineStr">
        <is>
          <t>Consumidor final</t>
        </is>
      </c>
      <c r="P872" t="inlineStr">
        <is>
          <t>PAN-001</t>
        </is>
      </c>
      <c r="Q872" t="inlineStr">
        <is>
          <t>Pan francés bolsa 10u</t>
        </is>
      </c>
      <c r="R872" t="inlineStr">
        <is>
          <t>Panaderia</t>
        </is>
      </c>
      <c r="S872" t="inlineStr">
        <is>
          <t>Panificadora Ilopango</t>
        </is>
      </c>
      <c r="T872" t="inlineStr">
        <is>
          <t>2295-0081</t>
        </is>
      </c>
      <c r="U872" t="n">
        <v>1</v>
      </c>
      <c r="V872" t="n">
        <v>1</v>
      </c>
      <c r="W872" t="n">
        <v>0</v>
      </c>
      <c r="X872">
        <f>IFERROR(U872*V872*(1-W872/100),"")</f>
        <v/>
      </c>
      <c r="Y872">
        <f>IFERROR(ROUND(X872*0.13,2),"")</f>
        <v/>
      </c>
      <c r="Z872">
        <f>IFERROR(X872+Y872,"")</f>
        <v/>
      </c>
      <c r="AA872" t="inlineStr">
        <is>
          <t>Efectivo</t>
        </is>
      </c>
      <c r="AB872" t="inlineStr">
        <is>
          <t>precio especial autorizado por gerente</t>
        </is>
      </c>
    </row>
    <row r="873">
      <c r="A873" t="inlineStr">
        <is>
          <t>F-11146</t>
        </is>
      </c>
      <c r="B873" t="inlineStr">
        <is>
          <t>2026-09-02</t>
        </is>
      </c>
      <c r="C873" t="inlineStr">
        <is>
          <t>Factura</t>
        </is>
      </c>
      <c r="D873" t="inlineStr">
        <is>
          <t>SS01</t>
        </is>
      </c>
      <c r="E873" t="inlineStr">
        <is>
          <t>S.S. Centro</t>
        </is>
      </c>
      <c r="F873" t="inlineStr">
        <is>
          <t>4a Calle Poniente #215</t>
        </is>
      </c>
      <c r="G873" t="inlineStr">
        <is>
          <t>San Salvador</t>
        </is>
      </c>
      <c r="H873" t="inlineStr">
        <is>
          <t>San Salvador</t>
        </is>
      </c>
      <c r="I873" t="inlineStr">
        <is>
          <t>Roberto Alfaro</t>
        </is>
      </c>
      <c r="J873" t="inlineStr">
        <is>
          <t>2221-4580</t>
        </is>
      </c>
      <c r="K873" t="inlineStr">
        <is>
          <t>Daniela Orellana</t>
        </is>
      </c>
      <c r="L873" t="inlineStr">
        <is>
          <t>Mario Sorto Castillo</t>
        </is>
      </c>
      <c r="M873" t="inlineStr">
        <is>
          <t>09824839-0</t>
        </is>
      </c>
      <c r="N873" t="inlineStr">
        <is>
          <t>7450-4234</t>
        </is>
      </c>
      <c r="O873" t="inlineStr">
        <is>
          <t>Consumidor final</t>
        </is>
      </c>
      <c r="P873" t="inlineStr">
        <is>
          <t>HIG-003</t>
        </is>
      </c>
      <c r="Q873" t="inlineStr">
        <is>
          <t>Jabón de lavar barra</t>
        </is>
      </c>
      <c r="R873" t="inlineStr">
        <is>
          <t>Limpieza</t>
        </is>
      </c>
      <c r="S873" t="inlineStr">
        <is>
          <t>Higiene Total C.A.</t>
        </is>
      </c>
      <c r="T873" t="inlineStr">
        <is>
          <t>2207-5566</t>
        </is>
      </c>
      <c r="U873" t="n">
        <v>0.75</v>
      </c>
      <c r="V873" t="n">
        <v>12</v>
      </c>
      <c r="W873" t="n">
        <v>0</v>
      </c>
      <c r="X873">
        <f>IFERROR(U873*V873*(1-W873/100),"")</f>
        <v/>
      </c>
      <c r="Y873">
        <f>IFERROR(ROUND(X873*0.13,2),"")</f>
        <v/>
      </c>
      <c r="Z873">
        <f>IFERROR(X873+Y873,"")</f>
        <v/>
      </c>
      <c r="AA873" t="inlineStr">
        <is>
          <t>Efectivo</t>
        </is>
      </c>
      <c r="AB873" t="inlineStr">
        <is>
          <t>pagó con billete de $100</t>
        </is>
      </c>
    </row>
    <row r="874">
      <c r="A874" t="inlineStr">
        <is>
          <t>F-11146</t>
        </is>
      </c>
      <c r="B874" t="inlineStr">
        <is>
          <t>02-Sep-26</t>
        </is>
      </c>
      <c r="C874" t="inlineStr">
        <is>
          <t>Factura</t>
        </is>
      </c>
      <c r="D874" t="inlineStr">
        <is>
          <t>SS01</t>
        </is>
      </c>
      <c r="E874" t="inlineStr">
        <is>
          <t>San Salvador Centro</t>
        </is>
      </c>
      <c r="F874" t="inlineStr">
        <is>
          <t>4a Calle Poniente #215</t>
        </is>
      </c>
      <c r="G874" t="inlineStr">
        <is>
          <t>San Salvador</t>
        </is>
      </c>
      <c r="H874" t="inlineStr">
        <is>
          <t>San Salvador</t>
        </is>
      </c>
      <c r="I874" t="inlineStr">
        <is>
          <t>Roberto Alfaro</t>
        </is>
      </c>
      <c r="J874" t="inlineStr">
        <is>
          <t>2221-4580</t>
        </is>
      </c>
      <c r="K874" t="inlineStr">
        <is>
          <t>Daniela Orellana</t>
        </is>
      </c>
      <c r="L874" t="inlineStr">
        <is>
          <t>Mario Sorto Castillo</t>
        </is>
      </c>
      <c r="M874" t="inlineStr">
        <is>
          <t>09824839-0</t>
        </is>
      </c>
      <c r="N874" t="inlineStr">
        <is>
          <t>7450-4234</t>
        </is>
      </c>
      <c r="O874" t="inlineStr">
        <is>
          <t>Consumidor final</t>
        </is>
      </c>
      <c r="P874" t="inlineStr">
        <is>
          <t>HIG-001</t>
        </is>
      </c>
      <c r="Q874" t="inlineStr">
        <is>
          <t>Detergente 1kg</t>
        </is>
      </c>
      <c r="R874" t="inlineStr">
        <is>
          <t>limpieza</t>
        </is>
      </c>
      <c r="S874" t="inlineStr">
        <is>
          <t>Higiene Total C.A.</t>
        </is>
      </c>
      <c r="T874" t="inlineStr">
        <is>
          <t>2207-5566</t>
        </is>
      </c>
      <c r="U874" t="n">
        <v>3.45</v>
      </c>
      <c r="V874" t="n">
        <v>4</v>
      </c>
      <c r="W874" t="n">
        <v>0</v>
      </c>
      <c r="X874">
        <f>IFERROR(U874*V874*(1-W874/100),"")</f>
        <v/>
      </c>
      <c r="Y874">
        <f>IFERROR(ROUND(X874*0.13,2),"")</f>
        <v/>
      </c>
      <c r="Z874">
        <f>IFERROR(X874+Y874,"")</f>
        <v/>
      </c>
      <c r="AA874" t="inlineStr">
        <is>
          <t>Efectivo</t>
        </is>
      </c>
      <c r="AB874" t="inlineStr">
        <is>
          <t>precio especial autorizado por gerente</t>
        </is>
      </c>
    </row>
    <row r="875">
      <c r="A875" t="inlineStr">
        <is>
          <t>F-11146</t>
        </is>
      </c>
      <c r="B875" s="3" t="n">
        <v>46267</v>
      </c>
      <c r="C875" t="inlineStr">
        <is>
          <t>Factura</t>
        </is>
      </c>
      <c r="D875" t="inlineStr">
        <is>
          <t>SS01</t>
        </is>
      </c>
      <c r="E875" t="inlineStr">
        <is>
          <t>San Salvador Centro</t>
        </is>
      </c>
      <c r="F875" t="inlineStr">
        <is>
          <t>4a Calle Poniente #215</t>
        </is>
      </c>
      <c r="G875" t="inlineStr">
        <is>
          <t>San Salvador</t>
        </is>
      </c>
      <c r="H875" t="inlineStr">
        <is>
          <t>San Salvador</t>
        </is>
      </c>
      <c r="I875" t="inlineStr">
        <is>
          <t>Roberto Alfaro</t>
        </is>
      </c>
      <c r="J875" t="inlineStr">
        <is>
          <t>2221-4580</t>
        </is>
      </c>
      <c r="K875" t="inlineStr">
        <is>
          <t>Daniela Orellana</t>
        </is>
      </c>
      <c r="L875" t="inlineStr">
        <is>
          <t>Mario Sorto Castillo</t>
        </is>
      </c>
      <c r="M875" t="inlineStr">
        <is>
          <t>09824839-0</t>
        </is>
      </c>
      <c r="N875" t="inlineStr">
        <is>
          <t>7450-4234</t>
        </is>
      </c>
      <c r="O875" t="inlineStr">
        <is>
          <t>Consumidor final</t>
        </is>
      </c>
      <c r="P875" t="inlineStr">
        <is>
          <t>PAN-003</t>
        </is>
      </c>
      <c r="Q875" t="inlineStr">
        <is>
          <t>Quesadilla salvadoreña</t>
        </is>
      </c>
      <c r="R875" t="inlineStr">
        <is>
          <t>Panadería</t>
        </is>
      </c>
      <c r="S875" t="inlineStr">
        <is>
          <t>Panificadora Ilopango</t>
        </is>
      </c>
      <c r="T875" t="inlineStr">
        <is>
          <t>2295-0081</t>
        </is>
      </c>
      <c r="U875" t="inlineStr">
        <is>
          <t>$2.50</t>
        </is>
      </c>
      <c r="V875" t="n">
        <v>12</v>
      </c>
      <c r="W875" t="n">
        <v>0</v>
      </c>
      <c r="X875">
        <f>IFERROR(U875*V875*(1-W875/100),"")</f>
        <v/>
      </c>
      <c r="Y875">
        <f>IFERROR(ROUND(X875*0.13,2),"")</f>
        <v/>
      </c>
      <c r="Z875">
        <f>IFERROR(X875+Y875,"")</f>
        <v/>
      </c>
      <c r="AA875" t="inlineStr">
        <is>
          <t>Efectivo</t>
        </is>
      </c>
      <c r="AB875" t="inlineStr"/>
    </row>
    <row r="876">
      <c r="A876" t="inlineStr">
        <is>
          <t>F-11147</t>
        </is>
      </c>
      <c r="B876" s="3" t="n">
        <v>46239</v>
      </c>
      <c r="C876" t="inlineStr">
        <is>
          <t>FCF</t>
        </is>
      </c>
      <c r="D876" t="inlineStr">
        <is>
          <t>LL02</t>
        </is>
      </c>
      <c r="E876" t="inlineStr">
        <is>
          <t>Pto. La Libertad</t>
        </is>
      </c>
      <c r="F876" t="inlineStr">
        <is>
          <t>Calle El Malecón, Local 4</t>
        </is>
      </c>
      <c r="G876" t="inlineStr">
        <is>
          <t>La Libertad</t>
        </is>
      </c>
      <c r="H876" t="inlineStr">
        <is>
          <t>La Libertad</t>
        </is>
      </c>
      <c r="I876" t="inlineStr">
        <is>
          <t>Wendy Aguilar</t>
        </is>
      </c>
      <c r="J876" t="inlineStr">
        <is>
          <t>2335-6140</t>
        </is>
      </c>
      <c r="K876" t="inlineStr">
        <is>
          <t>Gabriela Saravia</t>
        </is>
      </c>
      <c r="L876" t="inlineStr">
        <is>
          <t>Brenda Castillo Sorto</t>
        </is>
      </c>
      <c r="M876" t="inlineStr">
        <is>
          <t>09144591-2</t>
        </is>
      </c>
      <c r="N876" t="inlineStr">
        <is>
          <t>2460-3568</t>
        </is>
      </c>
      <c r="O876" t="inlineStr">
        <is>
          <t>Consumidor final</t>
        </is>
      </c>
      <c r="P876" t="inlineStr">
        <is>
          <t>LAC-002</t>
        </is>
      </c>
      <c r="Q876" t="inlineStr">
        <is>
          <t>Crema 500ml</t>
        </is>
      </c>
      <c r="R876" t="inlineStr">
        <is>
          <t>Lacteos</t>
        </is>
      </c>
      <c r="S876" t="inlineStr">
        <is>
          <t>Lácteos Chalate</t>
        </is>
      </c>
      <c r="T876" t="inlineStr">
        <is>
          <t>2335-1020</t>
        </is>
      </c>
      <c r="U876" t="n">
        <v>2.25</v>
      </c>
      <c r="V876" t="n">
        <v>2</v>
      </c>
      <c r="W876" t="n">
        <v>0</v>
      </c>
      <c r="X876">
        <f>IFERROR(U876*V876*(1-W876/100),"")</f>
        <v/>
      </c>
      <c r="Y876">
        <f>IFERROR(ROUND(X876*0.13,2),"")</f>
        <v/>
      </c>
      <c r="Z876">
        <f>IFERROR(X876+Y876,"")</f>
        <v/>
      </c>
      <c r="AA876" t="inlineStr">
        <is>
          <t>Efectivo</t>
        </is>
      </c>
      <c r="AB876" t="inlineStr">
        <is>
          <t>Cliente frecuente</t>
        </is>
      </c>
    </row>
    <row r="877">
      <c r="A877" t="inlineStr">
        <is>
          <t>F-11147</t>
        </is>
      </c>
      <c r="B877" s="3" t="n">
        <v>46239</v>
      </c>
      <c r="C877" t="inlineStr">
        <is>
          <t>FCF</t>
        </is>
      </c>
      <c r="D877" t="inlineStr">
        <is>
          <t>LL02</t>
        </is>
      </c>
      <c r="E877" t="inlineStr">
        <is>
          <t>Pto. La Libertad</t>
        </is>
      </c>
      <c r="F877" t="inlineStr">
        <is>
          <t>Calle El Malecón, Local 4</t>
        </is>
      </c>
      <c r="G877" t="inlineStr">
        <is>
          <t>La Libertad</t>
        </is>
      </c>
      <c r="H877" t="inlineStr">
        <is>
          <t>La Libertad</t>
        </is>
      </c>
      <c r="I877" t="inlineStr">
        <is>
          <t>Wendy Aguilar</t>
        </is>
      </c>
      <c r="J877" t="inlineStr">
        <is>
          <t>2335-6140</t>
        </is>
      </c>
      <c r="K877" t="inlineStr">
        <is>
          <t>Gabriela Saravia</t>
        </is>
      </c>
      <c r="L877" t="inlineStr">
        <is>
          <t>Brenda Castillo Sorto</t>
        </is>
      </c>
      <c r="M877" t="inlineStr"/>
      <c r="N877" t="inlineStr">
        <is>
          <t>2460-3568</t>
        </is>
      </c>
      <c r="O877" t="inlineStr">
        <is>
          <t>Consumidor final</t>
        </is>
      </c>
      <c r="P877" t="inlineStr">
        <is>
          <t>BEB-003</t>
        </is>
      </c>
      <c r="Q877" t="inlineStr">
        <is>
          <t>Horchata en polvo 400g</t>
        </is>
      </c>
      <c r="R877" t="inlineStr">
        <is>
          <t>Bebidas</t>
        </is>
      </c>
      <c r="S877" t="inlineStr">
        <is>
          <t>Bebidas Izalco</t>
        </is>
      </c>
      <c r="T877" t="inlineStr">
        <is>
          <t>2450-7700</t>
        </is>
      </c>
      <c r="U877" t="n">
        <v>2.6</v>
      </c>
      <c r="V877" t="n">
        <v>12</v>
      </c>
      <c r="W877" t="n">
        <v>0</v>
      </c>
      <c r="X877">
        <f>IFERROR(U877*V877*(1-W877/100),"")</f>
        <v/>
      </c>
      <c r="Y877">
        <f>IFERROR(ROUND(X877*0.13,2),"")</f>
        <v/>
      </c>
      <c r="Z877">
        <f>IFERROR(X877+Y877,"")</f>
        <v/>
      </c>
      <c r="AA877" t="inlineStr">
        <is>
          <t>Efectivo</t>
        </is>
      </c>
      <c r="AB877" t="inlineStr">
        <is>
          <t>Llamar al 7788-1234 antes de entregar</t>
        </is>
      </c>
    </row>
    <row r="878">
      <c r="A878" t="inlineStr">
        <is>
          <t>F-11150</t>
        </is>
      </c>
      <c r="B878" s="3" t="n">
        <v>46213</v>
      </c>
      <c r="C878" t="inlineStr">
        <is>
          <t>Factura</t>
        </is>
      </c>
      <c r="D878" t="inlineStr">
        <is>
          <t>SA01</t>
        </is>
      </c>
      <c r="E878" t="inlineStr">
        <is>
          <t>Santa  Ana</t>
        </is>
      </c>
      <c r="F878" t="inlineStr">
        <is>
          <t>Av. Independencia Sur #12</t>
        </is>
      </c>
      <c r="G878" t="inlineStr">
        <is>
          <t>Santa Ana</t>
        </is>
      </c>
      <c r="H878" t="inlineStr">
        <is>
          <t>Santa Ana</t>
        </is>
      </c>
      <c r="I878" t="inlineStr">
        <is>
          <t>Mauricio Linares</t>
        </is>
      </c>
      <c r="J878" t="inlineStr">
        <is>
          <t>2440-9921</t>
        </is>
      </c>
      <c r="K878" t="inlineStr">
        <is>
          <t>Sofía Cáceres</t>
        </is>
      </c>
      <c r="L878" t="inlineStr">
        <is>
          <t>Rosa Quintanilla Alvarado</t>
        </is>
      </c>
      <c r="M878" t="inlineStr">
        <is>
          <t>03900916-8</t>
        </is>
      </c>
      <c r="N878" t="inlineStr">
        <is>
          <t>6451-4292</t>
        </is>
      </c>
      <c r="O878" t="inlineStr">
        <is>
          <t>Consumidor final</t>
        </is>
      </c>
      <c r="P878" t="inlineStr">
        <is>
          <t>HIG-002</t>
        </is>
      </c>
      <c r="Q878" t="inlineStr">
        <is>
          <t>Papel higiénico 4 rollos</t>
        </is>
      </c>
      <c r="R878" t="inlineStr">
        <is>
          <t>Higiene</t>
        </is>
      </c>
      <c r="S878" t="inlineStr">
        <is>
          <t>Higiene Total C.A.</t>
        </is>
      </c>
      <c r="T878" t="inlineStr">
        <is>
          <t>2207-5566</t>
        </is>
      </c>
      <c r="U878" t="inlineStr">
        <is>
          <t>$2.15</t>
        </is>
      </c>
      <c r="V878" t="n">
        <v>1</v>
      </c>
      <c r="W878" t="n">
        <v>0</v>
      </c>
      <c r="X878">
        <f>IFERROR(U878*V878*(1-W878/100),"")</f>
        <v/>
      </c>
      <c r="Y878">
        <f>IFERROR(ROUND(X878*0.13,2),"")</f>
        <v/>
      </c>
      <c r="Z878">
        <f>IFERROR(X878+Y878,"")</f>
        <v/>
      </c>
      <c r="AA878" t="inlineStr">
        <is>
          <t>efectivo</t>
        </is>
      </c>
      <c r="AB878" t="inlineStr"/>
    </row>
    <row r="879">
      <c r="A879" t="inlineStr">
        <is>
          <t>F-11150</t>
        </is>
      </c>
      <c r="B879" s="3" t="n">
        <v>46213</v>
      </c>
      <c r="C879" t="inlineStr">
        <is>
          <t>Factura</t>
        </is>
      </c>
      <c r="D879" t="inlineStr">
        <is>
          <t>SA01</t>
        </is>
      </c>
      <c r="E879" t="inlineStr">
        <is>
          <t>Santa Ana</t>
        </is>
      </c>
      <c r="F879" t="inlineStr">
        <is>
          <t>Av. Independencia Sur #12</t>
        </is>
      </c>
      <c r="G879" t="inlineStr">
        <is>
          <t>Santa Ana</t>
        </is>
      </c>
      <c r="H879" t="inlineStr">
        <is>
          <t>Santa Ana</t>
        </is>
      </c>
      <c r="I879" t="inlineStr">
        <is>
          <t>Mauricio Linares</t>
        </is>
      </c>
      <c r="J879" t="inlineStr">
        <is>
          <t>2440-9921</t>
        </is>
      </c>
      <c r="K879" t="inlineStr">
        <is>
          <t>Sofía Cáceres</t>
        </is>
      </c>
      <c r="L879" t="inlineStr">
        <is>
          <t>Rosa Quintanilla Alvarado</t>
        </is>
      </c>
      <c r="M879" t="inlineStr">
        <is>
          <t>03900916-8</t>
        </is>
      </c>
      <c r="N879" t="inlineStr">
        <is>
          <t>6451-4292</t>
        </is>
      </c>
      <c r="O879" t="inlineStr">
        <is>
          <t>Consumidor final</t>
        </is>
      </c>
      <c r="P879" t="inlineStr">
        <is>
          <t>LAC-003</t>
        </is>
      </c>
      <c r="Q879" t="inlineStr">
        <is>
          <t>Leche entera 1L</t>
        </is>
      </c>
      <c r="R879" t="inlineStr">
        <is>
          <t>Lácteos</t>
        </is>
      </c>
      <c r="S879" t="inlineStr">
        <is>
          <t>Lácteos Chalate</t>
        </is>
      </c>
      <c r="T879" t="inlineStr">
        <is>
          <t>2335-1020</t>
        </is>
      </c>
      <c r="U879" t="inlineStr">
        <is>
          <t>$1.20</t>
        </is>
      </c>
      <c r="V879" t="n">
        <v>6</v>
      </c>
      <c r="W879" t="n">
        <v>0</v>
      </c>
      <c r="X879">
        <f>IFERROR(U879*V879*(1-W879/100),"")</f>
        <v/>
      </c>
      <c r="Y879">
        <f>IFERROR(ROUND(X879*0.13,2),"")</f>
        <v/>
      </c>
      <c r="Z879">
        <f>IFERROR(X879+Y879,"")</f>
        <v/>
      </c>
      <c r="AA879" t="inlineStr">
        <is>
          <t>efectivo</t>
        </is>
      </c>
      <c r="AB879" t="inlineStr">
        <is>
          <t>pagó con billete de $100</t>
        </is>
      </c>
    </row>
    <row r="880">
      <c r="A880" t="inlineStr">
        <is>
          <t>F-11150</t>
        </is>
      </c>
      <c r="B880" s="3" t="n">
        <v>46213</v>
      </c>
      <c r="C880" t="inlineStr">
        <is>
          <t>Factura</t>
        </is>
      </c>
      <c r="D880" t="inlineStr">
        <is>
          <t>SA01</t>
        </is>
      </c>
      <c r="E880" t="inlineStr">
        <is>
          <t>Santa Ana</t>
        </is>
      </c>
      <c r="F880" t="inlineStr">
        <is>
          <t>Av. Independencia Sur #12</t>
        </is>
      </c>
      <c r="G880" t="inlineStr">
        <is>
          <t>Santa Ana</t>
        </is>
      </c>
      <c r="H880" t="inlineStr">
        <is>
          <t>Santa Ana</t>
        </is>
      </c>
      <c r="I880" t="inlineStr">
        <is>
          <t>Mauricio Linares</t>
        </is>
      </c>
      <c r="J880" t="inlineStr">
        <is>
          <t>2440-9921</t>
        </is>
      </c>
      <c r="K880" t="inlineStr">
        <is>
          <t>Sofía Cáceres</t>
        </is>
      </c>
      <c r="L880" t="inlineStr">
        <is>
          <t>Rosa Quintanilla Alvarado</t>
        </is>
      </c>
      <c r="M880" t="inlineStr">
        <is>
          <t>03900916-8</t>
        </is>
      </c>
      <c r="N880" t="inlineStr">
        <is>
          <t>6451-4292</t>
        </is>
      </c>
      <c r="O880" t="inlineStr">
        <is>
          <t>Consumidor final</t>
        </is>
      </c>
      <c r="P880" t="inlineStr">
        <is>
          <t>PAN-002</t>
        </is>
      </c>
      <c r="Q880" t="inlineStr">
        <is>
          <t>Semita alta</t>
        </is>
      </c>
      <c r="R880" t="inlineStr">
        <is>
          <t>Panadería</t>
        </is>
      </c>
      <c r="S880" t="inlineStr">
        <is>
          <t>Panificadora Ilopango</t>
        </is>
      </c>
      <c r="T880" t="inlineStr">
        <is>
          <t>2295-0081</t>
        </is>
      </c>
      <c r="U880" t="inlineStr">
        <is>
          <t>$1.75</t>
        </is>
      </c>
      <c r="V880" t="n">
        <v>4</v>
      </c>
      <c r="W880" t="n">
        <v>0</v>
      </c>
      <c r="X880">
        <f>IFERROR(U880*V880*(1-W880/100),"")</f>
        <v/>
      </c>
      <c r="Y880">
        <f>IFERROR(ROUND(X880*0.13,2),"")</f>
        <v/>
      </c>
      <c r="Z880">
        <f>IFERROR(X880+Y880,"")</f>
        <v/>
      </c>
      <c r="AA880" t="inlineStr">
        <is>
          <t>efectivo</t>
        </is>
      </c>
      <c r="AB880" t="inlineStr"/>
    </row>
    <row r="881">
      <c r="A881" t="inlineStr">
        <is>
          <t>F-11151</t>
        </is>
      </c>
      <c r="B881" t="inlineStr">
        <is>
          <t>26-Jul-26</t>
        </is>
      </c>
      <c r="C881" t="inlineStr">
        <is>
          <t>Factura</t>
        </is>
      </c>
      <c r="D881" t="inlineStr">
        <is>
          <t>US01</t>
        </is>
      </c>
      <c r="E881" t="inlineStr">
        <is>
          <t>Usulutan</t>
        </is>
      </c>
      <c r="F881" t="inlineStr">
        <is>
          <t>2a Av. Norte #9</t>
        </is>
      </c>
      <c r="G881" t="inlineStr">
        <is>
          <t>Usulután</t>
        </is>
      </c>
      <c r="H881" t="inlineStr">
        <is>
          <t>Usulután</t>
        </is>
      </c>
      <c r="I881" t="inlineStr">
        <is>
          <t>Nelson Fuentes</t>
        </is>
      </c>
      <c r="J881" t="inlineStr">
        <is>
          <t>2662-8810</t>
        </is>
      </c>
      <c r="K881" t="inlineStr">
        <is>
          <t>Miguel Bonilla</t>
        </is>
      </c>
      <c r="L881" t="inlineStr">
        <is>
          <t>René Flores García</t>
        </is>
      </c>
      <c r="M881" t="inlineStr">
        <is>
          <t>08499785-5</t>
        </is>
      </c>
      <c r="N881" t="inlineStr">
        <is>
          <t>6702-2047</t>
        </is>
      </c>
      <c r="O881" t="inlineStr">
        <is>
          <t>Consumidor final</t>
        </is>
      </c>
      <c r="P881" t="inlineStr">
        <is>
          <t>BEB-001</t>
        </is>
      </c>
      <c r="Q881" t="inlineStr">
        <is>
          <t>Gaseosa 2.5L</t>
        </is>
      </c>
      <c r="R881" t="inlineStr">
        <is>
          <t>bebidas</t>
        </is>
      </c>
      <c r="S881" t="inlineStr">
        <is>
          <t>Bebidas Izalco</t>
        </is>
      </c>
      <c r="T881" t="inlineStr">
        <is>
          <t>2450-7700</t>
        </is>
      </c>
      <c r="U881" t="n">
        <v>1.95</v>
      </c>
      <c r="V881" t="n">
        <v>24</v>
      </c>
      <c r="W881" t="n">
        <v>0</v>
      </c>
      <c r="X881">
        <f>IFERROR(U881*V881*(1-W881/100),"")</f>
        <v/>
      </c>
      <c r="Y881">
        <f>IFERROR(ROUND(X881*0.13,2),"")</f>
        <v/>
      </c>
      <c r="Z881">
        <f>IFERROR(X881+Y881,"")</f>
        <v/>
      </c>
      <c r="AA881" t="inlineStr">
        <is>
          <t>Efectivo</t>
        </is>
      </c>
      <c r="AB881" t="inlineStr"/>
    </row>
    <row r="882">
      <c r="A882" t="inlineStr">
        <is>
          <t>F-11151</t>
        </is>
      </c>
      <c r="B882" s="3" t="n">
        <v>46229</v>
      </c>
      <c r="C882" t="inlineStr">
        <is>
          <t>Factura</t>
        </is>
      </c>
      <c r="D882" t="inlineStr">
        <is>
          <t>US01</t>
        </is>
      </c>
      <c r="E882" t="inlineStr">
        <is>
          <t>Usulután</t>
        </is>
      </c>
      <c r="F882" t="inlineStr">
        <is>
          <t>2a Av. Norte #9</t>
        </is>
      </c>
      <c r="G882" t="inlineStr">
        <is>
          <t>Usulután</t>
        </is>
      </c>
      <c r="H882" t="inlineStr">
        <is>
          <t>Usulután</t>
        </is>
      </c>
      <c r="I882" t="inlineStr">
        <is>
          <t>Nelson Fuentes</t>
        </is>
      </c>
      <c r="J882" t="inlineStr">
        <is>
          <t>2662-8810</t>
        </is>
      </c>
      <c r="K882" t="inlineStr">
        <is>
          <t>Miguel Bonilla</t>
        </is>
      </c>
      <c r="L882" t="inlineStr">
        <is>
          <t>René Flores García</t>
        </is>
      </c>
      <c r="M882" t="inlineStr">
        <is>
          <t>08499785-5</t>
        </is>
      </c>
      <c r="N882" t="inlineStr">
        <is>
          <t>6702-2047</t>
        </is>
      </c>
      <c r="O882" t="inlineStr">
        <is>
          <t>Consumidor final</t>
        </is>
      </c>
      <c r="P882" t="inlineStr">
        <is>
          <t>ARR-001</t>
        </is>
      </c>
      <c r="Q882" t="inlineStr">
        <is>
          <t>Arroz blanco 5lb</t>
        </is>
      </c>
      <c r="R882" t="inlineStr">
        <is>
          <t>Granos básicos</t>
        </is>
      </c>
      <c r="S882" t="inlineStr">
        <is>
          <t>Granos del Pacífico</t>
        </is>
      </c>
      <c r="T882" t="inlineStr">
        <is>
          <t>2234-8890</t>
        </is>
      </c>
      <c r="U882" t="n">
        <v>3.95</v>
      </c>
      <c r="V882" t="n">
        <v>3</v>
      </c>
      <c r="W882" t="n">
        <v>0</v>
      </c>
      <c r="X882">
        <f>IFERROR(U882*V882*(1-W882/100),"")</f>
        <v/>
      </c>
      <c r="Y882">
        <f>IFERROR(ROUND(X882*0.13,2),"")</f>
        <v/>
      </c>
      <c r="Z882">
        <f>IFERROR(X882+Y882,"")</f>
        <v/>
      </c>
      <c r="AA882" t="inlineStr">
        <is>
          <t>Efectivo</t>
        </is>
      </c>
      <c r="AB882" t="inlineStr">
        <is>
          <t>Llamar al 7788-1234 antes de entregar</t>
        </is>
      </c>
    </row>
    <row r="883">
      <c r="A883" t="inlineStr">
        <is>
          <t>F-11151</t>
        </is>
      </c>
      <c r="B883" t="inlineStr">
        <is>
          <t>2026-07-26</t>
        </is>
      </c>
      <c r="C883" t="inlineStr">
        <is>
          <t>Factura</t>
        </is>
      </c>
      <c r="D883" t="inlineStr">
        <is>
          <t>US01</t>
        </is>
      </c>
      <c r="E883" t="inlineStr">
        <is>
          <t>Usulutan</t>
        </is>
      </c>
      <c r="F883" t="inlineStr">
        <is>
          <t>2a Av. Norte #9</t>
        </is>
      </c>
      <c r="G883" t="inlineStr">
        <is>
          <t>Usulután</t>
        </is>
      </c>
      <c r="H883" t="inlineStr">
        <is>
          <t>Usulután</t>
        </is>
      </c>
      <c r="I883" t="inlineStr">
        <is>
          <t>Nelson Fuentes</t>
        </is>
      </c>
      <c r="J883" t="inlineStr">
        <is>
          <t>2662-8810</t>
        </is>
      </c>
      <c r="K883" t="inlineStr">
        <is>
          <t>Miguel Bonilla</t>
        </is>
      </c>
      <c r="L883" t="inlineStr">
        <is>
          <t>René Flores García</t>
        </is>
      </c>
      <c r="M883" t="inlineStr"/>
      <c r="N883" t="inlineStr">
        <is>
          <t>6702-2047</t>
        </is>
      </c>
      <c r="O883" t="inlineStr">
        <is>
          <t>Consumidor final</t>
        </is>
      </c>
      <c r="P883" t="inlineStr">
        <is>
          <t>PAN-001</t>
        </is>
      </c>
      <c r="Q883" t="inlineStr">
        <is>
          <t>Pan francés bolsa 10u</t>
        </is>
      </c>
      <c r="R883" t="inlineStr">
        <is>
          <t>Panaderia</t>
        </is>
      </c>
      <c r="S883" t="inlineStr">
        <is>
          <t>Panificadora Ilopango</t>
        </is>
      </c>
      <c r="T883" t="inlineStr">
        <is>
          <t>2295-0081</t>
        </is>
      </c>
      <c r="U883" t="n">
        <v>1</v>
      </c>
      <c r="V883" t="n">
        <v>24</v>
      </c>
      <c r="W883" t="n">
        <v>0</v>
      </c>
      <c r="X883">
        <f>IFERROR(U883*V883*(1-W883/100),"")</f>
        <v/>
      </c>
      <c r="Y883">
        <f>IFERROR(ROUND(X883*0.13,2),"")</f>
        <v/>
      </c>
      <c r="Z883">
        <f>IFERROR(X883+Y883,"")</f>
        <v/>
      </c>
      <c r="AA883" t="inlineStr">
        <is>
          <t>Efectivo</t>
        </is>
      </c>
      <c r="AB883" t="inlineStr">
        <is>
          <t>entregar en bodega</t>
        </is>
      </c>
    </row>
    <row r="884">
      <c r="A884" t="inlineStr">
        <is>
          <t>F-11152</t>
        </is>
      </c>
      <c r="B884" s="3" t="n">
        <v>46249</v>
      </c>
      <c r="C884" t="inlineStr">
        <is>
          <t>Factura</t>
        </is>
      </c>
      <c r="D884" t="inlineStr">
        <is>
          <t>LL02</t>
        </is>
      </c>
      <c r="E884" t="inlineStr">
        <is>
          <t>La Libertad Puerto</t>
        </is>
      </c>
      <c r="F884" t="inlineStr">
        <is>
          <t>Calle El Malecón, Local 4</t>
        </is>
      </c>
      <c r="G884" t="inlineStr">
        <is>
          <t>La Libertad</t>
        </is>
      </c>
      <c r="H884" t="inlineStr">
        <is>
          <t>La Libertad</t>
        </is>
      </c>
      <c r="I884" t="inlineStr">
        <is>
          <t>Wendy Aguilar</t>
        </is>
      </c>
      <c r="J884" t="inlineStr">
        <is>
          <t>2335-6140</t>
        </is>
      </c>
      <c r="K884" t="inlineStr">
        <is>
          <t>Gabriela Saravia</t>
        </is>
      </c>
      <c r="L884" t="inlineStr">
        <is>
          <t>Douglas Pérez Guevara</t>
        </is>
      </c>
      <c r="M884" t="inlineStr">
        <is>
          <t>09863904-2</t>
        </is>
      </c>
      <c r="N884" t="inlineStr">
        <is>
          <t>7997-9269</t>
        </is>
      </c>
      <c r="O884" t="inlineStr">
        <is>
          <t>Consumidor final</t>
        </is>
      </c>
      <c r="P884" t="inlineStr">
        <is>
          <t>LAC-001</t>
        </is>
      </c>
      <c r="Q884" t="inlineStr">
        <is>
          <t>Quesillo 1lb</t>
        </is>
      </c>
      <c r="R884" t="inlineStr">
        <is>
          <t>Lácteos</t>
        </is>
      </c>
      <c r="S884" t="inlineStr">
        <is>
          <t>Lácteos Chalate</t>
        </is>
      </c>
      <c r="T884" t="inlineStr">
        <is>
          <t>2335-1020</t>
        </is>
      </c>
      <c r="U884" t="n">
        <v>3.8</v>
      </c>
      <c r="V884" t="n">
        <v>1</v>
      </c>
      <c r="W884" t="n">
        <v>0</v>
      </c>
      <c r="X884">
        <f>IFERROR(U884*V884*(1-W884/100),"")</f>
        <v/>
      </c>
      <c r="Y884">
        <f>IFERROR(ROUND(X884*0.13,2),"")</f>
        <v/>
      </c>
      <c r="Z884">
        <f>IFERROR(X884+Y884,"")</f>
        <v/>
      </c>
      <c r="AA884" t="inlineStr">
        <is>
          <t>Efectivo</t>
        </is>
      </c>
      <c r="AB884" t="inlineStr"/>
    </row>
    <row r="885">
      <c r="A885" t="inlineStr">
        <is>
          <t>F-11154</t>
        </is>
      </c>
      <c r="B885" s="3" t="n">
        <v>46225</v>
      </c>
      <c r="C885" t="inlineStr">
        <is>
          <t>Factura</t>
        </is>
      </c>
      <c r="D885" t="inlineStr">
        <is>
          <t>SS03</t>
        </is>
      </c>
      <c r="E885" t="inlineStr">
        <is>
          <t>Soyapango</t>
        </is>
      </c>
      <c r="F885" t="inlineStr">
        <is>
          <t>Blvd. del Ejército km 4</t>
        </is>
      </c>
      <c r="G885" t="inlineStr">
        <is>
          <t>Soyapango</t>
        </is>
      </c>
      <c r="H885" t="inlineStr">
        <is>
          <t>San Salvador</t>
        </is>
      </c>
      <c r="I885" t="inlineStr">
        <is>
          <t>Karla Henríquez</t>
        </is>
      </c>
      <c r="J885" t="inlineStr">
        <is>
          <t>2277-3402</t>
        </is>
      </c>
      <c r="K885" t="inlineStr">
        <is>
          <t>Marta Gómez</t>
        </is>
      </c>
      <c r="L885" t="inlineStr">
        <is>
          <t>Xiomara Flores Rivera</t>
        </is>
      </c>
      <c r="M885" t="inlineStr">
        <is>
          <t>09919727-8</t>
        </is>
      </c>
      <c r="N885" t="inlineStr">
        <is>
          <t>2544-6511</t>
        </is>
      </c>
      <c r="O885" t="inlineStr">
        <is>
          <t>Consumidor final</t>
        </is>
      </c>
      <c r="P885" t="inlineStr">
        <is>
          <t>PAN-002</t>
        </is>
      </c>
      <c r="Q885" t="inlineStr">
        <is>
          <t>Semita alta</t>
        </is>
      </c>
      <c r="R885" t="inlineStr">
        <is>
          <t>Panadería</t>
        </is>
      </c>
      <c r="S885" t="inlineStr">
        <is>
          <t>Panificadora Ilopango</t>
        </is>
      </c>
      <c r="T885" t="inlineStr">
        <is>
          <t>2295-0081</t>
        </is>
      </c>
      <c r="U885" t="n">
        <v>1.75</v>
      </c>
      <c r="V885" t="n">
        <v>3</v>
      </c>
      <c r="W885" t="n">
        <v>0</v>
      </c>
      <c r="X885">
        <f>IFERROR(U885*V885*(1-W885/100),"")</f>
        <v/>
      </c>
      <c r="Y885">
        <f>IFERROR(ROUND(X885*0.13,2),"")</f>
        <v/>
      </c>
      <c r="Z885">
        <f>IFERROR(X885+Y885,"")</f>
        <v/>
      </c>
      <c r="AA885" t="inlineStr">
        <is>
          <t>Efectivo</t>
        </is>
      </c>
      <c r="AB885" t="inlineStr"/>
    </row>
    <row r="886">
      <c r="A886" t="inlineStr">
        <is>
          <t>F-11156</t>
        </is>
      </c>
      <c r="B886" s="3" t="n">
        <v>46257</v>
      </c>
      <c r="C886" t="inlineStr">
        <is>
          <t>Factura</t>
        </is>
      </c>
      <c r="D886" t="inlineStr">
        <is>
          <t>SA01</t>
        </is>
      </c>
      <c r="E886" t="inlineStr">
        <is>
          <t>STA ANA</t>
        </is>
      </c>
      <c r="F886" t="inlineStr">
        <is>
          <t>Av. Independencia Sur #12</t>
        </is>
      </c>
      <c r="G886" t="inlineStr">
        <is>
          <t>Santa Ana</t>
        </is>
      </c>
      <c r="H886" t="inlineStr">
        <is>
          <t>Santa Ana</t>
        </is>
      </c>
      <c r="I886" t="inlineStr">
        <is>
          <t>Mauricio Linares</t>
        </is>
      </c>
      <c r="J886" t="inlineStr">
        <is>
          <t>2440-9921</t>
        </is>
      </c>
      <c r="K886" t="inlineStr">
        <is>
          <t>Sofía Cáceres</t>
        </is>
      </c>
      <c r="L886" t="inlineStr">
        <is>
          <t>Edwin Cornejo Mejía</t>
        </is>
      </c>
      <c r="M886" t="inlineStr"/>
      <c r="N886" t="inlineStr">
        <is>
          <t>7415-9980</t>
        </is>
      </c>
      <c r="O886" t="inlineStr">
        <is>
          <t>Consumidor final</t>
        </is>
      </c>
      <c r="P886" t="inlineStr">
        <is>
          <t>HIG-002</t>
        </is>
      </c>
      <c r="Q886" t="inlineStr">
        <is>
          <t>Papel higiénico 4 rollos</t>
        </is>
      </c>
      <c r="R886" t="inlineStr">
        <is>
          <t>Higiene</t>
        </is>
      </c>
      <c r="S886" t="inlineStr">
        <is>
          <t>Higiene Total C.A.</t>
        </is>
      </c>
      <c r="T886" t="inlineStr">
        <is>
          <t>2207-5566</t>
        </is>
      </c>
      <c r="U886" t="inlineStr">
        <is>
          <t>$2.15</t>
        </is>
      </c>
      <c r="V886" t="n">
        <v>12</v>
      </c>
      <c r="W886" t="n">
        <v>0</v>
      </c>
      <c r="X886">
        <f>IFERROR(U886*V886*(1-W886/100),"")</f>
        <v/>
      </c>
      <c r="Y886">
        <f>IFERROR(ROUND(X886*0.13,2),"")</f>
        <v/>
      </c>
      <c r="Z886">
        <f>IFERROR(X886+Y886,"")</f>
        <v/>
      </c>
      <c r="AA886" t="inlineStr">
        <is>
          <t>Transferencia</t>
        </is>
      </c>
      <c r="AB886" t="inlineStr">
        <is>
          <t>pagó con billete de $100</t>
        </is>
      </c>
    </row>
    <row r="887">
      <c r="A887" t="inlineStr">
        <is>
          <t>F-11156</t>
        </is>
      </c>
      <c r="B887" s="3" t="n">
        <v>46257</v>
      </c>
      <c r="C887" t="inlineStr">
        <is>
          <t>Factura</t>
        </is>
      </c>
      <c r="D887" t="inlineStr"/>
      <c r="E887" t="inlineStr">
        <is>
          <t>STA ANA</t>
        </is>
      </c>
      <c r="F887" t="inlineStr">
        <is>
          <t>Av. Independencia Sur #12</t>
        </is>
      </c>
      <c r="G887" t="inlineStr">
        <is>
          <t>Santa Ana</t>
        </is>
      </c>
      <c r="H887" t="inlineStr">
        <is>
          <t>Santa Ana</t>
        </is>
      </c>
      <c r="I887" t="inlineStr">
        <is>
          <t>Mauricio Linares</t>
        </is>
      </c>
      <c r="J887" t="inlineStr">
        <is>
          <t>2440-9921</t>
        </is>
      </c>
      <c r="K887" t="inlineStr">
        <is>
          <t>Sofía Cáceres</t>
        </is>
      </c>
      <c r="L887" t="inlineStr">
        <is>
          <t>Edwin Cornejo Mejía</t>
        </is>
      </c>
      <c r="M887" t="inlineStr">
        <is>
          <t>09391819-6</t>
        </is>
      </c>
      <c r="N887" t="inlineStr">
        <is>
          <t>7415-9980</t>
        </is>
      </c>
      <c r="O887" t="inlineStr">
        <is>
          <t>Consumidor final</t>
        </is>
      </c>
      <c r="P887" t="inlineStr">
        <is>
          <t>LAC-001</t>
        </is>
      </c>
      <c r="Q887" t="inlineStr">
        <is>
          <t>Quesillo 1lb</t>
        </is>
      </c>
      <c r="R887" t="inlineStr">
        <is>
          <t>Lácteos</t>
        </is>
      </c>
      <c r="S887" t="inlineStr">
        <is>
          <t>Lácteos Chalate</t>
        </is>
      </c>
      <c r="T887" t="inlineStr">
        <is>
          <t>2335-1020</t>
        </is>
      </c>
      <c r="U887" t="n">
        <v>3.8</v>
      </c>
      <c r="V887" t="n">
        <v>1</v>
      </c>
      <c r="W887" t="n">
        <v>0</v>
      </c>
      <c r="X887">
        <f>IFERROR(U887*V887*(1-W887/100),"")</f>
        <v/>
      </c>
      <c r="Y887">
        <f>IFERROR(ROUND(X887*0.13,2),"")</f>
        <v/>
      </c>
      <c r="Z887">
        <f>IFERROR(X887+Y887,"")</f>
        <v/>
      </c>
      <c r="AA887" t="inlineStr">
        <is>
          <t>Transferencia</t>
        </is>
      </c>
      <c r="AB887" t="inlineStr">
        <is>
          <t>pagó con billete de $100</t>
        </is>
      </c>
    </row>
    <row r="888">
      <c r="A888" t="inlineStr">
        <is>
          <t>F-11158</t>
        </is>
      </c>
      <c r="B888" s="3" t="n">
        <v>46243</v>
      </c>
      <c r="C888" t="inlineStr">
        <is>
          <t>Factura</t>
        </is>
      </c>
      <c r="D888" t="inlineStr">
        <is>
          <t>SS03</t>
        </is>
      </c>
      <c r="E888" t="inlineStr">
        <is>
          <t xml:space="preserve">SOYAPANGO </t>
        </is>
      </c>
      <c r="F888" t="inlineStr">
        <is>
          <t>Blvd. del Ejército km 4</t>
        </is>
      </c>
      <c r="G888" t="inlineStr">
        <is>
          <t>Soyapango</t>
        </is>
      </c>
      <c r="H888" t="inlineStr">
        <is>
          <t>San Salvador</t>
        </is>
      </c>
      <c r="I888" t="inlineStr">
        <is>
          <t>Karla Henríquez</t>
        </is>
      </c>
      <c r="J888" t="inlineStr">
        <is>
          <t>2277-3402</t>
        </is>
      </c>
      <c r="K888" t="inlineStr">
        <is>
          <t>Carlos Molina</t>
        </is>
      </c>
      <c r="L888" t="inlineStr">
        <is>
          <t>Carmen Flores Sorto</t>
        </is>
      </c>
      <c r="M888" t="inlineStr">
        <is>
          <t>02579994-7</t>
        </is>
      </c>
      <c r="N888" t="inlineStr">
        <is>
          <t>2462-9572</t>
        </is>
      </c>
      <c r="O888" t="inlineStr">
        <is>
          <t>Consumidor final</t>
        </is>
      </c>
      <c r="P888" t="inlineStr">
        <is>
          <t>HAR-001</t>
        </is>
      </c>
      <c r="Q888" t="inlineStr">
        <is>
          <t>Harina de maíz 2lb</t>
        </is>
      </c>
      <c r="R888" t="inlineStr">
        <is>
          <t>Abarrotes</t>
        </is>
      </c>
      <c r="S888" t="inlineStr">
        <is>
          <t>Granos del Pacífico</t>
        </is>
      </c>
      <c r="T888" t="inlineStr">
        <is>
          <t>2234-8890</t>
        </is>
      </c>
      <c r="U888" t="n">
        <v>1.35</v>
      </c>
      <c r="V888" t="n">
        <v>1</v>
      </c>
      <c r="W888" t="n">
        <v>0</v>
      </c>
      <c r="X888">
        <f>IFERROR(U888*V888*(1-W888/100),"")</f>
        <v/>
      </c>
      <c r="Y888">
        <f>IFERROR(ROUND(X888*0.13,2),"")</f>
        <v/>
      </c>
      <c r="Z888">
        <f>IFERROR(X888+Y888,"")</f>
        <v/>
      </c>
      <c r="AA888" t="inlineStr">
        <is>
          <t>Tarjeta</t>
        </is>
      </c>
      <c r="AB888" t="inlineStr"/>
    </row>
    <row r="889">
      <c r="A889" t="inlineStr">
        <is>
          <t>F-11158</t>
        </is>
      </c>
      <c r="B889" s="3" t="n">
        <v>46243</v>
      </c>
      <c r="C889" t="inlineStr">
        <is>
          <t>Factura</t>
        </is>
      </c>
      <c r="D889" t="inlineStr">
        <is>
          <t>SS03</t>
        </is>
      </c>
      <c r="E889" t="inlineStr">
        <is>
          <t>soyapango</t>
        </is>
      </c>
      <c r="F889" t="inlineStr">
        <is>
          <t>Blvd. del Ejército km 4</t>
        </is>
      </c>
      <c r="G889" t="inlineStr">
        <is>
          <t>Soyapango</t>
        </is>
      </c>
      <c r="H889" t="inlineStr">
        <is>
          <t>San Salvador</t>
        </is>
      </c>
      <c r="I889" t="inlineStr">
        <is>
          <t>Karla Henríquez</t>
        </is>
      </c>
      <c r="J889" t="inlineStr">
        <is>
          <t>2277-3402</t>
        </is>
      </c>
      <c r="K889" t="inlineStr">
        <is>
          <t>Carlos Molina</t>
        </is>
      </c>
      <c r="L889" t="inlineStr">
        <is>
          <t>Carmen Flores Sorto</t>
        </is>
      </c>
      <c r="M889" t="inlineStr">
        <is>
          <t>02579994-7</t>
        </is>
      </c>
      <c r="N889" t="inlineStr">
        <is>
          <t>2462-9572</t>
        </is>
      </c>
      <c r="O889" t="inlineStr">
        <is>
          <t>Consumidor final</t>
        </is>
      </c>
      <c r="P889" t="inlineStr">
        <is>
          <t>ARR-001</t>
        </is>
      </c>
      <c r="Q889" t="inlineStr">
        <is>
          <t>Arroz blanco 5lb</t>
        </is>
      </c>
      <c r="R889" t="inlineStr">
        <is>
          <t>Abarrotes</t>
        </is>
      </c>
      <c r="S889" t="inlineStr">
        <is>
          <t>Granos del Pacífico</t>
        </is>
      </c>
      <c r="T889" t="inlineStr">
        <is>
          <t>2234-8890</t>
        </is>
      </c>
      <c r="U889" t="n">
        <v>3.95</v>
      </c>
      <c r="V889" t="n">
        <v>6</v>
      </c>
      <c r="W889" t="n">
        <v>0</v>
      </c>
      <c r="X889">
        <f>IFERROR(U889*V889*(1-W889/100),"")</f>
        <v/>
      </c>
      <c r="Y889">
        <f>IFERROR(ROUND(X889*0.13,2),"")</f>
        <v/>
      </c>
      <c r="Z889">
        <f>IFERROR(X889+Y889,"")</f>
        <v/>
      </c>
      <c r="AA889" t="inlineStr">
        <is>
          <t>Tarjeta</t>
        </is>
      </c>
      <c r="AB889" t="inlineStr"/>
    </row>
    <row r="890">
      <c r="A890" t="inlineStr">
        <is>
          <t>F-11158</t>
        </is>
      </c>
      <c r="B890" t="inlineStr">
        <is>
          <t>09/08/2026</t>
        </is>
      </c>
      <c r="C890" t="inlineStr">
        <is>
          <t>Factura</t>
        </is>
      </c>
      <c r="D890" t="inlineStr">
        <is>
          <t>SS03</t>
        </is>
      </c>
      <c r="E890" t="inlineStr">
        <is>
          <t>soyapango</t>
        </is>
      </c>
      <c r="F890" t="inlineStr">
        <is>
          <t>Blvd. del Ejército km 4</t>
        </is>
      </c>
      <c r="G890" t="inlineStr">
        <is>
          <t>Soyapango</t>
        </is>
      </c>
      <c r="H890" t="inlineStr">
        <is>
          <t>San Salvador</t>
        </is>
      </c>
      <c r="I890" t="inlineStr">
        <is>
          <t>Karla Henríquez</t>
        </is>
      </c>
      <c r="J890" t="inlineStr">
        <is>
          <t>2277-3402</t>
        </is>
      </c>
      <c r="K890" t="inlineStr">
        <is>
          <t>Carlos Molina</t>
        </is>
      </c>
      <c r="L890" t="inlineStr">
        <is>
          <t>Carmen Flores Sorto</t>
        </is>
      </c>
      <c r="M890" t="inlineStr">
        <is>
          <t>02579994-7</t>
        </is>
      </c>
      <c r="N890" t="inlineStr">
        <is>
          <t>2462-9572</t>
        </is>
      </c>
      <c r="O890" t="inlineStr">
        <is>
          <t>Consumidor final</t>
        </is>
      </c>
      <c r="P890" t="inlineStr">
        <is>
          <t>BEB-002</t>
        </is>
      </c>
      <c r="Q890" t="inlineStr">
        <is>
          <t>Agua purificada 1 galón</t>
        </is>
      </c>
      <c r="R890" t="inlineStr">
        <is>
          <t>Bebidas</t>
        </is>
      </c>
      <c r="S890" t="inlineStr">
        <is>
          <t>Bebidas Izalco</t>
        </is>
      </c>
      <c r="T890" t="inlineStr">
        <is>
          <t>2450-7700</t>
        </is>
      </c>
      <c r="U890" t="n">
        <v>1.1</v>
      </c>
      <c r="V890" t="n">
        <v>1</v>
      </c>
      <c r="W890" t="n">
        <v>0</v>
      </c>
      <c r="X890">
        <f>IFERROR(U890*V890*(1-W890/100),"")</f>
        <v/>
      </c>
      <c r="Y890">
        <f>IFERROR(ROUND(X890*0.13,2),"")</f>
        <v/>
      </c>
      <c r="Z890">
        <f>IFERROR(X890+Y890,"")</f>
        <v/>
      </c>
      <c r="AA890" t="inlineStr">
        <is>
          <t>Tarjeta</t>
        </is>
      </c>
      <c r="AB890" t="inlineStr"/>
    </row>
    <row r="891">
      <c r="A891" t="inlineStr">
        <is>
          <t>F-11158</t>
        </is>
      </c>
      <c r="B891" s="3" t="n">
        <v>46243</v>
      </c>
      <c r="C891" t="inlineStr">
        <is>
          <t>Factura</t>
        </is>
      </c>
      <c r="D891" t="inlineStr">
        <is>
          <t>SS03</t>
        </is>
      </c>
      <c r="E891" t="inlineStr">
        <is>
          <t>Soyapango</t>
        </is>
      </c>
      <c r="F891" t="inlineStr">
        <is>
          <t>Blvd. del Ejército km 4</t>
        </is>
      </c>
      <c r="G891" t="inlineStr">
        <is>
          <t>Soyapango</t>
        </is>
      </c>
      <c r="H891" t="inlineStr">
        <is>
          <t>San Salvador</t>
        </is>
      </c>
      <c r="I891" t="inlineStr">
        <is>
          <t>Karla Henríquez</t>
        </is>
      </c>
      <c r="J891" t="inlineStr">
        <is>
          <t>2277-3402</t>
        </is>
      </c>
      <c r="K891" t="inlineStr">
        <is>
          <t>Carlos Molina</t>
        </is>
      </c>
      <c r="L891" t="inlineStr">
        <is>
          <t>Carmen Flores Sorto</t>
        </is>
      </c>
      <c r="M891" t="inlineStr">
        <is>
          <t>02579994-7</t>
        </is>
      </c>
      <c r="N891" t="inlineStr">
        <is>
          <t>2462-9572</t>
        </is>
      </c>
      <c r="O891" t="inlineStr">
        <is>
          <t>Consumidor final</t>
        </is>
      </c>
      <c r="P891" t="inlineStr">
        <is>
          <t>HIG-001</t>
        </is>
      </c>
      <c r="Q891" t="inlineStr">
        <is>
          <t>Detergente 1kg</t>
        </is>
      </c>
      <c r="R891" t="inlineStr">
        <is>
          <t>Higiene</t>
        </is>
      </c>
      <c r="S891" t="inlineStr">
        <is>
          <t>Higiene Total C.A.</t>
        </is>
      </c>
      <c r="T891" t="inlineStr">
        <is>
          <t>2207-5566</t>
        </is>
      </c>
      <c r="U891" t="n">
        <v>3.45</v>
      </c>
      <c r="V891" t="n">
        <v>3</v>
      </c>
      <c r="W891" t="n">
        <v>0</v>
      </c>
      <c r="X891">
        <f>IFERROR(U891*V891*(1-W891/100),"")</f>
        <v/>
      </c>
      <c r="Y891">
        <f>IFERROR(ROUND(X891*0.13,2),"")</f>
        <v/>
      </c>
      <c r="Z891">
        <f>IFERROR(X891+Y891,"")</f>
        <v/>
      </c>
      <c r="AA891" t="inlineStr">
        <is>
          <t>Tarjeta</t>
        </is>
      </c>
      <c r="AB891" t="inlineStr"/>
    </row>
    <row r="892">
      <c r="A892" t="inlineStr">
        <is>
          <t>F-11160</t>
        </is>
      </c>
      <c r="B892" s="3" t="n">
        <v>46264</v>
      </c>
      <c r="C892" t="inlineStr">
        <is>
          <t>Factura</t>
        </is>
      </c>
      <c r="D892" t="inlineStr">
        <is>
          <t>LL02</t>
        </is>
      </c>
      <c r="E892" t="inlineStr">
        <is>
          <t>Pto. La Libertad</t>
        </is>
      </c>
      <c r="F892" t="inlineStr">
        <is>
          <t>Calle El Malecón, Local 4</t>
        </is>
      </c>
      <c r="G892" t="inlineStr">
        <is>
          <t>La Libertad</t>
        </is>
      </c>
      <c r="H892" t="inlineStr">
        <is>
          <t>La Libertad</t>
        </is>
      </c>
      <c r="I892" t="inlineStr">
        <is>
          <t>Wendy Aguilar</t>
        </is>
      </c>
      <c r="J892" t="inlineStr">
        <is>
          <t>2335-6140</t>
        </is>
      </c>
      <c r="K892" t="inlineStr">
        <is>
          <t>Gabriela Saravia</t>
        </is>
      </c>
      <c r="L892" t="inlineStr">
        <is>
          <t>Ana Hernández Rivera</t>
        </is>
      </c>
      <c r="M892" t="inlineStr">
        <is>
          <t>07687780-8</t>
        </is>
      </c>
      <c r="N892" t="inlineStr">
        <is>
          <t>6468-4274</t>
        </is>
      </c>
      <c r="O892" t="inlineStr">
        <is>
          <t>Consumidor final</t>
        </is>
      </c>
      <c r="P892" t="inlineStr">
        <is>
          <t>HIG-001</t>
        </is>
      </c>
      <c r="Q892" t="inlineStr">
        <is>
          <t>Detergente 1kg</t>
        </is>
      </c>
      <c r="R892" t="inlineStr">
        <is>
          <t>Higiene</t>
        </is>
      </c>
      <c r="S892" t="inlineStr">
        <is>
          <t>Higiene Total C.A.</t>
        </is>
      </c>
      <c r="T892" t="inlineStr">
        <is>
          <t>2207-5566</t>
        </is>
      </c>
      <c r="U892" t="inlineStr">
        <is>
          <t>3,45</t>
        </is>
      </c>
      <c r="V892" t="n">
        <v>2</v>
      </c>
      <c r="W892" t="n">
        <v>0</v>
      </c>
      <c r="X892">
        <f>IFERROR(U892*V892*(1-W892/100),"")</f>
        <v/>
      </c>
      <c r="Y892">
        <f>IFERROR(ROUND(X892*0.13,2),"")</f>
        <v/>
      </c>
      <c r="Z892">
        <f>IFERROR(X892+Y892,"")</f>
        <v/>
      </c>
      <c r="AA892" t="inlineStr">
        <is>
          <t>Tarjeta</t>
        </is>
      </c>
      <c r="AB892" t="inlineStr"/>
    </row>
    <row r="893">
      <c r="A893" t="inlineStr">
        <is>
          <t>F-11160</t>
        </is>
      </c>
      <c r="B893" s="3" t="n">
        <v>46264</v>
      </c>
      <c r="C893" t="inlineStr">
        <is>
          <t>Factura</t>
        </is>
      </c>
      <c r="D893" t="inlineStr">
        <is>
          <t>LL02</t>
        </is>
      </c>
      <c r="E893" t="inlineStr">
        <is>
          <t>Puerto de La Libertad</t>
        </is>
      </c>
      <c r="F893" t="inlineStr">
        <is>
          <t>Calle El Malecón, Local 4</t>
        </is>
      </c>
      <c r="G893" t="inlineStr">
        <is>
          <t>La Libertad</t>
        </is>
      </c>
      <c r="H893" t="inlineStr">
        <is>
          <t>La Libertad</t>
        </is>
      </c>
      <c r="I893" t="inlineStr">
        <is>
          <t>Wendy Aguilar</t>
        </is>
      </c>
      <c r="J893" t="inlineStr">
        <is>
          <t>2335-6140</t>
        </is>
      </c>
      <c r="K893" t="inlineStr">
        <is>
          <t>Gabriela Saravia</t>
        </is>
      </c>
      <c r="L893" t="inlineStr">
        <is>
          <t>Ana Hernández Rivera</t>
        </is>
      </c>
      <c r="M893" t="inlineStr">
        <is>
          <t>07687780-8</t>
        </is>
      </c>
      <c r="N893" t="inlineStr">
        <is>
          <t>6468-4274</t>
        </is>
      </c>
      <c r="O893" t="inlineStr">
        <is>
          <t>Consumidor final</t>
        </is>
      </c>
      <c r="P893" t="inlineStr">
        <is>
          <t>AZU-001</t>
        </is>
      </c>
      <c r="Q893" t="inlineStr">
        <is>
          <t>Azúcar blanca 2.5kg</t>
        </is>
      </c>
      <c r="R893" t="inlineStr">
        <is>
          <t>Abarrotes</t>
        </is>
      </c>
      <c r="S893" t="inlineStr">
        <is>
          <t>Granos del Pacífico</t>
        </is>
      </c>
      <c r="T893" t="inlineStr">
        <is>
          <t>2234-8890</t>
        </is>
      </c>
      <c r="U893" t="n">
        <v>3.1</v>
      </c>
      <c r="V893" t="n">
        <v>12</v>
      </c>
      <c r="W893" t="n">
        <v>0</v>
      </c>
      <c r="X893">
        <f>IFERROR(U893*V893*(1-W893/100),"")</f>
        <v/>
      </c>
      <c r="Y893">
        <f>IFERROR(ROUND(X893*0.13,2),"")</f>
        <v/>
      </c>
      <c r="Z893">
        <f>IFERROR(X893+Y893,"")</f>
        <v/>
      </c>
      <c r="AA893" t="inlineStr">
        <is>
          <t>Tarjeta</t>
        </is>
      </c>
      <c r="AB893" t="inlineStr"/>
    </row>
    <row r="894">
      <c r="A894" t="inlineStr">
        <is>
          <t>11160</t>
        </is>
      </c>
      <c r="B894" s="3" t="n">
        <v>46264</v>
      </c>
      <c r="C894" t="inlineStr">
        <is>
          <t>Factura</t>
        </is>
      </c>
      <c r="D894" t="inlineStr">
        <is>
          <t>LL02</t>
        </is>
      </c>
      <c r="E894" t="inlineStr">
        <is>
          <t>La Libertad Puerto</t>
        </is>
      </c>
      <c r="F894" t="inlineStr">
        <is>
          <t>Calle El Malecón, Local 4</t>
        </is>
      </c>
      <c r="G894" t="inlineStr">
        <is>
          <t>La Libertad</t>
        </is>
      </c>
      <c r="H894" t="inlineStr">
        <is>
          <t>La Libertad</t>
        </is>
      </c>
      <c r="I894" t="inlineStr">
        <is>
          <t>Wendy Aguilar</t>
        </is>
      </c>
      <c r="J894" t="inlineStr">
        <is>
          <t>2335-6140</t>
        </is>
      </c>
      <c r="K894" t="inlineStr">
        <is>
          <t>Gabriela Saravia</t>
        </is>
      </c>
      <c r="L894" t="inlineStr">
        <is>
          <t>Ana Hernández Rivera</t>
        </is>
      </c>
      <c r="M894" t="inlineStr">
        <is>
          <t>07687780-8</t>
        </is>
      </c>
      <c r="N894" t="inlineStr">
        <is>
          <t>6468-4274</t>
        </is>
      </c>
      <c r="O894" t="inlineStr">
        <is>
          <t>Consumidor final</t>
        </is>
      </c>
      <c r="P894" t="inlineStr">
        <is>
          <t>PAN-002</t>
        </is>
      </c>
      <c r="Q894" t="inlineStr">
        <is>
          <t>Semita alta</t>
        </is>
      </c>
      <c r="R894" t="inlineStr">
        <is>
          <t>Panadería</t>
        </is>
      </c>
      <c r="S894" t="inlineStr">
        <is>
          <t>Panificadora Ilopango</t>
        </is>
      </c>
      <c r="T894" t="inlineStr">
        <is>
          <t>2295-0081</t>
        </is>
      </c>
      <c r="U894" t="n">
        <v>1.75</v>
      </c>
      <c r="V894" t="n">
        <v>12</v>
      </c>
      <c r="W894" t="n">
        <v>0</v>
      </c>
      <c r="X894">
        <f>IFERROR(U894*V894*(1-W894/100),"")</f>
        <v/>
      </c>
      <c r="Y894">
        <f>IFERROR(ROUND(X894*0.13,2),"")</f>
        <v/>
      </c>
      <c r="Z894">
        <f>IFERROR(X894+Y894,"")</f>
        <v/>
      </c>
      <c r="AA894" t="inlineStr">
        <is>
          <t>Tarjeta</t>
        </is>
      </c>
      <c r="AB894" t="inlineStr">
        <is>
          <t>entregar en bodega</t>
        </is>
      </c>
    </row>
    <row r="895">
      <c r="A895" t="inlineStr">
        <is>
          <t>F-11161</t>
        </is>
      </c>
      <c r="B895" s="3" t="n">
        <v>46208</v>
      </c>
      <c r="C895" t="inlineStr">
        <is>
          <t>FCF</t>
        </is>
      </c>
      <c r="D895" t="inlineStr">
        <is>
          <t>SS01</t>
        </is>
      </c>
      <c r="E895" t="inlineStr">
        <is>
          <t xml:space="preserve">san salvador centro </t>
        </is>
      </c>
      <c r="F895" t="inlineStr">
        <is>
          <t>4a Calle Poniente #215</t>
        </is>
      </c>
      <c r="G895" t="inlineStr">
        <is>
          <t>San Salvador</t>
        </is>
      </c>
      <c r="H895" t="inlineStr">
        <is>
          <t>San Salvador</t>
        </is>
      </c>
      <c r="I895" t="inlineStr">
        <is>
          <t>Roberto Alfaro</t>
        </is>
      </c>
      <c r="J895" t="inlineStr">
        <is>
          <t>2221-4580</t>
        </is>
      </c>
      <c r="K895" t="inlineStr">
        <is>
          <t>Daniela Orellana</t>
        </is>
      </c>
      <c r="L895" t="inlineStr">
        <is>
          <t>Edwin Alvarado García</t>
        </is>
      </c>
      <c r="M895" t="inlineStr">
        <is>
          <t>03264621-6</t>
        </is>
      </c>
      <c r="N895" t="inlineStr">
        <is>
          <t>2560-1229</t>
        </is>
      </c>
      <c r="O895" t="inlineStr">
        <is>
          <t>Consumidor final</t>
        </is>
      </c>
      <c r="P895" t="inlineStr">
        <is>
          <t>FRI-001</t>
        </is>
      </c>
      <c r="Q895" t="inlineStr">
        <is>
          <t>Frijol rojo de seda 2lb</t>
        </is>
      </c>
      <c r="R895" t="inlineStr">
        <is>
          <t>Abarrotes</t>
        </is>
      </c>
      <c r="S895" t="inlineStr">
        <is>
          <t>Granos del Pacífico</t>
        </is>
      </c>
      <c r="T895" t="inlineStr">
        <is>
          <t>2234-8890</t>
        </is>
      </c>
      <c r="U895" t="inlineStr">
        <is>
          <t>$2.40</t>
        </is>
      </c>
      <c r="V895" t="n">
        <v>1</v>
      </c>
      <c r="W895" t="n">
        <v>0</v>
      </c>
      <c r="X895">
        <f>IFERROR(U895*V895*(1-W895/100),"")</f>
        <v/>
      </c>
      <c r="Y895">
        <f>IFERROR(ROUND(X895*0.13,2),"")</f>
        <v/>
      </c>
      <c r="Z895">
        <f>IFERROR(X895+Y895,"")</f>
        <v/>
      </c>
      <c r="AA895" t="inlineStr">
        <is>
          <t>Chivo</t>
        </is>
      </c>
      <c r="AB895" t="inlineStr">
        <is>
          <t>entregar en bodega</t>
        </is>
      </c>
    </row>
    <row r="896">
      <c r="A896" t="inlineStr">
        <is>
          <t>F-11161</t>
        </is>
      </c>
      <c r="B896" s="3" t="n">
        <v>46208</v>
      </c>
      <c r="C896" t="inlineStr">
        <is>
          <t>FCF</t>
        </is>
      </c>
      <c r="D896" t="inlineStr">
        <is>
          <t>SS01</t>
        </is>
      </c>
      <c r="E896" t="inlineStr">
        <is>
          <t xml:space="preserve">san salvador centro </t>
        </is>
      </c>
      <c r="F896" t="inlineStr">
        <is>
          <t>4a Calle Poniente #215</t>
        </is>
      </c>
      <c r="G896" t="inlineStr">
        <is>
          <t>San Salvador</t>
        </is>
      </c>
      <c r="H896" t="inlineStr">
        <is>
          <t>San Salvador</t>
        </is>
      </c>
      <c r="I896" t="inlineStr">
        <is>
          <t>Roberto Alfaro</t>
        </is>
      </c>
      <c r="J896" t="inlineStr">
        <is>
          <t>2221-4580</t>
        </is>
      </c>
      <c r="K896" t="inlineStr">
        <is>
          <t>Daniela Orellana</t>
        </is>
      </c>
      <c r="L896" t="inlineStr">
        <is>
          <t>Edwin Alvarado García</t>
        </is>
      </c>
      <c r="M896" t="inlineStr">
        <is>
          <t>03264621-6</t>
        </is>
      </c>
      <c r="N896" t="inlineStr">
        <is>
          <t>2560-1229</t>
        </is>
      </c>
      <c r="O896" t="inlineStr">
        <is>
          <t>Consumidor final</t>
        </is>
      </c>
      <c r="P896" t="inlineStr">
        <is>
          <t>CAF-001</t>
        </is>
      </c>
      <c r="Q896" t="inlineStr">
        <is>
          <t>Café molido 400g</t>
        </is>
      </c>
      <c r="R896" t="inlineStr">
        <is>
          <t>abarrotes</t>
        </is>
      </c>
      <c r="S896" t="inlineStr">
        <is>
          <t>Café Volcán S.A.</t>
        </is>
      </c>
      <c r="T896" t="inlineStr">
        <is>
          <t>2510-3344</t>
        </is>
      </c>
      <c r="U896" t="n">
        <v>4.25</v>
      </c>
      <c r="V896" t="n">
        <v>4</v>
      </c>
      <c r="W896" t="n">
        <v>0</v>
      </c>
      <c r="X896">
        <f>IFERROR(U896*V896*(1-W896/100),"")</f>
        <v/>
      </c>
      <c r="Y896">
        <f>IFERROR(ROUND(X896*0.13,2),"")</f>
        <v/>
      </c>
      <c r="Z896">
        <f>IFERROR(X896+Y896,"")</f>
        <v/>
      </c>
      <c r="AA896" t="inlineStr">
        <is>
          <t>Chivo</t>
        </is>
      </c>
      <c r="AB896" t="inlineStr">
        <is>
          <t>precio especial autorizado por gerente</t>
        </is>
      </c>
    </row>
    <row r="897">
      <c r="A897" t="inlineStr">
        <is>
          <t>F-11161</t>
        </is>
      </c>
      <c r="B897" s="3" t="n">
        <v>46208</v>
      </c>
      <c r="C897" t="inlineStr">
        <is>
          <t>FCF</t>
        </is>
      </c>
      <c r="D897" t="inlineStr">
        <is>
          <t>SS01</t>
        </is>
      </c>
      <c r="E897" t="inlineStr">
        <is>
          <t xml:space="preserve">san salvador centro </t>
        </is>
      </c>
      <c r="F897" t="inlineStr">
        <is>
          <t>4a Calle Poniente #215</t>
        </is>
      </c>
      <c r="G897" t="inlineStr">
        <is>
          <t>San Salvador</t>
        </is>
      </c>
      <c r="H897" t="inlineStr">
        <is>
          <t>San Salvador</t>
        </is>
      </c>
      <c r="I897" t="inlineStr">
        <is>
          <t>Roberto Alfaro</t>
        </is>
      </c>
      <c r="J897" t="inlineStr">
        <is>
          <t>2221-4580</t>
        </is>
      </c>
      <c r="K897" t="inlineStr">
        <is>
          <t>Daniela Orellana</t>
        </is>
      </c>
      <c r="L897" t="inlineStr">
        <is>
          <t>Edwin Alvarado García</t>
        </is>
      </c>
      <c r="M897" t="inlineStr">
        <is>
          <t>03264621-6</t>
        </is>
      </c>
      <c r="N897" t="inlineStr">
        <is>
          <t>2560-1229</t>
        </is>
      </c>
      <c r="O897" t="inlineStr">
        <is>
          <t>Consumidor final</t>
        </is>
      </c>
      <c r="P897" t="inlineStr">
        <is>
          <t>AZU-001</t>
        </is>
      </c>
      <c r="Q897" t="inlineStr">
        <is>
          <t>Azúcar blanca 2.5kg</t>
        </is>
      </c>
      <c r="R897" t="inlineStr">
        <is>
          <t>Abarrotes</t>
        </is>
      </c>
      <c r="S897" t="inlineStr">
        <is>
          <t>Granos del Pacífico</t>
        </is>
      </c>
      <c r="T897" t="inlineStr">
        <is>
          <t>2234-8890</t>
        </is>
      </c>
      <c r="U897" t="n">
        <v>3.1</v>
      </c>
      <c r="V897" t="n">
        <v>12</v>
      </c>
      <c r="W897" t="n">
        <v>0</v>
      </c>
      <c r="X897">
        <f>IFERROR(U897*V897*(1-W897/100),"")</f>
        <v/>
      </c>
      <c r="Y897">
        <f>IFERROR(ROUND(X897*0.13,2),"")</f>
        <v/>
      </c>
      <c r="Z897">
        <f>IFERROR(X897+Y897,"")</f>
        <v/>
      </c>
      <c r="AA897" t="inlineStr">
        <is>
          <t>Chivo</t>
        </is>
      </c>
      <c r="AB897" t="inlineStr"/>
    </row>
    <row r="898">
      <c r="A898" t="inlineStr">
        <is>
          <t>F-11164</t>
        </is>
      </c>
      <c r="B898" t="inlineStr">
        <is>
          <t>2026-08-01</t>
        </is>
      </c>
      <c r="C898" t="inlineStr">
        <is>
          <t>FCF</t>
        </is>
      </c>
      <c r="D898" t="inlineStr">
        <is>
          <t>SS01</t>
        </is>
      </c>
      <c r="E898" t="inlineStr">
        <is>
          <t>S.S. Centro</t>
        </is>
      </c>
      <c r="F898" t="inlineStr">
        <is>
          <t>4a Calle Poniente #215</t>
        </is>
      </c>
      <c r="G898" t="inlineStr">
        <is>
          <t>San Salvador</t>
        </is>
      </c>
      <c r="H898" t="inlineStr">
        <is>
          <t>San Salvador</t>
        </is>
      </c>
      <c r="I898" t="inlineStr">
        <is>
          <t>Roberto Alfaro</t>
        </is>
      </c>
      <c r="J898" t="inlineStr">
        <is>
          <t>2221-4580</t>
        </is>
      </c>
      <c r="K898" t="inlineStr">
        <is>
          <t>Daniela Orellana</t>
        </is>
      </c>
      <c r="L898" t="inlineStr">
        <is>
          <t>Carlos García Cornejo</t>
        </is>
      </c>
      <c r="M898" t="inlineStr">
        <is>
          <t>09671747-5</t>
        </is>
      </c>
      <c r="N898" t="inlineStr">
        <is>
          <t>6898-8471</t>
        </is>
      </c>
      <c r="O898" t="inlineStr">
        <is>
          <t>Consumidor final</t>
        </is>
      </c>
      <c r="P898" t="inlineStr">
        <is>
          <t>BEB-002</t>
        </is>
      </c>
      <c r="Q898" t="inlineStr">
        <is>
          <t>Agua purificada 1 galón</t>
        </is>
      </c>
      <c r="R898" t="inlineStr">
        <is>
          <t>Bebidas</t>
        </is>
      </c>
      <c r="S898" t="inlineStr">
        <is>
          <t>Bebidas Izalco</t>
        </is>
      </c>
      <c r="T898" t="inlineStr">
        <is>
          <t>2450-7700</t>
        </is>
      </c>
      <c r="U898" t="n">
        <v>1.1</v>
      </c>
      <c r="V898" t="n">
        <v>1</v>
      </c>
      <c r="W898" t="n">
        <v>0</v>
      </c>
      <c r="X898">
        <f>IFERROR(U898*V898*(1-W898/100),"")</f>
        <v/>
      </c>
      <c r="Y898">
        <f>IFERROR(ROUND(X898*0.13,2),"")</f>
        <v/>
      </c>
      <c r="Z898">
        <f>IFERROR(X898+Y898,"")</f>
        <v/>
      </c>
      <c r="AA898" t="inlineStr">
        <is>
          <t>Bitcoin</t>
        </is>
      </c>
      <c r="AB898" t="inlineStr">
        <is>
          <t>Cliente frecuente</t>
        </is>
      </c>
    </row>
    <row r="899">
      <c r="A899" t="inlineStr">
        <is>
          <t>F-11164</t>
        </is>
      </c>
      <c r="B899" s="3" t="n">
        <v>46235</v>
      </c>
      <c r="C899" t="inlineStr">
        <is>
          <t>FCF</t>
        </is>
      </c>
      <c r="D899" t="inlineStr">
        <is>
          <t>SS01</t>
        </is>
      </c>
      <c r="E899" t="inlineStr">
        <is>
          <t>San Salvador Centro</t>
        </is>
      </c>
      <c r="F899" t="inlineStr">
        <is>
          <t>4a Calle Poniente #215</t>
        </is>
      </c>
      <c r="G899" t="inlineStr">
        <is>
          <t>San Salvador</t>
        </is>
      </c>
      <c r="H899" t="inlineStr">
        <is>
          <t>San Salvador</t>
        </is>
      </c>
      <c r="I899" t="inlineStr">
        <is>
          <t>Roberto Alfaro</t>
        </is>
      </c>
      <c r="J899" t="inlineStr">
        <is>
          <t>2221-4580</t>
        </is>
      </c>
      <c r="K899" t="inlineStr">
        <is>
          <t>Daniela Orellana</t>
        </is>
      </c>
      <c r="L899" t="inlineStr">
        <is>
          <t>Carlos García Cornejo</t>
        </is>
      </c>
      <c r="M899" t="inlineStr">
        <is>
          <t>09671747-5</t>
        </is>
      </c>
      <c r="N899" t="inlineStr">
        <is>
          <t>6898-8471</t>
        </is>
      </c>
      <c r="O899" t="inlineStr">
        <is>
          <t>Consumidor final</t>
        </is>
      </c>
      <c r="P899" t="inlineStr">
        <is>
          <t>BEB-001</t>
        </is>
      </c>
      <c r="Q899" t="inlineStr">
        <is>
          <t>Gaseosa 2.5L</t>
        </is>
      </c>
      <c r="R899" t="inlineStr">
        <is>
          <t>Bebidas</t>
        </is>
      </c>
      <c r="S899" t="inlineStr">
        <is>
          <t>Bebidas Izalco</t>
        </is>
      </c>
      <c r="T899" t="inlineStr">
        <is>
          <t>2450-7700</t>
        </is>
      </c>
      <c r="U899" t="inlineStr">
        <is>
          <t>$1.95</t>
        </is>
      </c>
      <c r="V899" t="n">
        <v>2</v>
      </c>
      <c r="W899" t="n">
        <v>0</v>
      </c>
      <c r="X899">
        <f>IFERROR(U899*V899*(1-W899/100),"")</f>
        <v/>
      </c>
      <c r="Y899">
        <f>IFERROR(ROUND(X899*0.13,2),"")</f>
        <v/>
      </c>
      <c r="Z899">
        <f>IFERROR(X899+Y899,"")</f>
        <v/>
      </c>
      <c r="AA899" t="inlineStr">
        <is>
          <t>Bitcoin</t>
        </is>
      </c>
      <c r="AB899" t="inlineStr">
        <is>
          <t>pagó con billete de $100</t>
        </is>
      </c>
    </row>
    <row r="900">
      <c r="A900" t="inlineStr">
        <is>
          <t>F-11167</t>
        </is>
      </c>
      <c r="B900" s="3" t="n">
        <v>46218</v>
      </c>
      <c r="C900" t="inlineStr">
        <is>
          <t>Factura</t>
        </is>
      </c>
      <c r="D900" t="inlineStr">
        <is>
          <t>SS02</t>
        </is>
      </c>
      <c r="E900" t="inlineStr">
        <is>
          <t>ESCALON</t>
        </is>
      </c>
      <c r="F900" t="inlineStr">
        <is>
          <t>Paseo General Escalón #3910</t>
        </is>
      </c>
      <c r="G900" t="inlineStr">
        <is>
          <t>San Salvador</t>
        </is>
      </c>
      <c r="H900" t="inlineStr">
        <is>
          <t>San Salvador</t>
        </is>
      </c>
      <c r="I900" t="inlineStr">
        <is>
          <t>Claudia Menjívar</t>
        </is>
      </c>
      <c r="J900" t="inlineStr">
        <is>
          <t>2264-1190</t>
        </is>
      </c>
      <c r="K900" t="inlineStr">
        <is>
          <t>Kevin Benítez</t>
        </is>
      </c>
      <c r="L900" t="inlineStr">
        <is>
          <t>René Sorto Quintanilla</t>
        </is>
      </c>
      <c r="M900" t="inlineStr">
        <is>
          <t>06328066-3</t>
        </is>
      </c>
      <c r="N900" t="inlineStr">
        <is>
          <t>6778-4597</t>
        </is>
      </c>
      <c r="O900" t="inlineStr">
        <is>
          <t>Consumidor final</t>
        </is>
      </c>
      <c r="P900" t="inlineStr">
        <is>
          <t>HAR-001</t>
        </is>
      </c>
      <c r="Q900" t="inlineStr">
        <is>
          <t>Harina de maíz 2lb</t>
        </is>
      </c>
      <c r="R900" t="inlineStr">
        <is>
          <t>Abarrotes</t>
        </is>
      </c>
      <c r="S900" t="inlineStr">
        <is>
          <t>Granos del Pacífico</t>
        </is>
      </c>
      <c r="T900" t="inlineStr">
        <is>
          <t>2234-8890</t>
        </is>
      </c>
      <c r="U900" t="n">
        <v>1.35</v>
      </c>
      <c r="V900" t="n">
        <v>1</v>
      </c>
      <c r="W900" t="n">
        <v>0</v>
      </c>
      <c r="X900">
        <f>IFERROR(U900*V900*(1-W900/100),"")</f>
        <v/>
      </c>
      <c r="Y900">
        <f>IFERROR(ROUND(X900*0.13,2),"")</f>
        <v/>
      </c>
      <c r="Z900">
        <f>IFERROR(X900+Y900,"")</f>
        <v/>
      </c>
      <c r="AA900" t="inlineStr">
        <is>
          <t>TARJETA</t>
        </is>
      </c>
      <c r="AB900" t="inlineStr"/>
    </row>
    <row r="901">
      <c r="A901" t="inlineStr">
        <is>
          <t>F-11167</t>
        </is>
      </c>
      <c r="B901" s="3" t="n">
        <v>46218</v>
      </c>
      <c r="C901" t="inlineStr">
        <is>
          <t>Factura</t>
        </is>
      </c>
      <c r="D901" t="inlineStr">
        <is>
          <t>SS02</t>
        </is>
      </c>
      <c r="E901" t="inlineStr">
        <is>
          <t>ESCALON</t>
        </is>
      </c>
      <c r="F901" t="inlineStr">
        <is>
          <t>Paseo General Escalón #3910</t>
        </is>
      </c>
      <c r="G901" t="inlineStr">
        <is>
          <t>San Salvador</t>
        </is>
      </c>
      <c r="H901" t="inlineStr">
        <is>
          <t>San Salvador</t>
        </is>
      </c>
      <c r="I901" t="inlineStr">
        <is>
          <t>Claudia Menjívar</t>
        </is>
      </c>
      <c r="J901" t="inlineStr">
        <is>
          <t>2264-1190</t>
        </is>
      </c>
      <c r="K901" t="inlineStr">
        <is>
          <t>Kevin Benítez</t>
        </is>
      </c>
      <c r="L901" t="inlineStr">
        <is>
          <t>René Sorto Quintanilla</t>
        </is>
      </c>
      <c r="M901" t="inlineStr"/>
      <c r="N901" t="inlineStr">
        <is>
          <t>6778-4597</t>
        </is>
      </c>
      <c r="O901" t="inlineStr">
        <is>
          <t>Consumidor final</t>
        </is>
      </c>
      <c r="P901" t="inlineStr">
        <is>
          <t>LAC-003</t>
        </is>
      </c>
      <c r="Q901" t="inlineStr">
        <is>
          <t>Leche entera 1L</t>
        </is>
      </c>
      <c r="R901" t="inlineStr">
        <is>
          <t>Lácteos</t>
        </is>
      </c>
      <c r="S901" t="inlineStr">
        <is>
          <t>Lácteos Chalate</t>
        </is>
      </c>
      <c r="T901" t="inlineStr">
        <is>
          <t>2335-1020</t>
        </is>
      </c>
      <c r="U901" t="n">
        <v>1.2</v>
      </c>
      <c r="V901" t="n">
        <v>4</v>
      </c>
      <c r="W901" t="n">
        <v>0</v>
      </c>
      <c r="X901">
        <f>IFERROR(U901*V901*(1-W901/100),"")</f>
        <v/>
      </c>
      <c r="Y901">
        <f>IFERROR(ROUND(X901*0.13,2),"")</f>
        <v/>
      </c>
      <c r="Z901">
        <f>IFERROR(X901+Y901,"")</f>
        <v/>
      </c>
      <c r="AA901" t="inlineStr">
        <is>
          <t>TARJETA</t>
        </is>
      </c>
      <c r="AB901" t="inlineStr">
        <is>
          <t>Llamar al 7788-1234 antes de entregar</t>
        </is>
      </c>
    </row>
    <row r="902">
      <c r="A902" t="inlineStr">
        <is>
          <t>F-11168</t>
        </is>
      </c>
      <c r="B902" s="3" t="n">
        <v>46259</v>
      </c>
      <c r="C902" t="inlineStr">
        <is>
          <t>factura</t>
        </is>
      </c>
      <c r="D902" t="inlineStr">
        <is>
          <t>SS02</t>
        </is>
      </c>
      <c r="E902" t="inlineStr">
        <is>
          <t>Escalón</t>
        </is>
      </c>
      <c r="F902" t="inlineStr">
        <is>
          <t>Paseo General Escalón #3910</t>
        </is>
      </c>
      <c r="G902" t="inlineStr">
        <is>
          <t>San Salvador</t>
        </is>
      </c>
      <c r="H902" t="inlineStr">
        <is>
          <t>San Salvador</t>
        </is>
      </c>
      <c r="I902" t="inlineStr">
        <is>
          <t>Claudia Menjívar</t>
        </is>
      </c>
      <c r="J902" t="inlineStr">
        <is>
          <t>2264-1190</t>
        </is>
      </c>
      <c r="K902" t="inlineStr">
        <is>
          <t>Kevin Benítez</t>
        </is>
      </c>
      <c r="L902" t="inlineStr">
        <is>
          <t>Sandra Sorto López</t>
        </is>
      </c>
      <c r="M902" t="inlineStr">
        <is>
          <t>00961529-1</t>
        </is>
      </c>
      <c r="N902" t="inlineStr">
        <is>
          <t>2123-6077</t>
        </is>
      </c>
      <c r="O902" t="inlineStr">
        <is>
          <t>Consumidor final</t>
        </is>
      </c>
      <c r="P902" t="inlineStr">
        <is>
          <t>HAR-001</t>
        </is>
      </c>
      <c r="Q902" t="inlineStr">
        <is>
          <t>Harina de maíz 2lb</t>
        </is>
      </c>
      <c r="R902" t="inlineStr">
        <is>
          <t>Abarrotes</t>
        </is>
      </c>
      <c r="S902" t="inlineStr">
        <is>
          <t>Granos del Pacífico</t>
        </is>
      </c>
      <c r="T902" t="inlineStr">
        <is>
          <t>2234-8890</t>
        </is>
      </c>
      <c r="U902" t="n">
        <v>1.35</v>
      </c>
      <c r="V902" t="n">
        <v>2</v>
      </c>
      <c r="W902" t="n">
        <v>0</v>
      </c>
      <c r="X902">
        <f>IFERROR(U902*V902*(1-W902/100),"")</f>
        <v/>
      </c>
      <c r="Y902">
        <f>IFERROR(ROUND(X902*0.13,2),"")</f>
        <v/>
      </c>
      <c r="Z902">
        <f>IFERROR(X902+Y902,"")</f>
        <v/>
      </c>
      <c r="AA902" t="inlineStr">
        <is>
          <t>Tarjeta</t>
        </is>
      </c>
      <c r="AB902" t="inlineStr">
        <is>
          <t>pagó con billete de $100</t>
        </is>
      </c>
    </row>
    <row r="903">
      <c r="A903" t="inlineStr">
        <is>
          <t>F-11168</t>
        </is>
      </c>
      <c r="B903" s="3" t="n">
        <v>46259</v>
      </c>
      <c r="C903" t="inlineStr">
        <is>
          <t>factura</t>
        </is>
      </c>
      <c r="D903" t="inlineStr">
        <is>
          <t>SS02</t>
        </is>
      </c>
      <c r="E903" t="inlineStr">
        <is>
          <t>Col. Escalón</t>
        </is>
      </c>
      <c r="F903" t="inlineStr">
        <is>
          <t>Paseo General Escalón #3910</t>
        </is>
      </c>
      <c r="G903" t="inlineStr">
        <is>
          <t>San Salvador</t>
        </is>
      </c>
      <c r="H903" t="inlineStr">
        <is>
          <t>San Salvador</t>
        </is>
      </c>
      <c r="I903" t="inlineStr">
        <is>
          <t>Claudia Menjívar</t>
        </is>
      </c>
      <c r="J903" t="inlineStr">
        <is>
          <t>2264-1190</t>
        </is>
      </c>
      <c r="K903" t="inlineStr">
        <is>
          <t>Kevin Benítez</t>
        </is>
      </c>
      <c r="L903" t="inlineStr">
        <is>
          <t>Sandra Sorto López</t>
        </is>
      </c>
      <c r="M903" t="inlineStr">
        <is>
          <t>00961529-1</t>
        </is>
      </c>
      <c r="N903" t="inlineStr">
        <is>
          <t>2123-6077</t>
        </is>
      </c>
      <c r="O903" t="inlineStr">
        <is>
          <t>Consumidor final</t>
        </is>
      </c>
      <c r="P903" t="inlineStr">
        <is>
          <t>LAC-003</t>
        </is>
      </c>
      <c r="Q903" t="inlineStr">
        <is>
          <t>Leche entera 1L</t>
        </is>
      </c>
      <c r="R903" t="inlineStr">
        <is>
          <t>Lácteos</t>
        </is>
      </c>
      <c r="S903" t="inlineStr">
        <is>
          <t>Lácteos Chalate</t>
        </is>
      </c>
      <c r="T903" t="inlineStr">
        <is>
          <t>2335-1020</t>
        </is>
      </c>
      <c r="U903" t="n">
        <v>1.2</v>
      </c>
      <c r="V903" t="n">
        <v>2</v>
      </c>
      <c r="W903" t="n">
        <v>0</v>
      </c>
      <c r="X903">
        <f>IFERROR(U903*V903*(1-W903/100),"")</f>
        <v/>
      </c>
      <c r="Y903">
        <f>IFERROR(ROUND(X903*0.13,2),"")</f>
        <v/>
      </c>
      <c r="Z903">
        <f>IFERROR(X903+Y903,"")</f>
        <v/>
      </c>
      <c r="AA903" t="inlineStr">
        <is>
          <t>Tarjeta</t>
        </is>
      </c>
      <c r="AB903" t="inlineStr">
        <is>
          <t>precio especial autorizado por gerente</t>
        </is>
      </c>
    </row>
    <row r="904">
      <c r="A904" t="inlineStr">
        <is>
          <t>F-11168</t>
        </is>
      </c>
      <c r="B904" s="3" t="n">
        <v>46259</v>
      </c>
      <c r="C904" t="inlineStr">
        <is>
          <t>factura</t>
        </is>
      </c>
      <c r="D904" t="inlineStr">
        <is>
          <t>SS02</t>
        </is>
      </c>
      <c r="E904" t="inlineStr">
        <is>
          <t>ESCALON</t>
        </is>
      </c>
      <c r="F904" t="inlineStr">
        <is>
          <t>Paseo General Escalón #3910</t>
        </is>
      </c>
      <c r="G904" t="inlineStr">
        <is>
          <t>San Salvador</t>
        </is>
      </c>
      <c r="H904" t="inlineStr">
        <is>
          <t>San Salvador</t>
        </is>
      </c>
      <c r="I904" t="inlineStr">
        <is>
          <t>Claudia Menjívar</t>
        </is>
      </c>
      <c r="J904" t="inlineStr">
        <is>
          <t>2264-1190</t>
        </is>
      </c>
      <c r="K904" t="inlineStr">
        <is>
          <t>Kevin Benítez</t>
        </is>
      </c>
      <c r="L904" t="inlineStr">
        <is>
          <t>Sandra Sorto López</t>
        </is>
      </c>
      <c r="M904" t="inlineStr">
        <is>
          <t>00961529-1</t>
        </is>
      </c>
      <c r="N904" t="inlineStr">
        <is>
          <t>2123-6077</t>
        </is>
      </c>
      <c r="O904" t="inlineStr">
        <is>
          <t>Consumidor final</t>
        </is>
      </c>
      <c r="P904" t="inlineStr">
        <is>
          <t>FRI-001</t>
        </is>
      </c>
      <c r="Q904" t="inlineStr">
        <is>
          <t>Frijol rojo de seda 2lb</t>
        </is>
      </c>
      <c r="R904" t="inlineStr">
        <is>
          <t>Abarrotes</t>
        </is>
      </c>
      <c r="S904" t="inlineStr">
        <is>
          <t>Granos del Pacífico</t>
        </is>
      </c>
      <c r="T904" t="inlineStr">
        <is>
          <t>2234-8890</t>
        </is>
      </c>
      <c r="U904" t="n">
        <v>2.4</v>
      </c>
      <c r="V904" t="n">
        <v>12</v>
      </c>
      <c r="W904" t="n">
        <v>0</v>
      </c>
      <c r="X904">
        <f>IFERROR(U904*V904*(1-W904/100),"")</f>
        <v/>
      </c>
      <c r="Y904">
        <f>IFERROR(ROUND(X904*0.13,2),"")</f>
        <v/>
      </c>
      <c r="Z904">
        <f>IFERROR(X904+Y904,"")</f>
        <v/>
      </c>
      <c r="AA904" t="inlineStr">
        <is>
          <t>Tarjeta</t>
        </is>
      </c>
      <c r="AB904" t="inlineStr">
        <is>
          <t>Cliente frecuente</t>
        </is>
      </c>
    </row>
    <row r="905">
      <c r="A905" t="inlineStr">
        <is>
          <t>F-11170</t>
        </is>
      </c>
      <c r="B905" s="3" t="n">
        <v>46270</v>
      </c>
      <c r="C905" t="inlineStr">
        <is>
          <t>CCF</t>
        </is>
      </c>
      <c r="D905" t="inlineStr">
        <is>
          <t>SO01</t>
        </is>
      </c>
      <c r="E905" t="inlineStr">
        <is>
          <t>Sonsonate</t>
        </is>
      </c>
      <c r="F905" t="inlineStr">
        <is>
          <t>Calle Obispo Marroquín #3</t>
        </is>
      </c>
      <c r="G905" t="inlineStr">
        <is>
          <t>Sonsonate</t>
        </is>
      </c>
      <c r="H905" t="inlineStr">
        <is>
          <t>Sonsonate</t>
        </is>
      </c>
      <c r="I905" t="inlineStr">
        <is>
          <t>Ernesto Chávez</t>
        </is>
      </c>
      <c r="J905" t="inlineStr">
        <is>
          <t>2451-2288</t>
        </is>
      </c>
      <c r="K905" t="inlineStr">
        <is>
          <t>Ricardo Funes</t>
        </is>
      </c>
      <c r="L905" t="inlineStr">
        <is>
          <t>Restaurante El Guanaco</t>
        </is>
      </c>
      <c r="M905" t="inlineStr">
        <is>
          <t>168675-3</t>
        </is>
      </c>
      <c r="N905" t="inlineStr">
        <is>
          <t>6165-7029</t>
        </is>
      </c>
      <c r="O905" t="inlineStr">
        <is>
          <t>Contribuyente</t>
        </is>
      </c>
      <c r="P905" t="inlineStr">
        <is>
          <t>CAF-001</t>
        </is>
      </c>
      <c r="Q905" t="inlineStr">
        <is>
          <t>Café molido 400g</t>
        </is>
      </c>
      <c r="R905" t="inlineStr">
        <is>
          <t>ABARROTES</t>
        </is>
      </c>
      <c r="S905" t="inlineStr">
        <is>
          <t>Café Volcán S.A.</t>
        </is>
      </c>
      <c r="T905" t="inlineStr">
        <is>
          <t>2510-3344</t>
        </is>
      </c>
      <c r="U905" t="n">
        <v>4.25</v>
      </c>
      <c r="V905" t="n">
        <v>4</v>
      </c>
      <c r="W905" t="n">
        <v>0</v>
      </c>
      <c r="X905">
        <f>IFERROR(U905*V905*(1-W905/100),"")</f>
        <v/>
      </c>
      <c r="Y905">
        <f>IFERROR(ROUND(X905*0.13,2),"")</f>
        <v/>
      </c>
      <c r="Z905">
        <f>IFERROR(X905+Y905,"")</f>
        <v/>
      </c>
      <c r="AA905" t="inlineStr">
        <is>
          <t>Transferencia</t>
        </is>
      </c>
      <c r="AB905" t="inlineStr"/>
    </row>
    <row r="906">
      <c r="A906" t="inlineStr">
        <is>
          <t>F-11173</t>
        </is>
      </c>
      <c r="B906" s="3" t="n">
        <v>46254</v>
      </c>
      <c r="C906" t="inlineStr">
        <is>
          <t>CCF</t>
        </is>
      </c>
      <c r="D906" t="inlineStr">
        <is>
          <t>SS02</t>
        </is>
      </c>
      <c r="E906" t="inlineStr">
        <is>
          <t>Col. Escalón</t>
        </is>
      </c>
      <c r="F906" t="inlineStr">
        <is>
          <t>Paseo General Escalón #3910</t>
        </is>
      </c>
      <c r="G906" t="inlineStr">
        <is>
          <t>San Salvador</t>
        </is>
      </c>
      <c r="H906" t="inlineStr">
        <is>
          <t>San Salvador</t>
        </is>
      </c>
      <c r="I906" t="inlineStr">
        <is>
          <t>Claudia Menjívar</t>
        </is>
      </c>
      <c r="J906" t="inlineStr">
        <is>
          <t>2264-1190</t>
        </is>
      </c>
      <c r="K906" t="inlineStr">
        <is>
          <t>Kevin Benítez</t>
        </is>
      </c>
      <c r="L906" t="inlineStr">
        <is>
          <t>Pupusería El Comal</t>
        </is>
      </c>
      <c r="M906" t="inlineStr">
        <is>
          <t>261664-6</t>
        </is>
      </c>
      <c r="N906" t="inlineStr">
        <is>
          <t>6293-1154</t>
        </is>
      </c>
      <c r="O906" t="inlineStr">
        <is>
          <t>Contribuyente</t>
        </is>
      </c>
      <c r="P906" t="inlineStr">
        <is>
          <t>AZU-001</t>
        </is>
      </c>
      <c r="Q906" t="inlineStr">
        <is>
          <t>Azúcar blanca 2.5kg</t>
        </is>
      </c>
      <c r="R906" t="inlineStr">
        <is>
          <t>Abarrotes</t>
        </is>
      </c>
      <c r="S906" t="inlineStr">
        <is>
          <t>Granos del Pacífico</t>
        </is>
      </c>
      <c r="T906" t="inlineStr">
        <is>
          <t>2234-8890</t>
        </is>
      </c>
      <c r="U906" t="inlineStr">
        <is>
          <t>$3.10</t>
        </is>
      </c>
      <c r="V906" t="n">
        <v>1</v>
      </c>
      <c r="W906" t="n">
        <v>10</v>
      </c>
      <c r="X906">
        <f>IFERROR(U906*V906*(1-W906/100),"")</f>
        <v/>
      </c>
      <c r="Y906">
        <f>IFERROR(ROUND(X906*0.13,2),"")</f>
        <v/>
      </c>
      <c r="Z906">
        <f>IFERROR(X906+Y906,"")</f>
        <v/>
      </c>
      <c r="AA906" t="inlineStr">
        <is>
          <t>Efectivo</t>
        </is>
      </c>
      <c r="AB906" t="inlineStr">
        <is>
          <t>entregar en bodega</t>
        </is>
      </c>
    </row>
    <row r="907">
      <c r="A907" t="inlineStr">
        <is>
          <t>F-11173</t>
        </is>
      </c>
      <c r="B907" s="3" t="n">
        <v>46254</v>
      </c>
      <c r="C907" t="inlineStr">
        <is>
          <t>CCF</t>
        </is>
      </c>
      <c r="D907" t="inlineStr">
        <is>
          <t>SS02</t>
        </is>
      </c>
      <c r="E907" t="inlineStr">
        <is>
          <t>ESCALON</t>
        </is>
      </c>
      <c r="F907" t="inlineStr">
        <is>
          <t>Paseo General Escalón #3910</t>
        </is>
      </c>
      <c r="G907" t="inlineStr">
        <is>
          <t>San Salvador</t>
        </is>
      </c>
      <c r="H907" t="inlineStr">
        <is>
          <t>San Salvador</t>
        </is>
      </c>
      <c r="I907" t="inlineStr">
        <is>
          <t>Claudia Menjívar</t>
        </is>
      </c>
      <c r="J907" t="inlineStr">
        <is>
          <t>2264-1190</t>
        </is>
      </c>
      <c r="K907" t="inlineStr">
        <is>
          <t>Kevin Benítez</t>
        </is>
      </c>
      <c r="L907" t="inlineStr">
        <is>
          <t>Pupusería El Comal</t>
        </is>
      </c>
      <c r="M907" t="inlineStr">
        <is>
          <t>261664-6</t>
        </is>
      </c>
      <c r="N907" t="inlineStr">
        <is>
          <t>6293-1154</t>
        </is>
      </c>
      <c r="O907" t="inlineStr">
        <is>
          <t>Contribuyente</t>
        </is>
      </c>
      <c r="P907" t="inlineStr">
        <is>
          <t>BEB-001</t>
        </is>
      </c>
      <c r="Q907" t="inlineStr">
        <is>
          <t>Gaseosa 2.5L</t>
        </is>
      </c>
      <c r="R907" t="inlineStr">
        <is>
          <t>Bebidas</t>
        </is>
      </c>
      <c r="S907" t="inlineStr">
        <is>
          <t>Bebidas Izalco</t>
        </is>
      </c>
      <c r="T907" t="inlineStr">
        <is>
          <t>2450-7700</t>
        </is>
      </c>
      <c r="U907" t="n">
        <v>1.95</v>
      </c>
      <c r="V907" t="n">
        <v>1</v>
      </c>
      <c r="W907" t="n">
        <v>5</v>
      </c>
      <c r="X907">
        <f>IFERROR(U907*V907*(1-W907/100),"")</f>
        <v/>
      </c>
      <c r="Y907">
        <f>IFERROR(ROUND(X907*0.13,2),"")</f>
        <v/>
      </c>
      <c r="Z907">
        <f>IFERROR(X907+Y907,"")</f>
        <v/>
      </c>
      <c r="AA907" t="inlineStr">
        <is>
          <t>Efectivo</t>
        </is>
      </c>
      <c r="AB907" t="inlineStr"/>
    </row>
    <row r="908">
      <c r="A908" t="inlineStr">
        <is>
          <t>F-11173</t>
        </is>
      </c>
      <c r="B908" s="3" t="n">
        <v>46254</v>
      </c>
      <c r="C908" t="inlineStr">
        <is>
          <t>CCF</t>
        </is>
      </c>
      <c r="D908" t="inlineStr">
        <is>
          <t>SS02</t>
        </is>
      </c>
      <c r="E908" t="inlineStr">
        <is>
          <t>Escalón</t>
        </is>
      </c>
      <c r="F908" t="inlineStr">
        <is>
          <t>Paseo General Escalón #3910</t>
        </is>
      </c>
      <c r="G908" t="inlineStr">
        <is>
          <t>San Salvador</t>
        </is>
      </c>
      <c r="H908" t="inlineStr">
        <is>
          <t>San Salvador</t>
        </is>
      </c>
      <c r="I908" t="inlineStr">
        <is>
          <t>Claudia Menjívar</t>
        </is>
      </c>
      <c r="J908" t="inlineStr">
        <is>
          <t>2264-1190</t>
        </is>
      </c>
      <c r="K908" t="inlineStr">
        <is>
          <t>Kevin Benítez</t>
        </is>
      </c>
      <c r="L908" t="inlineStr">
        <is>
          <t>Pupusería El Comal</t>
        </is>
      </c>
      <c r="M908" t="inlineStr">
        <is>
          <t>261664-6</t>
        </is>
      </c>
      <c r="N908" t="inlineStr">
        <is>
          <t>6293-1154</t>
        </is>
      </c>
      <c r="O908" t="inlineStr">
        <is>
          <t>Contribuyente</t>
        </is>
      </c>
      <c r="P908" t="inlineStr">
        <is>
          <t>PAN-003</t>
        </is>
      </c>
      <c r="Q908" t="inlineStr">
        <is>
          <t>Quesadilla salvadoreña</t>
        </is>
      </c>
      <c r="R908" t="inlineStr">
        <is>
          <t>PANADERIA</t>
        </is>
      </c>
      <c r="S908" t="inlineStr">
        <is>
          <t>Panificadora Ilopango</t>
        </is>
      </c>
      <c r="T908" t="inlineStr">
        <is>
          <t>2295-0081</t>
        </is>
      </c>
      <c r="U908" t="n">
        <v>2.5</v>
      </c>
      <c r="V908" t="n">
        <v>2</v>
      </c>
      <c r="W908" t="n">
        <v>5</v>
      </c>
      <c r="X908">
        <f>IFERROR(U908*V908*(1-W908/100),"")</f>
        <v/>
      </c>
      <c r="Y908">
        <f>IFERROR(ROUND(X908*0.13,2),"")</f>
        <v/>
      </c>
      <c r="Z908">
        <f>IFERROR(X908+Y908,"")</f>
        <v/>
      </c>
      <c r="AA908" t="inlineStr">
        <is>
          <t>Efectivo</t>
        </is>
      </c>
      <c r="AB908" t="inlineStr"/>
    </row>
    <row r="909">
      <c r="A909" t="inlineStr">
        <is>
          <t>F-11173</t>
        </is>
      </c>
      <c r="B909" t="inlineStr">
        <is>
          <t>20/08/2026</t>
        </is>
      </c>
      <c r="C909" t="inlineStr">
        <is>
          <t>CCF</t>
        </is>
      </c>
      <c r="D909" t="inlineStr">
        <is>
          <t>SS02</t>
        </is>
      </c>
      <c r="E909" t="inlineStr">
        <is>
          <t>Col. Escalón</t>
        </is>
      </c>
      <c r="F909" t="inlineStr">
        <is>
          <t>Paseo General Escalón #3910</t>
        </is>
      </c>
      <c r="G909" t="inlineStr">
        <is>
          <t>San Salvador</t>
        </is>
      </c>
      <c r="H909" t="inlineStr">
        <is>
          <t>San Salvador</t>
        </is>
      </c>
      <c r="I909" t="inlineStr">
        <is>
          <t>Claudia Menjívar</t>
        </is>
      </c>
      <c r="J909" t="inlineStr">
        <is>
          <t>2264-1190</t>
        </is>
      </c>
      <c r="K909" t="inlineStr">
        <is>
          <t>Kevin Benítez</t>
        </is>
      </c>
      <c r="L909" t="inlineStr">
        <is>
          <t>Pupusería El Comal</t>
        </is>
      </c>
      <c r="M909" t="inlineStr">
        <is>
          <t>261664-6</t>
        </is>
      </c>
      <c r="N909" t="inlineStr">
        <is>
          <t>6293-1154</t>
        </is>
      </c>
      <c r="O909" t="inlineStr">
        <is>
          <t>Contribuyente</t>
        </is>
      </c>
      <c r="P909" t="inlineStr">
        <is>
          <t>HAR-001</t>
        </is>
      </c>
      <c r="Q909" t="inlineStr">
        <is>
          <t>Harina de maíz 2lb</t>
        </is>
      </c>
      <c r="R909" t="inlineStr">
        <is>
          <t>Abarrotes</t>
        </is>
      </c>
      <c r="S909" t="inlineStr">
        <is>
          <t>Granos del Pacífico</t>
        </is>
      </c>
      <c r="T909" t="inlineStr">
        <is>
          <t>2234-8890</t>
        </is>
      </c>
      <c r="U909" t="n">
        <v>1.35</v>
      </c>
      <c r="V909" t="n">
        <v>1</v>
      </c>
      <c r="W909" t="n">
        <v>0</v>
      </c>
      <c r="X909">
        <f>IFERROR(U909*V909*(1-W909/100),"")</f>
        <v/>
      </c>
      <c r="Y909">
        <f>IFERROR(ROUND(X909*0.13,2),"")</f>
        <v/>
      </c>
      <c r="Z909">
        <f>IFERROR(X909+Y909,"")</f>
        <v/>
      </c>
      <c r="AA909" t="inlineStr">
        <is>
          <t>Efectivo</t>
        </is>
      </c>
      <c r="AB909" t="inlineStr"/>
    </row>
    <row r="910">
      <c r="A910" t="inlineStr">
        <is>
          <t>F-11175</t>
        </is>
      </c>
      <c r="B910" s="3" t="n">
        <v>46236</v>
      </c>
      <c r="C910" t="inlineStr">
        <is>
          <t>Factura</t>
        </is>
      </c>
      <c r="D910" t="inlineStr">
        <is>
          <t>LL02</t>
        </is>
      </c>
      <c r="E910" t="inlineStr">
        <is>
          <t>Pto. La Libertad</t>
        </is>
      </c>
      <c r="F910" t="inlineStr">
        <is>
          <t>Calle El Malecón, Local 4</t>
        </is>
      </c>
      <c r="G910" t="inlineStr">
        <is>
          <t>La Libertad</t>
        </is>
      </c>
      <c r="H910" t="inlineStr">
        <is>
          <t>La Libertad</t>
        </is>
      </c>
      <c r="I910" t="inlineStr">
        <is>
          <t>Wendy Aguilar</t>
        </is>
      </c>
      <c r="J910" t="inlineStr">
        <is>
          <t>2335-6140</t>
        </is>
      </c>
      <c r="K910" t="inlineStr">
        <is>
          <t>Gabriela Saravia</t>
        </is>
      </c>
      <c r="L910" t="inlineStr">
        <is>
          <t>Rosa Argueta Ramírez</t>
        </is>
      </c>
      <c r="M910" t="inlineStr">
        <is>
          <t>08671348-2</t>
        </is>
      </c>
      <c r="N910" t="inlineStr">
        <is>
          <t>2777-4047</t>
        </is>
      </c>
      <c r="O910" t="inlineStr">
        <is>
          <t>Consumidor final</t>
        </is>
      </c>
      <c r="P910" t="inlineStr">
        <is>
          <t>BEB-003</t>
        </is>
      </c>
      <c r="Q910" t="inlineStr">
        <is>
          <t>Horchata en polvo 400g</t>
        </is>
      </c>
      <c r="R910" t="inlineStr">
        <is>
          <t>Abarrotes</t>
        </is>
      </c>
      <c r="S910" t="inlineStr">
        <is>
          <t>Bebidas Izalco</t>
        </is>
      </c>
      <c r="T910" t="inlineStr">
        <is>
          <t>2450-7700</t>
        </is>
      </c>
      <c r="U910" t="inlineStr">
        <is>
          <t>$2.60</t>
        </is>
      </c>
      <c r="V910" t="n">
        <v>2</v>
      </c>
      <c r="W910" t="n">
        <v>0</v>
      </c>
      <c r="X910">
        <f>IFERROR(U910*V910*(1-W910/100),"")</f>
        <v/>
      </c>
      <c r="Y910">
        <f>IFERROR(ROUND(X910*0.13,2),"")</f>
        <v/>
      </c>
      <c r="Z910">
        <f>IFERROR(X910+Y910,"")</f>
        <v/>
      </c>
      <c r="AA910" t="inlineStr">
        <is>
          <t>Chivo</t>
        </is>
      </c>
      <c r="AB910" t="inlineStr">
        <is>
          <t>pagó con billete de $100</t>
        </is>
      </c>
    </row>
    <row r="911">
      <c r="A911" t="inlineStr">
        <is>
          <t>F-11175</t>
        </is>
      </c>
      <c r="B911" s="3" t="n">
        <v>46236</v>
      </c>
      <c r="C911" t="inlineStr">
        <is>
          <t>Factura</t>
        </is>
      </c>
      <c r="D911" t="inlineStr">
        <is>
          <t>LL02</t>
        </is>
      </c>
      <c r="E911" t="inlineStr">
        <is>
          <t>Puerto de La Libertad</t>
        </is>
      </c>
      <c r="F911" t="inlineStr">
        <is>
          <t>Calle El Malecón, Local 4</t>
        </is>
      </c>
      <c r="G911" t="inlineStr">
        <is>
          <t>La Libertad</t>
        </is>
      </c>
      <c r="H911" t="inlineStr">
        <is>
          <t>La Libertad</t>
        </is>
      </c>
      <c r="I911" t="inlineStr">
        <is>
          <t>Wendy Aguilar</t>
        </is>
      </c>
      <c r="J911" t="inlineStr">
        <is>
          <t>2335-6140</t>
        </is>
      </c>
      <c r="K911" t="inlineStr">
        <is>
          <t>Gabriela Saravia</t>
        </is>
      </c>
      <c r="L911" t="inlineStr">
        <is>
          <t>Rosa Argueta Ramírez</t>
        </is>
      </c>
      <c r="M911" t="inlineStr">
        <is>
          <t>08671348-2</t>
        </is>
      </c>
      <c r="N911" t="inlineStr">
        <is>
          <t>2777-4047</t>
        </is>
      </c>
      <c r="O911" t="inlineStr">
        <is>
          <t>Consumidor final</t>
        </is>
      </c>
      <c r="P911" t="inlineStr">
        <is>
          <t>HIG-002</t>
        </is>
      </c>
      <c r="Q911" t="inlineStr">
        <is>
          <t>Papel higiénico 4 rollos</t>
        </is>
      </c>
      <c r="R911" t="inlineStr">
        <is>
          <t>Limpieza</t>
        </is>
      </c>
      <c r="S911" t="inlineStr">
        <is>
          <t>Higiene Total C.A.</t>
        </is>
      </c>
      <c r="T911" t="inlineStr">
        <is>
          <t>2207-5566</t>
        </is>
      </c>
      <c r="U911" t="inlineStr">
        <is>
          <t>$2.15</t>
        </is>
      </c>
      <c r="V911" t="n">
        <v>4</v>
      </c>
      <c r="W911" t="n">
        <v>0</v>
      </c>
      <c r="X911">
        <f>IFERROR(U911*V911*(1-W911/100),"")</f>
        <v/>
      </c>
      <c r="Y911">
        <f>IFERROR(ROUND(X911*0.13,2),"")</f>
        <v/>
      </c>
      <c r="Z911">
        <f>IFERROR(X911+Y911,"")</f>
        <v/>
      </c>
      <c r="AA911" t="inlineStr">
        <is>
          <t>Chivo</t>
        </is>
      </c>
      <c r="AB911" t="inlineStr">
        <is>
          <t>Cliente frecuente</t>
        </is>
      </c>
    </row>
    <row r="912">
      <c r="A912" t="inlineStr">
        <is>
          <t>F-11175</t>
        </is>
      </c>
      <c r="B912" t="inlineStr">
        <is>
          <t>02/08/2026</t>
        </is>
      </c>
      <c r="C912" t="inlineStr">
        <is>
          <t>Factura</t>
        </is>
      </c>
      <c r="D912" t="inlineStr">
        <is>
          <t>LL02</t>
        </is>
      </c>
      <c r="E912" t="inlineStr">
        <is>
          <t>Pto. La Libertad</t>
        </is>
      </c>
      <c r="F912" t="inlineStr">
        <is>
          <t>Calle El Malecón, Local 4</t>
        </is>
      </c>
      <c r="G912" t="inlineStr">
        <is>
          <t>La Libertad</t>
        </is>
      </c>
      <c r="H912" t="inlineStr">
        <is>
          <t>La Libertad</t>
        </is>
      </c>
      <c r="I912" t="inlineStr">
        <is>
          <t>Wendy Aguilar</t>
        </is>
      </c>
      <c r="J912" t="inlineStr">
        <is>
          <t>2335-6140</t>
        </is>
      </c>
      <c r="K912" t="inlineStr">
        <is>
          <t>Gabriela Saravia</t>
        </is>
      </c>
      <c r="L912" t="inlineStr">
        <is>
          <t>Rosa Argueta Ramírez</t>
        </is>
      </c>
      <c r="M912" t="inlineStr">
        <is>
          <t>08671348-2</t>
        </is>
      </c>
      <c r="N912" t="inlineStr">
        <is>
          <t>2777-4047</t>
        </is>
      </c>
      <c r="O912" t="inlineStr">
        <is>
          <t>Consumidor final</t>
        </is>
      </c>
      <c r="P912" t="inlineStr">
        <is>
          <t>HAR-001</t>
        </is>
      </c>
      <c r="Q912" t="inlineStr">
        <is>
          <t>Harina de maíz 2lb</t>
        </is>
      </c>
      <c r="R912" t="inlineStr">
        <is>
          <t>Abarrotes</t>
        </is>
      </c>
      <c r="S912" t="inlineStr">
        <is>
          <t>Granos del Pacífico</t>
        </is>
      </c>
      <c r="T912" t="inlineStr">
        <is>
          <t>2234-8890</t>
        </is>
      </c>
      <c r="U912" t="n">
        <v>1.35</v>
      </c>
      <c r="V912" t="n">
        <v>1</v>
      </c>
      <c r="W912" t="n">
        <v>0</v>
      </c>
      <c r="X912">
        <f>IFERROR(U912*V912*(1-W912/100),"")</f>
        <v/>
      </c>
      <c r="Y912">
        <f>IFERROR(ROUND(X912*0.13,2),"")</f>
        <v/>
      </c>
      <c r="Z912">
        <f>IFERROR(X912+Y912,"")</f>
        <v/>
      </c>
      <c r="AA912" t="inlineStr">
        <is>
          <t>Chivo</t>
        </is>
      </c>
      <c r="AB912" t="inlineStr">
        <is>
          <t>pagó con billete de $100</t>
        </is>
      </c>
    </row>
    <row r="913">
      <c r="A913" t="inlineStr">
        <is>
          <t>F-11176</t>
        </is>
      </c>
      <c r="B913" s="3" t="n">
        <v>46263</v>
      </c>
      <c r="C913" t="inlineStr">
        <is>
          <t>factura</t>
        </is>
      </c>
      <c r="D913" t="inlineStr">
        <is>
          <t>LL02</t>
        </is>
      </c>
      <c r="E913" t="inlineStr">
        <is>
          <t>La Libertad Puerto</t>
        </is>
      </c>
      <c r="F913" t="inlineStr">
        <is>
          <t>Calle El Malecón, Local 4</t>
        </is>
      </c>
      <c r="G913" t="inlineStr">
        <is>
          <t>La Libertad</t>
        </is>
      </c>
      <c r="H913" t="inlineStr">
        <is>
          <t>La Libertad</t>
        </is>
      </c>
      <c r="I913" t="inlineStr">
        <is>
          <t>Wendy Aguilar</t>
        </is>
      </c>
      <c r="J913" t="inlineStr">
        <is>
          <t>2335-6140</t>
        </is>
      </c>
      <c r="K913" t="inlineStr">
        <is>
          <t>Gabriela Saravia</t>
        </is>
      </c>
      <c r="L913" t="inlineStr">
        <is>
          <t>Xiomara Flores Rivera</t>
        </is>
      </c>
      <c r="M913" t="inlineStr">
        <is>
          <t>09919727-8</t>
        </is>
      </c>
      <c r="N913" t="inlineStr">
        <is>
          <t>2544-6511</t>
        </is>
      </c>
      <c r="O913" t="inlineStr">
        <is>
          <t>Consumidor final</t>
        </is>
      </c>
      <c r="P913" t="inlineStr">
        <is>
          <t>HIG-002</t>
        </is>
      </c>
      <c r="Q913" t="inlineStr">
        <is>
          <t>Papel higiénico 4 rollos</t>
        </is>
      </c>
      <c r="R913" t="inlineStr">
        <is>
          <t>Limpieza</t>
        </is>
      </c>
      <c r="S913" t="inlineStr">
        <is>
          <t>Higiene Total C.A.</t>
        </is>
      </c>
      <c r="T913" t="inlineStr">
        <is>
          <t>2207-5566</t>
        </is>
      </c>
      <c r="U913" t="n">
        <v>2.15</v>
      </c>
      <c r="V913" t="n">
        <v>1</v>
      </c>
      <c r="W913" t="n">
        <v>0</v>
      </c>
      <c r="X913">
        <f>IFERROR(U913*V913*(1-W913/100),"")</f>
        <v/>
      </c>
      <c r="Y913">
        <f>IFERROR(ROUND(X913*0.13,2),"")</f>
        <v/>
      </c>
      <c r="Z913">
        <f>IFERROR(X913+Y913,"")</f>
        <v/>
      </c>
      <c r="AA913" t="inlineStr">
        <is>
          <t>Efectivo</t>
        </is>
      </c>
      <c r="AB913" t="inlineStr">
        <is>
          <t>pagó con billete de $100</t>
        </is>
      </c>
    </row>
    <row r="914">
      <c r="A914" t="inlineStr">
        <is>
          <t>F-11176</t>
        </is>
      </c>
      <c r="B914" s="3" t="n">
        <v>46263</v>
      </c>
      <c r="C914" t="inlineStr">
        <is>
          <t>factura</t>
        </is>
      </c>
      <c r="D914" t="inlineStr">
        <is>
          <t>LL02</t>
        </is>
      </c>
      <c r="E914" t="inlineStr">
        <is>
          <t>Pto. La Libertad</t>
        </is>
      </c>
      <c r="F914" t="inlineStr">
        <is>
          <t>Calle El Malecón, Local 4</t>
        </is>
      </c>
      <c r="G914" t="inlineStr">
        <is>
          <t>La Libertad</t>
        </is>
      </c>
      <c r="H914" t="inlineStr">
        <is>
          <t>La Libertad</t>
        </is>
      </c>
      <c r="I914" t="inlineStr">
        <is>
          <t>Wendy Aguilar</t>
        </is>
      </c>
      <c r="J914" t="inlineStr">
        <is>
          <t>2335-6140</t>
        </is>
      </c>
      <c r="K914" t="inlineStr">
        <is>
          <t>Gabriela Saravia</t>
        </is>
      </c>
      <c r="L914" t="inlineStr">
        <is>
          <t>Xiomara Flores Rivera</t>
        </is>
      </c>
      <c r="M914" t="inlineStr">
        <is>
          <t>09919727-8</t>
        </is>
      </c>
      <c r="N914" t="inlineStr">
        <is>
          <t>2544-6511</t>
        </is>
      </c>
      <c r="O914" t="inlineStr">
        <is>
          <t>Consumidor final</t>
        </is>
      </c>
      <c r="P914" t="inlineStr">
        <is>
          <t>CAF-002</t>
        </is>
      </c>
      <c r="Q914" t="inlineStr">
        <is>
          <t>Café en grano 1lb</t>
        </is>
      </c>
      <c r="R914" t="inlineStr">
        <is>
          <t>Abarrotes</t>
        </is>
      </c>
      <c r="S914" t="inlineStr">
        <is>
          <t>Café Volcán S.A.</t>
        </is>
      </c>
      <c r="T914" t="inlineStr">
        <is>
          <t>2510-3344</t>
        </is>
      </c>
      <c r="U914" t="n">
        <v>6.75</v>
      </c>
      <c r="V914" t="n">
        <v>4</v>
      </c>
      <c r="W914" t="n">
        <v>0</v>
      </c>
      <c r="X914">
        <f>IFERROR(U914*V914*(1-W914/100),"")</f>
        <v/>
      </c>
      <c r="Y914">
        <f>IFERROR(ROUND(X914*0.13,2),"")</f>
        <v/>
      </c>
      <c r="Z914">
        <f>IFERROR(X914+Y914,"")</f>
        <v/>
      </c>
      <c r="AA914" t="inlineStr">
        <is>
          <t>Efectivo</t>
        </is>
      </c>
      <c r="AB914" t="inlineStr"/>
    </row>
    <row r="915">
      <c r="A915" t="inlineStr">
        <is>
          <t>F-11177</t>
        </is>
      </c>
      <c r="B915" s="3" t="n">
        <v>46282</v>
      </c>
      <c r="C915" t="inlineStr">
        <is>
          <t>Factura</t>
        </is>
      </c>
      <c r="D915" t="inlineStr">
        <is>
          <t>SO01</t>
        </is>
      </c>
      <c r="E915" t="inlineStr">
        <is>
          <t>Sonsonate</t>
        </is>
      </c>
      <c r="F915" t="inlineStr">
        <is>
          <t>Calle Obispo Marroquín #3</t>
        </is>
      </c>
      <c r="G915" t="inlineStr">
        <is>
          <t>Sonsonate</t>
        </is>
      </c>
      <c r="H915" t="inlineStr">
        <is>
          <t>Sonsonate</t>
        </is>
      </c>
      <c r="I915" t="inlineStr">
        <is>
          <t>Ernesto Chávez</t>
        </is>
      </c>
      <c r="J915" t="inlineStr">
        <is>
          <t>2451-2288</t>
        </is>
      </c>
      <c r="K915" t="inlineStr">
        <is>
          <t>Ricardo Funes</t>
        </is>
      </c>
      <c r="L915" t="inlineStr">
        <is>
          <t>Douglas Pérez Guevara</t>
        </is>
      </c>
      <c r="M915" t="inlineStr">
        <is>
          <t>09863904-2</t>
        </is>
      </c>
      <c r="N915" t="inlineStr">
        <is>
          <t>7997-9269</t>
        </is>
      </c>
      <c r="O915" t="inlineStr">
        <is>
          <t>Consumidor final</t>
        </is>
      </c>
      <c r="P915" t="inlineStr">
        <is>
          <t>ARR-001</t>
        </is>
      </c>
      <c r="Q915" t="inlineStr">
        <is>
          <t>Arroz blanco 5lb</t>
        </is>
      </c>
      <c r="R915" t="inlineStr">
        <is>
          <t>Abarrotes</t>
        </is>
      </c>
      <c r="S915" t="inlineStr">
        <is>
          <t>Granos del Pacífico</t>
        </is>
      </c>
      <c r="T915" t="inlineStr">
        <is>
          <t>2234-8890</t>
        </is>
      </c>
      <c r="U915" t="inlineStr">
        <is>
          <t>$3.95</t>
        </is>
      </c>
      <c r="V915" t="n">
        <v>12</v>
      </c>
      <c r="W915" t="n">
        <v>0</v>
      </c>
      <c r="X915">
        <f>IFERROR(U915*V915*(1-W915/100),"")</f>
        <v/>
      </c>
      <c r="Y915">
        <f>IFERROR(ROUND(X915*0.13,2),"")</f>
        <v/>
      </c>
      <c r="Z915">
        <f>IFERROR(X915+Y915,"")</f>
        <v/>
      </c>
      <c r="AA915" t="inlineStr">
        <is>
          <t>Tarjeta</t>
        </is>
      </c>
      <c r="AB915" t="inlineStr"/>
    </row>
    <row r="916">
      <c r="A916" t="inlineStr">
        <is>
          <t>F-11177</t>
        </is>
      </c>
      <c r="B916" s="3" t="n">
        <v>46282</v>
      </c>
      <c r="C916" t="inlineStr">
        <is>
          <t>Factura</t>
        </is>
      </c>
      <c r="D916" t="inlineStr">
        <is>
          <t>SO01</t>
        </is>
      </c>
      <c r="E916" t="inlineStr">
        <is>
          <t>Sonsonate</t>
        </is>
      </c>
      <c r="F916" t="inlineStr">
        <is>
          <t>Calle Obispo Marroquín #3</t>
        </is>
      </c>
      <c r="G916" t="inlineStr">
        <is>
          <t>Sonsonate</t>
        </is>
      </c>
      <c r="H916" t="inlineStr">
        <is>
          <t>Sonsonate</t>
        </is>
      </c>
      <c r="I916" t="inlineStr">
        <is>
          <t>Ernesto Chávez</t>
        </is>
      </c>
      <c r="J916" t="inlineStr">
        <is>
          <t>2451-2288</t>
        </is>
      </c>
      <c r="K916" t="inlineStr">
        <is>
          <t>Ricardo Funes</t>
        </is>
      </c>
      <c r="L916" t="inlineStr">
        <is>
          <t>Douglas Pérez Guevara</t>
        </is>
      </c>
      <c r="M916" t="inlineStr">
        <is>
          <t>09863904-2</t>
        </is>
      </c>
      <c r="N916" t="inlineStr">
        <is>
          <t>7997-9269</t>
        </is>
      </c>
      <c r="O916" t="inlineStr">
        <is>
          <t>Consumidor final</t>
        </is>
      </c>
      <c r="P916" t="inlineStr">
        <is>
          <t>BEB-002</t>
        </is>
      </c>
      <c r="Q916" t="inlineStr">
        <is>
          <t>Agua purificada 1 galón</t>
        </is>
      </c>
      <c r="R916" t="inlineStr">
        <is>
          <t>Bebidas</t>
        </is>
      </c>
      <c r="S916" t="inlineStr">
        <is>
          <t>Bebidas Izalco</t>
        </is>
      </c>
      <c r="T916" t="inlineStr">
        <is>
          <t>2450-7700</t>
        </is>
      </c>
      <c r="U916" t="n">
        <v>1.1</v>
      </c>
      <c r="V916" t="n">
        <v>1</v>
      </c>
      <c r="W916" t="n">
        <v>0</v>
      </c>
      <c r="X916">
        <f>IFERROR(U916*V916*(1-W916/100),"")</f>
        <v/>
      </c>
      <c r="Y916">
        <f>IFERROR(ROUND(X916*0.13,2),"")</f>
        <v/>
      </c>
      <c r="Z916">
        <f>IFERROR(X916+Y916,"")</f>
        <v/>
      </c>
      <c r="AA916" t="inlineStr">
        <is>
          <t>Tarjeta</t>
        </is>
      </c>
      <c r="AB916" t="inlineStr">
        <is>
          <t>pagó con billete de $100</t>
        </is>
      </c>
    </row>
    <row r="917">
      <c r="A917" t="inlineStr">
        <is>
          <t>F-11177</t>
        </is>
      </c>
      <c r="B917" s="3" t="n">
        <v>46282</v>
      </c>
      <c r="C917" t="inlineStr">
        <is>
          <t>Factura</t>
        </is>
      </c>
      <c r="D917" t="inlineStr">
        <is>
          <t>SO01</t>
        </is>
      </c>
      <c r="E917" t="inlineStr">
        <is>
          <t>Sonsonate</t>
        </is>
      </c>
      <c r="F917" t="inlineStr">
        <is>
          <t>Calle Obispo Marroquín #3</t>
        </is>
      </c>
      <c r="G917" t="inlineStr">
        <is>
          <t>Sonsonate</t>
        </is>
      </c>
      <c r="H917" t="inlineStr">
        <is>
          <t>Sonsonate</t>
        </is>
      </c>
      <c r="I917" t="inlineStr">
        <is>
          <t>Ernesto Chávez</t>
        </is>
      </c>
      <c r="J917" t="inlineStr">
        <is>
          <t>2451-2288</t>
        </is>
      </c>
      <c r="K917" t="inlineStr">
        <is>
          <t>Ricardo Funes</t>
        </is>
      </c>
      <c r="L917" t="inlineStr">
        <is>
          <t>Douglas Pérez Guevara</t>
        </is>
      </c>
      <c r="M917" t="inlineStr">
        <is>
          <t>09863904-2</t>
        </is>
      </c>
      <c r="N917" t="inlineStr">
        <is>
          <t>7997-9269</t>
        </is>
      </c>
      <c r="O917" t="inlineStr">
        <is>
          <t>Consumidor final</t>
        </is>
      </c>
      <c r="P917" t="inlineStr">
        <is>
          <t>LAC-001</t>
        </is>
      </c>
      <c r="Q917" t="inlineStr">
        <is>
          <t>Quesillo 1lb</t>
        </is>
      </c>
      <c r="R917" t="inlineStr">
        <is>
          <t>Lacteos</t>
        </is>
      </c>
      <c r="S917" t="inlineStr">
        <is>
          <t>Lácteos Chalate</t>
        </is>
      </c>
      <c r="T917" t="inlineStr">
        <is>
          <t>2335-1020</t>
        </is>
      </c>
      <c r="U917" t="n">
        <v>3.8</v>
      </c>
      <c r="V917" t="n">
        <v>2</v>
      </c>
      <c r="W917" t="n">
        <v>0</v>
      </c>
      <c r="X917">
        <f>IFERROR(U917*V917*(1-W917/100),"")</f>
        <v/>
      </c>
      <c r="Y917">
        <f>IFERROR(ROUND(X917*0.13,2),"")</f>
        <v/>
      </c>
      <c r="Z917">
        <f>IFERROR(X917+Y917,"")</f>
        <v/>
      </c>
      <c r="AA917" t="inlineStr">
        <is>
          <t>Tarjeta</t>
        </is>
      </c>
      <c r="AB917" t="inlineStr">
        <is>
          <t>Llamar al 7788-1234 antes de entregar</t>
        </is>
      </c>
    </row>
    <row r="918">
      <c r="A918" t="inlineStr">
        <is>
          <t>F-11179</t>
        </is>
      </c>
      <c r="B918" s="3" t="n">
        <v>46272</v>
      </c>
      <c r="C918" t="inlineStr">
        <is>
          <t>CCF</t>
        </is>
      </c>
      <c r="D918" t="inlineStr">
        <is>
          <t>SA01</t>
        </is>
      </c>
      <c r="E918" t="inlineStr">
        <is>
          <t>Santa Ana</t>
        </is>
      </c>
      <c r="F918" t="inlineStr">
        <is>
          <t>Av. Independencia Sur #12</t>
        </is>
      </c>
      <c r="G918" t="inlineStr">
        <is>
          <t>Santa Ana</t>
        </is>
      </c>
      <c r="H918" t="inlineStr">
        <is>
          <t>Santa Ana</t>
        </is>
      </c>
      <c r="I918" t="inlineStr">
        <is>
          <t>Mauricio Linares</t>
        </is>
      </c>
      <c r="J918" t="inlineStr">
        <is>
          <t>2440-9921</t>
        </is>
      </c>
      <c r="K918" t="inlineStr">
        <is>
          <t>Sofía Cáceres</t>
        </is>
      </c>
      <c r="L918" t="inlineStr">
        <is>
          <t>Hotel Brisas del Mar</t>
        </is>
      </c>
      <c r="M918" t="inlineStr">
        <is>
          <t>280004-0</t>
        </is>
      </c>
      <c r="N918" t="inlineStr">
        <is>
          <t>2129-2911</t>
        </is>
      </c>
      <c r="O918" t="inlineStr">
        <is>
          <t>Contribuyente</t>
        </is>
      </c>
      <c r="P918" t="inlineStr">
        <is>
          <t>BEB-001</t>
        </is>
      </c>
      <c r="Q918" t="inlineStr">
        <is>
          <t>Gaseosa 2.5L</t>
        </is>
      </c>
      <c r="R918" t="inlineStr">
        <is>
          <t>bebidas</t>
        </is>
      </c>
      <c r="S918" t="inlineStr">
        <is>
          <t>Bebidas Izalco</t>
        </is>
      </c>
      <c r="T918" t="inlineStr">
        <is>
          <t>2450-7700</t>
        </is>
      </c>
      <c r="U918" t="n">
        <v>1.95</v>
      </c>
      <c r="V918" t="n">
        <v>12</v>
      </c>
      <c r="W918" t="n">
        <v>0</v>
      </c>
      <c r="X918">
        <f>IFERROR(U918*V918*(1-W918/100),"")</f>
        <v/>
      </c>
      <c r="Y918">
        <f>IFERROR(ROUND(X918*0.13,2),"")</f>
        <v/>
      </c>
      <c r="Z918">
        <f>IFERROR(X918+Y918,"")</f>
        <v/>
      </c>
      <c r="AA918" t="inlineStr">
        <is>
          <t>Efectivo</t>
        </is>
      </c>
      <c r="AB918" t="inlineStr"/>
    </row>
    <row r="919">
      <c r="A919" t="inlineStr">
        <is>
          <t>F-11179</t>
        </is>
      </c>
      <c r="B919" t="inlineStr">
        <is>
          <t>2026-09-07</t>
        </is>
      </c>
      <c r="C919" t="inlineStr">
        <is>
          <t>CCF</t>
        </is>
      </c>
      <c r="D919" t="inlineStr">
        <is>
          <t>SA01</t>
        </is>
      </c>
      <c r="E919" t="inlineStr">
        <is>
          <t>Santa  Ana</t>
        </is>
      </c>
      <c r="F919" t="inlineStr">
        <is>
          <t>Av. Independencia Sur #12</t>
        </is>
      </c>
      <c r="G919" t="inlineStr">
        <is>
          <t>Santa Ana</t>
        </is>
      </c>
      <c r="H919" t="inlineStr">
        <is>
          <t>Santa Ana</t>
        </is>
      </c>
      <c r="I919" t="inlineStr">
        <is>
          <t>Verónica Sandoval</t>
        </is>
      </c>
      <c r="J919" t="inlineStr">
        <is>
          <t>2440-9921</t>
        </is>
      </c>
      <c r="K919" t="inlineStr">
        <is>
          <t>Sofía Cáceres</t>
        </is>
      </c>
      <c r="L919" t="inlineStr">
        <is>
          <t>Hotel Brisas del Mar</t>
        </is>
      </c>
      <c r="M919" t="inlineStr">
        <is>
          <t>280004-0</t>
        </is>
      </c>
      <c r="N919" t="inlineStr">
        <is>
          <t>2129-2911</t>
        </is>
      </c>
      <c r="O919" t="inlineStr">
        <is>
          <t>Contribuyente</t>
        </is>
      </c>
      <c r="P919" t="inlineStr">
        <is>
          <t>HAR-001</t>
        </is>
      </c>
      <c r="Q919" t="inlineStr">
        <is>
          <t>Harina de maíz 2lb</t>
        </is>
      </c>
      <c r="R919" t="inlineStr">
        <is>
          <t>Abarrotes</t>
        </is>
      </c>
      <c r="S919" t="inlineStr">
        <is>
          <t>Granos del Pacífico</t>
        </is>
      </c>
      <c r="T919" t="inlineStr">
        <is>
          <t>2234-8890</t>
        </is>
      </c>
      <c r="U919" t="inlineStr">
        <is>
          <t>$1.35</t>
        </is>
      </c>
      <c r="V919" t="n">
        <v>1</v>
      </c>
      <c r="W919" t="n">
        <v>5</v>
      </c>
      <c r="X919">
        <f>IFERROR(U919*V919*(1-W919/100),"")</f>
        <v/>
      </c>
      <c r="Y919">
        <f>IFERROR(ROUND(X919*0.13,2),"")</f>
        <v/>
      </c>
      <c r="Z919">
        <f>IFERROR(X919+Y919,"")</f>
        <v/>
      </c>
      <c r="AA919" t="inlineStr">
        <is>
          <t>Efectivo</t>
        </is>
      </c>
      <c r="AB919" t="inlineStr"/>
    </row>
    <row r="920">
      <c r="A920" t="inlineStr">
        <is>
          <t>F-11179</t>
        </is>
      </c>
      <c r="B920" s="3" t="n">
        <v>46272</v>
      </c>
      <c r="C920" t="inlineStr">
        <is>
          <t>CCF</t>
        </is>
      </c>
      <c r="D920" t="inlineStr">
        <is>
          <t>SA01</t>
        </is>
      </c>
      <c r="E920" t="inlineStr">
        <is>
          <t>Santa  Ana</t>
        </is>
      </c>
      <c r="F920" t="inlineStr">
        <is>
          <t>Av. Independencia Sur #12</t>
        </is>
      </c>
      <c r="G920" t="inlineStr">
        <is>
          <t>Santa Ana</t>
        </is>
      </c>
      <c r="H920" t="inlineStr">
        <is>
          <t>Santa Ana</t>
        </is>
      </c>
      <c r="I920" t="inlineStr">
        <is>
          <t>Verónica Sandoval</t>
        </is>
      </c>
      <c r="J920" t="inlineStr">
        <is>
          <t>2440-9921</t>
        </is>
      </c>
      <c r="K920" t="inlineStr">
        <is>
          <t>Sofía Cáceres</t>
        </is>
      </c>
      <c r="L920" t="inlineStr">
        <is>
          <t>Hotel Brisas del Mar</t>
        </is>
      </c>
      <c r="M920" t="inlineStr">
        <is>
          <t>280004-0</t>
        </is>
      </c>
      <c r="N920" t="inlineStr">
        <is>
          <t>2129-2911</t>
        </is>
      </c>
      <c r="O920" t="inlineStr">
        <is>
          <t>Contribuyente</t>
        </is>
      </c>
      <c r="P920" t="inlineStr">
        <is>
          <t>PAN-003</t>
        </is>
      </c>
      <c r="Q920" t="inlineStr">
        <is>
          <t>Quesadilla salvadoreña</t>
        </is>
      </c>
      <c r="R920" t="inlineStr">
        <is>
          <t>Panadería</t>
        </is>
      </c>
      <c r="S920" t="inlineStr">
        <is>
          <t>Panificadora Ilopango</t>
        </is>
      </c>
      <c r="T920" t="inlineStr">
        <is>
          <t>2295-0081</t>
        </is>
      </c>
      <c r="U920" t="n">
        <v>2.5</v>
      </c>
      <c r="V920" t="n">
        <v>24</v>
      </c>
      <c r="W920" t="n">
        <v>10</v>
      </c>
      <c r="X920">
        <f>IFERROR(U920*V920*(1-W920/100),"")</f>
        <v/>
      </c>
      <c r="Y920">
        <f>IFERROR(ROUND(X920*0.13,2),"")</f>
        <v/>
      </c>
      <c r="Z920">
        <f>IFERROR(X920+Y920,"")</f>
        <v/>
      </c>
      <c r="AA920" t="inlineStr">
        <is>
          <t>Efectivo</t>
        </is>
      </c>
      <c r="AB920" t="inlineStr"/>
    </row>
    <row r="921">
      <c r="A921" t="inlineStr">
        <is>
          <t>F-11179</t>
        </is>
      </c>
      <c r="B921" s="3" t="n">
        <v>46272</v>
      </c>
      <c r="C921" t="inlineStr">
        <is>
          <t>CCF</t>
        </is>
      </c>
      <c r="D921" t="inlineStr">
        <is>
          <t>SA01</t>
        </is>
      </c>
      <c r="E921" t="inlineStr">
        <is>
          <t>Santa Ana</t>
        </is>
      </c>
      <c r="F921" t="inlineStr">
        <is>
          <t>Av. Independencia Sur #12</t>
        </is>
      </c>
      <c r="G921" t="inlineStr">
        <is>
          <t>Santa Ana</t>
        </is>
      </c>
      <c r="H921" t="inlineStr">
        <is>
          <t>Santa Ana</t>
        </is>
      </c>
      <c r="I921" t="inlineStr">
        <is>
          <t>Verónica Sandoval</t>
        </is>
      </c>
      <c r="J921" t="inlineStr">
        <is>
          <t>2440-9921</t>
        </is>
      </c>
      <c r="K921" t="inlineStr">
        <is>
          <t>Sofía Cáceres</t>
        </is>
      </c>
      <c r="L921" t="inlineStr">
        <is>
          <t>Hotel Brisas del Mar</t>
        </is>
      </c>
      <c r="M921" t="inlineStr">
        <is>
          <t>280004-0</t>
        </is>
      </c>
      <c r="N921" t="inlineStr">
        <is>
          <t>2129-2911</t>
        </is>
      </c>
      <c r="O921" t="inlineStr">
        <is>
          <t>Contribuyente</t>
        </is>
      </c>
      <c r="P921" t="inlineStr">
        <is>
          <t>FRI-001</t>
        </is>
      </c>
      <c r="Q921" t="inlineStr">
        <is>
          <t>Frijol rojo de seda 2lb</t>
        </is>
      </c>
      <c r="R921" t="inlineStr">
        <is>
          <t>Abarrotes</t>
        </is>
      </c>
      <c r="S921" t="inlineStr">
        <is>
          <t>Granos del Pacífico</t>
        </is>
      </c>
      <c r="T921" t="inlineStr">
        <is>
          <t>2234-8890</t>
        </is>
      </c>
      <c r="U921" t="n">
        <v>2.4</v>
      </c>
      <c r="V921" t="n">
        <v>6</v>
      </c>
      <c r="W921" t="n">
        <v>5</v>
      </c>
      <c r="X921">
        <f>IFERROR(U921*V921*(1-W921/100),"")</f>
        <v/>
      </c>
      <c r="Y921">
        <f>IFERROR(ROUND(X921*0.13,2),"")</f>
        <v/>
      </c>
      <c r="Z921">
        <f>IFERROR(X921+Y921,"")</f>
        <v/>
      </c>
      <c r="AA921" t="inlineStr">
        <is>
          <t>Efectivo</t>
        </is>
      </c>
      <c r="AB921" t="inlineStr"/>
    </row>
    <row r="922">
      <c r="A922" t="inlineStr">
        <is>
          <t>F-11182</t>
        </is>
      </c>
      <c r="B922" t="inlineStr">
        <is>
          <t>2026-09-07</t>
        </is>
      </c>
      <c r="C922" t="inlineStr">
        <is>
          <t>CCF</t>
        </is>
      </c>
      <c r="D922" t="inlineStr">
        <is>
          <t>LL02</t>
        </is>
      </c>
      <c r="E922" t="inlineStr">
        <is>
          <t>Puerto de La Libertad</t>
        </is>
      </c>
      <c r="F922" t="inlineStr">
        <is>
          <t>Calle El Malecón, Local 4</t>
        </is>
      </c>
      <c r="G922" t="inlineStr">
        <is>
          <t>La Libertad</t>
        </is>
      </c>
      <c r="H922" t="inlineStr">
        <is>
          <t>La Libertad</t>
        </is>
      </c>
      <c r="I922" t="inlineStr">
        <is>
          <t>Wendy Aguilar</t>
        </is>
      </c>
      <c r="J922" t="inlineStr">
        <is>
          <t>2335-6140</t>
        </is>
      </c>
      <c r="K922" t="inlineStr">
        <is>
          <t>Gabriela Saravia</t>
        </is>
      </c>
      <c r="L922" t="inlineStr">
        <is>
          <t>Comedor Doña Tere</t>
        </is>
      </c>
      <c r="M922" t="inlineStr">
        <is>
          <t>197287-2</t>
        </is>
      </c>
      <c r="N922" t="inlineStr">
        <is>
          <t>6654-5678</t>
        </is>
      </c>
      <c r="O922" t="inlineStr">
        <is>
          <t>Contribuyente</t>
        </is>
      </c>
      <c r="P922" t="inlineStr">
        <is>
          <t>HIG-002</t>
        </is>
      </c>
      <c r="Q922" t="inlineStr">
        <is>
          <t>Papel higiénico 4 rollos</t>
        </is>
      </c>
      <c r="R922" t="inlineStr">
        <is>
          <t>Limpieza</t>
        </is>
      </c>
      <c r="S922" t="inlineStr">
        <is>
          <t>Higiene Total C.A.</t>
        </is>
      </c>
      <c r="T922" t="inlineStr">
        <is>
          <t>2207-5566</t>
        </is>
      </c>
      <c r="U922" t="n">
        <v>2.15</v>
      </c>
      <c r="V922" t="n">
        <v>2</v>
      </c>
      <c r="W922" t="n">
        <v>0</v>
      </c>
      <c r="X922">
        <f>IFERROR(U922*V922*(1-W922/100),"")</f>
        <v/>
      </c>
      <c r="Y922">
        <f>IFERROR(ROUND(X922*0.13,2),"")</f>
        <v/>
      </c>
      <c r="Z922">
        <f>IFERROR(X922+Y922,"")</f>
        <v/>
      </c>
      <c r="AA922" t="inlineStr">
        <is>
          <t>efectivo</t>
        </is>
      </c>
      <c r="AB922" t="inlineStr">
        <is>
          <t>Cliente frecuente</t>
        </is>
      </c>
    </row>
    <row r="923">
      <c r="A923" t="inlineStr">
        <is>
          <t>F-11182</t>
        </is>
      </c>
      <c r="B923" s="3" t="n">
        <v>46272</v>
      </c>
      <c r="C923" t="inlineStr">
        <is>
          <t>CCF</t>
        </is>
      </c>
      <c r="D923" t="inlineStr">
        <is>
          <t>LL02</t>
        </is>
      </c>
      <c r="E923" t="inlineStr">
        <is>
          <t>Puerto de La Libertad</t>
        </is>
      </c>
      <c r="F923" t="inlineStr">
        <is>
          <t>Calle El Malecón, Local 4</t>
        </is>
      </c>
      <c r="G923" t="inlineStr">
        <is>
          <t>La Libertad</t>
        </is>
      </c>
      <c r="H923" t="inlineStr">
        <is>
          <t>La Libertad</t>
        </is>
      </c>
      <c r="I923" t="inlineStr">
        <is>
          <t>Wendy Aguilar</t>
        </is>
      </c>
      <c r="J923" t="inlineStr">
        <is>
          <t>2335-6140</t>
        </is>
      </c>
      <c r="K923" t="inlineStr">
        <is>
          <t>Gabriela Saravia</t>
        </is>
      </c>
      <c r="L923" t="inlineStr">
        <is>
          <t>Comedor Doña Tere</t>
        </is>
      </c>
      <c r="M923" t="inlineStr">
        <is>
          <t>197287-2</t>
        </is>
      </c>
      <c r="N923" t="inlineStr">
        <is>
          <t>6654-5678</t>
        </is>
      </c>
      <c r="O923" t="inlineStr">
        <is>
          <t>Contribuyente</t>
        </is>
      </c>
      <c r="P923" t="inlineStr">
        <is>
          <t>PAN-003</t>
        </is>
      </c>
      <c r="Q923" t="inlineStr">
        <is>
          <t>Quesadilla salvadoreña</t>
        </is>
      </c>
      <c r="R923" t="inlineStr">
        <is>
          <t>PANADERIA</t>
        </is>
      </c>
      <c r="S923" t="inlineStr">
        <is>
          <t>Panificadora Ilopango</t>
        </is>
      </c>
      <c r="T923" t="inlineStr">
        <is>
          <t>2295-0081</t>
        </is>
      </c>
      <c r="U923" t="n">
        <v>2.5</v>
      </c>
      <c r="V923" t="n">
        <v>2</v>
      </c>
      <c r="W923" t="n">
        <v>0</v>
      </c>
      <c r="X923">
        <f>IFERROR(U923*V923*(1-W923/100),"")</f>
        <v/>
      </c>
      <c r="Y923">
        <f>IFERROR(ROUND(X923*0.13,2),"")</f>
        <v/>
      </c>
      <c r="Z923">
        <f>IFERROR(X923+Y923,"")</f>
        <v/>
      </c>
      <c r="AA923" t="inlineStr">
        <is>
          <t>efectivo</t>
        </is>
      </c>
      <c r="AB923" t="inlineStr"/>
    </row>
    <row r="924">
      <c r="A924" t="inlineStr">
        <is>
          <t>11183</t>
        </is>
      </c>
      <c r="B924" s="3" t="n">
        <v>46287</v>
      </c>
      <c r="C924" t="inlineStr">
        <is>
          <t>Factura</t>
        </is>
      </c>
      <c r="D924" t="inlineStr">
        <is>
          <t>US01</t>
        </is>
      </c>
      <c r="E924" t="inlineStr">
        <is>
          <t>Usulután</t>
        </is>
      </c>
      <c r="F924" t="inlineStr">
        <is>
          <t>2a Av. Norte #9</t>
        </is>
      </c>
      <c r="G924" t="inlineStr">
        <is>
          <t>Usulután</t>
        </is>
      </c>
      <c r="H924" t="inlineStr">
        <is>
          <t>Usulután</t>
        </is>
      </c>
      <c r="I924" t="inlineStr">
        <is>
          <t>Nelson Fuentes</t>
        </is>
      </c>
      <c r="J924" t="inlineStr">
        <is>
          <t>2662-8810</t>
        </is>
      </c>
      <c r="K924" t="inlineStr">
        <is>
          <t>Miguel Bonilla</t>
        </is>
      </c>
      <c r="L924" t="inlineStr">
        <is>
          <t>Xiomara Cornejo Guevara</t>
        </is>
      </c>
      <c r="M924" t="inlineStr">
        <is>
          <t>09840186-7</t>
        </is>
      </c>
      <c r="N924" t="inlineStr">
        <is>
          <t>2102-2322</t>
        </is>
      </c>
      <c r="O924" t="inlineStr">
        <is>
          <t>Consumidor final</t>
        </is>
      </c>
      <c r="P924" t="inlineStr">
        <is>
          <t>CAF-002</t>
        </is>
      </c>
      <c r="Q924" t="inlineStr">
        <is>
          <t>Café en grano 1lb</t>
        </is>
      </c>
      <c r="R924" t="inlineStr">
        <is>
          <t>Abarrotes</t>
        </is>
      </c>
      <c r="S924" t="inlineStr">
        <is>
          <t>Café Volcán S.A.</t>
        </is>
      </c>
      <c r="T924" t="inlineStr">
        <is>
          <t>2510-3344</t>
        </is>
      </c>
      <c r="U924" t="n">
        <v>6.75</v>
      </c>
      <c r="V924" t="n">
        <v>2</v>
      </c>
      <c r="W924" t="n">
        <v>0</v>
      </c>
      <c r="X924">
        <f>IFERROR(U924*V924*(1-W924/100),"")</f>
        <v/>
      </c>
      <c r="Y924">
        <f>IFERROR(ROUND(X924*0.13,2),"")</f>
        <v/>
      </c>
      <c r="Z924">
        <f>IFERROR(X924+Y924,"")</f>
        <v/>
      </c>
      <c r="AA924" t="inlineStr">
        <is>
          <t>Tarjeta</t>
        </is>
      </c>
      <c r="AB924" t="inlineStr">
        <is>
          <t>precio especial autorizado por gerente</t>
        </is>
      </c>
    </row>
    <row r="925">
      <c r="A925" t="inlineStr">
        <is>
          <t>F-11186</t>
        </is>
      </c>
      <c r="B925" t="inlineStr">
        <is>
          <t>20/07/2026</t>
        </is>
      </c>
      <c r="C925" t="inlineStr">
        <is>
          <t>CCF</t>
        </is>
      </c>
      <c r="D925" t="inlineStr">
        <is>
          <t>SA01</t>
        </is>
      </c>
      <c r="E925" t="inlineStr">
        <is>
          <t>Santa  Ana</t>
        </is>
      </c>
      <c r="F925" t="inlineStr">
        <is>
          <t>Av. Independencia Sur #12</t>
        </is>
      </c>
      <c r="G925" t="inlineStr">
        <is>
          <t>Santa Ana</t>
        </is>
      </c>
      <c r="H925" t="inlineStr">
        <is>
          <t>Santa Ana</t>
        </is>
      </c>
      <c r="I925" t="inlineStr">
        <is>
          <t>Mauricio Linares</t>
        </is>
      </c>
      <c r="J925" t="inlineStr">
        <is>
          <t>2440-9921</t>
        </is>
      </c>
      <c r="K925" t="inlineStr">
        <is>
          <t>Diego Zelaya</t>
        </is>
      </c>
      <c r="L925" t="inlineStr">
        <is>
          <t>Comedor Doña Tere</t>
        </is>
      </c>
      <c r="M925" t="inlineStr">
        <is>
          <t>197287-2</t>
        </is>
      </c>
      <c r="N925" t="inlineStr">
        <is>
          <t>6654-5678</t>
        </is>
      </c>
      <c r="O925" t="inlineStr">
        <is>
          <t>Contribuyente</t>
        </is>
      </c>
      <c r="P925" t="inlineStr">
        <is>
          <t>PAN-002</t>
        </is>
      </c>
      <c r="Q925" t="inlineStr">
        <is>
          <t>Semita alta</t>
        </is>
      </c>
      <c r="R925" t="inlineStr">
        <is>
          <t>Panadería</t>
        </is>
      </c>
      <c r="S925" t="inlineStr">
        <is>
          <t>Panificadora Ilopango</t>
        </is>
      </c>
      <c r="T925" t="inlineStr">
        <is>
          <t>2295-0081</t>
        </is>
      </c>
      <c r="U925" t="n">
        <v>1.75</v>
      </c>
      <c r="V925" t="n">
        <v>1</v>
      </c>
      <c r="W925" t="n">
        <v>0</v>
      </c>
      <c r="X925">
        <f>IFERROR(U925*V925*(1-W925/100),"")</f>
        <v/>
      </c>
      <c r="Y925">
        <f>IFERROR(ROUND(X925*0.13,2),"")</f>
        <v/>
      </c>
      <c r="Z925">
        <f>IFERROR(X925+Y925,"")</f>
        <v/>
      </c>
      <c r="AA925" t="inlineStr">
        <is>
          <t>Efectivo</t>
        </is>
      </c>
      <c r="AB925" t="inlineStr"/>
    </row>
    <row r="926">
      <c r="A926" t="inlineStr">
        <is>
          <t>F-11186</t>
        </is>
      </c>
      <c r="B926" s="3" t="n">
        <v>46223</v>
      </c>
      <c r="C926" t="inlineStr">
        <is>
          <t>CCF</t>
        </is>
      </c>
      <c r="D926" t="inlineStr">
        <is>
          <t>SA01</t>
        </is>
      </c>
      <c r="E926" t="inlineStr">
        <is>
          <t>Santa Ana</t>
        </is>
      </c>
      <c r="F926" t="inlineStr">
        <is>
          <t>Av. Independencia Sur #12</t>
        </is>
      </c>
      <c r="G926" t="inlineStr">
        <is>
          <t>Santa Ana</t>
        </is>
      </c>
      <c r="H926" t="inlineStr">
        <is>
          <t>Santa Ana</t>
        </is>
      </c>
      <c r="I926" t="inlineStr">
        <is>
          <t>Mauricio Linares</t>
        </is>
      </c>
      <c r="J926" t="inlineStr">
        <is>
          <t>2440-9921</t>
        </is>
      </c>
      <c r="K926" t="inlineStr">
        <is>
          <t>Diego Zelaya</t>
        </is>
      </c>
      <c r="L926" t="inlineStr">
        <is>
          <t>Comedor Doña Tere</t>
        </is>
      </c>
      <c r="M926" t="inlineStr">
        <is>
          <t>197287-2</t>
        </is>
      </c>
      <c r="N926" t="inlineStr">
        <is>
          <t>6654-5678</t>
        </is>
      </c>
      <c r="O926" t="inlineStr">
        <is>
          <t>Contribuyente</t>
        </is>
      </c>
      <c r="P926" t="inlineStr">
        <is>
          <t>BEB-003</t>
        </is>
      </c>
      <c r="Q926" t="inlineStr">
        <is>
          <t>Horchata en polvo 400g</t>
        </is>
      </c>
      <c r="R926" t="inlineStr">
        <is>
          <t>Abarrotes</t>
        </is>
      </c>
      <c r="S926" t="inlineStr">
        <is>
          <t>Bebidas Izalco</t>
        </is>
      </c>
      <c r="T926" t="inlineStr">
        <is>
          <t>2450-7700</t>
        </is>
      </c>
      <c r="U926" t="n">
        <v>2.6</v>
      </c>
      <c r="V926" t="n">
        <v>12</v>
      </c>
      <c r="W926" t="n">
        <v>0</v>
      </c>
      <c r="X926">
        <f>IFERROR(U926*V926*(1-W926/100),"")</f>
        <v/>
      </c>
      <c r="Y926">
        <f>IFERROR(ROUND(X926*0.13,2),"")</f>
        <v/>
      </c>
      <c r="Z926">
        <f>IFERROR(X926+Y926,"")</f>
        <v/>
      </c>
      <c r="AA926" t="inlineStr">
        <is>
          <t>Efectivo</t>
        </is>
      </c>
      <c r="AB926" t="inlineStr"/>
    </row>
    <row r="927">
      <c r="A927" t="inlineStr">
        <is>
          <t>F-11186</t>
        </is>
      </c>
      <c r="B927" t="inlineStr">
        <is>
          <t>2026-07-20</t>
        </is>
      </c>
      <c r="C927" t="inlineStr">
        <is>
          <t>CCF</t>
        </is>
      </c>
      <c r="D927" t="inlineStr">
        <is>
          <t>SA01</t>
        </is>
      </c>
      <c r="E927" t="inlineStr">
        <is>
          <t>Santa Ana</t>
        </is>
      </c>
      <c r="F927" t="inlineStr">
        <is>
          <t>Av. Independencia Sur #12</t>
        </is>
      </c>
      <c r="G927" t="inlineStr">
        <is>
          <t>Santa Ana</t>
        </is>
      </c>
      <c r="H927" t="inlineStr">
        <is>
          <t>Santa Ana</t>
        </is>
      </c>
      <c r="I927" t="inlineStr">
        <is>
          <t>Mauricio Linares</t>
        </is>
      </c>
      <c r="J927" t="inlineStr">
        <is>
          <t>2440-9921</t>
        </is>
      </c>
      <c r="K927" t="inlineStr">
        <is>
          <t>Diego Zelaya</t>
        </is>
      </c>
      <c r="L927" t="inlineStr">
        <is>
          <t>Comedor Doña Tere</t>
        </is>
      </c>
      <c r="M927" t="inlineStr">
        <is>
          <t>197287-2</t>
        </is>
      </c>
      <c r="N927" t="inlineStr">
        <is>
          <t>6654-5678</t>
        </is>
      </c>
      <c r="O927" t="inlineStr">
        <is>
          <t>Contribuyente</t>
        </is>
      </c>
      <c r="P927" t="inlineStr">
        <is>
          <t>CAF-002</t>
        </is>
      </c>
      <c r="Q927" t="inlineStr">
        <is>
          <t>Café en grano 1lb</t>
        </is>
      </c>
      <c r="R927" t="inlineStr">
        <is>
          <t>Abarrotes</t>
        </is>
      </c>
      <c r="S927" t="inlineStr">
        <is>
          <t>Café Volcán S.A.</t>
        </is>
      </c>
      <c r="T927" t="inlineStr">
        <is>
          <t>2510-3344</t>
        </is>
      </c>
      <c r="U927" t="n">
        <v>6.75</v>
      </c>
      <c r="V927" t="n">
        <v>2</v>
      </c>
      <c r="W927" t="n">
        <v>0</v>
      </c>
      <c r="X927">
        <f>IFERROR(U927*V927*(1-W927/100),"")</f>
        <v/>
      </c>
      <c r="Y927">
        <f>IFERROR(ROUND(X927*0.13,2),"")</f>
        <v/>
      </c>
      <c r="Z927">
        <f>IFERROR(X927+Y927,"")</f>
        <v/>
      </c>
      <c r="AA927" t="inlineStr">
        <is>
          <t>Efectivo</t>
        </is>
      </c>
      <c r="AB927" t="inlineStr">
        <is>
          <t>pagó con billete de $100</t>
        </is>
      </c>
    </row>
    <row r="928">
      <c r="A928" t="inlineStr">
        <is>
          <t>F-11186</t>
        </is>
      </c>
      <c r="B928" s="3" t="n">
        <v>46223</v>
      </c>
      <c r="C928" t="inlineStr">
        <is>
          <t>CCF</t>
        </is>
      </c>
      <c r="D928" t="inlineStr">
        <is>
          <t>SA01</t>
        </is>
      </c>
      <c r="E928" t="inlineStr">
        <is>
          <t>STA ANA</t>
        </is>
      </c>
      <c r="F928" t="inlineStr">
        <is>
          <t>Av. Independencia Sur #12</t>
        </is>
      </c>
      <c r="G928" t="inlineStr">
        <is>
          <t>Santa Ana</t>
        </is>
      </c>
      <c r="H928" t="inlineStr">
        <is>
          <t>Santa Ana</t>
        </is>
      </c>
      <c r="I928" t="inlineStr">
        <is>
          <t>Mauricio Linares</t>
        </is>
      </c>
      <c r="J928" t="inlineStr">
        <is>
          <t>2440-9921</t>
        </is>
      </c>
      <c r="K928" t="inlineStr">
        <is>
          <t>Diego Zelaya</t>
        </is>
      </c>
      <c r="L928" t="inlineStr">
        <is>
          <t>Comedor Doña Tere</t>
        </is>
      </c>
      <c r="M928" t="inlineStr">
        <is>
          <t>197287-2</t>
        </is>
      </c>
      <c r="N928" t="inlineStr">
        <is>
          <t>6654-5678</t>
        </is>
      </c>
      <c r="O928" t="inlineStr">
        <is>
          <t>Contribuyente</t>
        </is>
      </c>
      <c r="P928" t="inlineStr">
        <is>
          <t>PAN-003</t>
        </is>
      </c>
      <c r="Q928" t="inlineStr">
        <is>
          <t>Quesadilla salvadoreña</t>
        </is>
      </c>
      <c r="R928" t="inlineStr">
        <is>
          <t>Panadería</t>
        </is>
      </c>
      <c r="S928" t="inlineStr">
        <is>
          <t>Panificadora Ilopango</t>
        </is>
      </c>
      <c r="T928" t="inlineStr">
        <is>
          <t>2295-0081</t>
        </is>
      </c>
      <c r="U928" t="inlineStr">
        <is>
          <t>$2.50</t>
        </is>
      </c>
      <c r="V928" t="n">
        <v>3</v>
      </c>
      <c r="W928" t="n">
        <v>10</v>
      </c>
      <c r="X928">
        <f>IFERROR(U928*V928*(1-W928/100),"")</f>
        <v/>
      </c>
      <c r="Y928">
        <f>IFERROR(ROUND(X928*0.13,2),"")</f>
        <v/>
      </c>
      <c r="Z928">
        <f>IFERROR(X928+Y928,"")</f>
        <v/>
      </c>
      <c r="AA928" t="inlineStr">
        <is>
          <t>Efectivo</t>
        </is>
      </c>
      <c r="AB928" t="inlineStr"/>
    </row>
    <row r="929">
      <c r="A929" t="inlineStr">
        <is>
          <t>F-11188</t>
        </is>
      </c>
      <c r="B929" s="3" t="n">
        <v>46225</v>
      </c>
      <c r="C929" t="inlineStr">
        <is>
          <t>Factura</t>
        </is>
      </c>
      <c r="D929" t="inlineStr">
        <is>
          <t>SS01</t>
        </is>
      </c>
      <c r="E929" t="inlineStr">
        <is>
          <t>SAN SALVADOR CENTRO</t>
        </is>
      </c>
      <c r="F929" t="inlineStr">
        <is>
          <t>4a Calle Poniente #215</t>
        </is>
      </c>
      <c r="G929" t="inlineStr">
        <is>
          <t>San Salvador</t>
        </is>
      </c>
      <c r="H929" t="inlineStr">
        <is>
          <t>San Salvador</t>
        </is>
      </c>
      <c r="I929" t="inlineStr">
        <is>
          <t>Roberto Alfaro</t>
        </is>
      </c>
      <c r="J929" t="inlineStr">
        <is>
          <t>2221-4580</t>
        </is>
      </c>
      <c r="K929" t="inlineStr">
        <is>
          <t>Daniela Orellana</t>
        </is>
      </c>
      <c r="L929" t="inlineStr">
        <is>
          <t>Xiomara Cornejo Guevara</t>
        </is>
      </c>
      <c r="M929" t="inlineStr">
        <is>
          <t>09840186-7</t>
        </is>
      </c>
      <c r="N929" t="inlineStr">
        <is>
          <t>2102-2322</t>
        </is>
      </c>
      <c r="O929" t="inlineStr">
        <is>
          <t>Consumidor final</t>
        </is>
      </c>
      <c r="P929" t="inlineStr">
        <is>
          <t>PAN-001</t>
        </is>
      </c>
      <c r="Q929" t="inlineStr">
        <is>
          <t>Pan francés bolsa 10u</t>
        </is>
      </c>
      <c r="R929" t="inlineStr">
        <is>
          <t>Panadería</t>
        </is>
      </c>
      <c r="S929" t="inlineStr">
        <is>
          <t>Panificadora Ilopango</t>
        </is>
      </c>
      <c r="T929" t="inlineStr">
        <is>
          <t>2295-0081</t>
        </is>
      </c>
      <c r="U929" t="n">
        <v>1</v>
      </c>
      <c r="V929" t="n">
        <v>1</v>
      </c>
      <c r="W929" t="n">
        <v>0</v>
      </c>
      <c r="X929">
        <f>IFERROR(U929*V929*(1-W929/100),"")</f>
        <v/>
      </c>
      <c r="Y929">
        <f>IFERROR(ROUND(X929*0.13,2),"")</f>
        <v/>
      </c>
      <c r="Z929">
        <f>IFERROR(X929+Y929,"")</f>
        <v/>
      </c>
      <c r="AA929" t="inlineStr">
        <is>
          <t>Tarjeta</t>
        </is>
      </c>
      <c r="AB929" t="inlineStr">
        <is>
          <t>Cliente frecuente</t>
        </is>
      </c>
    </row>
    <row r="930">
      <c r="A930" t="inlineStr">
        <is>
          <t>F-11188</t>
        </is>
      </c>
      <c r="B930" s="3" t="n">
        <v>46225</v>
      </c>
      <c r="C930" t="inlineStr">
        <is>
          <t>Factura</t>
        </is>
      </c>
      <c r="D930" t="inlineStr">
        <is>
          <t>SS01</t>
        </is>
      </c>
      <c r="E930" t="inlineStr">
        <is>
          <t xml:space="preserve">san salvador centro </t>
        </is>
      </c>
      <c r="F930" t="inlineStr">
        <is>
          <t>4a Calle Poniente #215</t>
        </is>
      </c>
      <c r="G930" t="inlineStr">
        <is>
          <t>San Salvador</t>
        </is>
      </c>
      <c r="H930" t="inlineStr">
        <is>
          <t>San Salvador</t>
        </is>
      </c>
      <c r="I930" t="inlineStr">
        <is>
          <t>Roberto Alfaro</t>
        </is>
      </c>
      <c r="J930" t="inlineStr">
        <is>
          <t>2221-4580</t>
        </is>
      </c>
      <c r="K930" t="inlineStr">
        <is>
          <t>Daniela Orellana</t>
        </is>
      </c>
      <c r="L930" t="inlineStr">
        <is>
          <t>Xiomara Cornejo Guevara</t>
        </is>
      </c>
      <c r="M930" t="inlineStr">
        <is>
          <t>09840186-7</t>
        </is>
      </c>
      <c r="N930" t="inlineStr">
        <is>
          <t>2102-2322</t>
        </is>
      </c>
      <c r="O930" t="inlineStr">
        <is>
          <t>Consumidor final</t>
        </is>
      </c>
      <c r="P930" t="inlineStr">
        <is>
          <t>LAC-002</t>
        </is>
      </c>
      <c r="Q930" t="inlineStr">
        <is>
          <t>Crema 500ml</t>
        </is>
      </c>
      <c r="R930" t="inlineStr">
        <is>
          <t>Lácteos</t>
        </is>
      </c>
      <c r="S930" t="inlineStr">
        <is>
          <t>Lácteos Chalate</t>
        </is>
      </c>
      <c r="T930" t="inlineStr">
        <is>
          <t>7120-4455</t>
        </is>
      </c>
      <c r="U930" t="inlineStr">
        <is>
          <t>2,25</t>
        </is>
      </c>
      <c r="V930" t="n">
        <v>1</v>
      </c>
      <c r="W930" t="n">
        <v>0</v>
      </c>
      <c r="X930">
        <f>IFERROR(U930*V930*(1-W930/100),"")</f>
        <v/>
      </c>
      <c r="Y930">
        <f>IFERROR(ROUND(X930*0.13,2),"")</f>
        <v/>
      </c>
      <c r="Z930">
        <f>IFERROR(X930+Y930,"")</f>
        <v/>
      </c>
      <c r="AA930" t="inlineStr">
        <is>
          <t>Tarjeta</t>
        </is>
      </c>
      <c r="AB930" t="inlineStr"/>
    </row>
    <row r="931">
      <c r="A931" t="inlineStr">
        <is>
          <t>F-11188</t>
        </is>
      </c>
      <c r="B931" s="3" t="n">
        <v>46225</v>
      </c>
      <c r="C931" t="inlineStr">
        <is>
          <t>Factura</t>
        </is>
      </c>
      <c r="D931" t="inlineStr">
        <is>
          <t>SS01</t>
        </is>
      </c>
      <c r="E931" t="inlineStr">
        <is>
          <t>San Salvador Centro</t>
        </is>
      </c>
      <c r="F931" t="inlineStr">
        <is>
          <t>4a Calle Poniente #215</t>
        </is>
      </c>
      <c r="G931" t="inlineStr">
        <is>
          <t>San Salvador</t>
        </is>
      </c>
      <c r="H931" t="inlineStr">
        <is>
          <t>San Salvador</t>
        </is>
      </c>
      <c r="I931" t="inlineStr">
        <is>
          <t>Roberto Alfaro</t>
        </is>
      </c>
      <c r="J931" t="inlineStr">
        <is>
          <t>2221-4580</t>
        </is>
      </c>
      <c r="K931" t="inlineStr">
        <is>
          <t>Daniela Orellana</t>
        </is>
      </c>
      <c r="L931" t="inlineStr">
        <is>
          <t>Xiomara Cornejo Guevara</t>
        </is>
      </c>
      <c r="M931" t="inlineStr">
        <is>
          <t>09840186-7</t>
        </is>
      </c>
      <c r="N931" t="inlineStr">
        <is>
          <t>2102-2322</t>
        </is>
      </c>
      <c r="O931" t="inlineStr">
        <is>
          <t>Consumidor final</t>
        </is>
      </c>
      <c r="P931" t="inlineStr">
        <is>
          <t>AZU-001</t>
        </is>
      </c>
      <c r="Q931" t="inlineStr">
        <is>
          <t>Azúcar blanca 2.5kg</t>
        </is>
      </c>
      <c r="R931" t="inlineStr">
        <is>
          <t>Abarrotes</t>
        </is>
      </c>
      <c r="S931" t="inlineStr">
        <is>
          <t>Granos del Pacífico</t>
        </is>
      </c>
      <c r="T931" t="inlineStr">
        <is>
          <t>2234-8890</t>
        </is>
      </c>
      <c r="U931" t="n">
        <v>3.1</v>
      </c>
      <c r="V931" t="n">
        <v>4</v>
      </c>
      <c r="W931" t="n">
        <v>0</v>
      </c>
      <c r="X931">
        <f>IFERROR(U931*V931*(1-W931/100),"")</f>
        <v/>
      </c>
      <c r="Y931">
        <f>IFERROR(ROUND(X931*0.13,2),"")</f>
        <v/>
      </c>
      <c r="Z931">
        <f>IFERROR(X931+Y931,"")</f>
        <v/>
      </c>
      <c r="AA931" t="inlineStr">
        <is>
          <t>Tarjeta</t>
        </is>
      </c>
      <c r="AB931" t="inlineStr">
        <is>
          <t>entregar en bodega</t>
        </is>
      </c>
    </row>
    <row r="932">
      <c r="A932" t="inlineStr">
        <is>
          <t>F-11191</t>
        </is>
      </c>
      <c r="B932" s="3" t="n">
        <v>46263</v>
      </c>
      <c r="C932" t="inlineStr">
        <is>
          <t>Factura</t>
        </is>
      </c>
      <c r="D932" t="inlineStr">
        <is>
          <t>SS01</t>
        </is>
      </c>
      <c r="E932" t="inlineStr">
        <is>
          <t>San Salvador Centro</t>
        </is>
      </c>
      <c r="F932" t="inlineStr">
        <is>
          <t>4a Calle Poniente #215</t>
        </is>
      </c>
      <c r="G932" t="inlineStr">
        <is>
          <t>San Salvador</t>
        </is>
      </c>
      <c r="H932" t="inlineStr">
        <is>
          <t>San Salvador</t>
        </is>
      </c>
      <c r="I932" t="inlineStr">
        <is>
          <t>Roberto Alfaro</t>
        </is>
      </c>
      <c r="J932" t="inlineStr">
        <is>
          <t>2221-4580</t>
        </is>
      </c>
      <c r="K932" t="inlineStr">
        <is>
          <t>José Martínez</t>
        </is>
      </c>
      <c r="L932" t="inlineStr">
        <is>
          <t>CARMEN QUINTANILLA MEJÍA</t>
        </is>
      </c>
      <c r="M932" t="inlineStr"/>
      <c r="N932" t="inlineStr">
        <is>
          <t>6863-9414</t>
        </is>
      </c>
      <c r="O932" t="inlineStr">
        <is>
          <t>Consumidor final</t>
        </is>
      </c>
      <c r="P932" t="inlineStr">
        <is>
          <t>BEB-002</t>
        </is>
      </c>
      <c r="Q932" t="inlineStr">
        <is>
          <t>Agua purificada 1 galón</t>
        </is>
      </c>
      <c r="R932" t="inlineStr">
        <is>
          <t>Bebidas</t>
        </is>
      </c>
      <c r="S932" t="inlineStr">
        <is>
          <t>Bebidas Izalco</t>
        </is>
      </c>
      <c r="T932" t="inlineStr">
        <is>
          <t>2450-7700</t>
        </is>
      </c>
      <c r="U932" t="n">
        <v>1.1</v>
      </c>
      <c r="V932" t="n">
        <v>4</v>
      </c>
      <c r="W932" t="n">
        <v>0</v>
      </c>
      <c r="X932">
        <f>IFERROR(U932*V932*(1-W932/100),"")</f>
        <v/>
      </c>
      <c r="Y932">
        <f>IFERROR(ROUND(X932*0.13,2),"")</f>
        <v/>
      </c>
      <c r="Z932">
        <f>IFERROR(X932+Y932,"")</f>
        <v/>
      </c>
      <c r="AA932" t="inlineStr">
        <is>
          <t>Tarjeta</t>
        </is>
      </c>
      <c r="AB932" t="inlineStr">
        <is>
          <t>precio especial autorizado por gerente</t>
        </is>
      </c>
    </row>
    <row r="933">
      <c r="A933" t="inlineStr">
        <is>
          <t>F-11194</t>
        </is>
      </c>
      <c r="B933" s="3" t="n">
        <v>46241</v>
      </c>
      <c r="C933" t="inlineStr">
        <is>
          <t>FCF</t>
        </is>
      </c>
      <c r="D933" t="inlineStr">
        <is>
          <t>SA01</t>
        </is>
      </c>
      <c r="E933" t="inlineStr">
        <is>
          <t>Santa Ana</t>
        </is>
      </c>
      <c r="F933" t="inlineStr">
        <is>
          <t>Av. Independencia Sur #12</t>
        </is>
      </c>
      <c r="G933" t="inlineStr">
        <is>
          <t>Santa Ana</t>
        </is>
      </c>
      <c r="H933" t="inlineStr">
        <is>
          <t>Santa Ana</t>
        </is>
      </c>
      <c r="I933" t="inlineStr">
        <is>
          <t>Mauricio Linares</t>
        </is>
      </c>
      <c r="J933" t="inlineStr">
        <is>
          <t>2440-9921</t>
        </is>
      </c>
      <c r="K933" t="inlineStr">
        <is>
          <t>Diego Zelaya</t>
        </is>
      </c>
      <c r="L933" t="inlineStr">
        <is>
          <t>José López Pérez</t>
        </is>
      </c>
      <c r="M933" t="inlineStr">
        <is>
          <t>07894436-0</t>
        </is>
      </c>
      <c r="N933" t="inlineStr">
        <is>
          <t>2795-9333</t>
        </is>
      </c>
      <c r="O933" t="inlineStr">
        <is>
          <t>Consumidor final</t>
        </is>
      </c>
      <c r="P933" t="inlineStr">
        <is>
          <t>BEB-001</t>
        </is>
      </c>
      <c r="Q933" t="inlineStr">
        <is>
          <t>Gaseosa 2.5L</t>
        </is>
      </c>
      <c r="R933" t="inlineStr">
        <is>
          <t>Bebidas</t>
        </is>
      </c>
      <c r="S933" t="inlineStr">
        <is>
          <t>Bebidas Izalco</t>
        </is>
      </c>
      <c r="T933" t="inlineStr">
        <is>
          <t>2450-7700</t>
        </is>
      </c>
      <c r="U933" t="n">
        <v>1.95</v>
      </c>
      <c r="V933" t="n">
        <v>1</v>
      </c>
      <c r="W933" t="n">
        <v>0</v>
      </c>
      <c r="X933">
        <f>IFERROR(U933*V933*(1-W933/100),"")</f>
        <v/>
      </c>
      <c r="Y933">
        <f>IFERROR(ROUND(X933*0.13,2),"")</f>
        <v/>
      </c>
      <c r="Z933">
        <f>IFERROR(X933+Y933,"")</f>
        <v/>
      </c>
      <c r="AA933" t="inlineStr">
        <is>
          <t>efectivo</t>
        </is>
      </c>
      <c r="AB933" t="inlineStr"/>
    </row>
    <row r="934">
      <c r="A934" t="inlineStr">
        <is>
          <t>F-11195</t>
        </is>
      </c>
      <c r="B934" s="3" t="n">
        <v>46290</v>
      </c>
      <c r="C934" t="inlineStr">
        <is>
          <t>Factura</t>
        </is>
      </c>
      <c r="D934" t="inlineStr">
        <is>
          <t>LL01</t>
        </is>
      </c>
      <c r="E934" t="inlineStr">
        <is>
          <t>Sta. Tecla</t>
        </is>
      </c>
      <c r="F934" t="inlineStr">
        <is>
          <t>Calle Daniel Hernández #18</t>
        </is>
      </c>
      <c r="G934" t="inlineStr">
        <is>
          <t>Santa Tecla</t>
        </is>
      </c>
      <c r="H934" t="inlineStr">
        <is>
          <t>La Libertad</t>
        </is>
      </c>
      <c r="I934" t="inlineStr">
        <is>
          <t>Óscar Rivas</t>
        </is>
      </c>
      <c r="J934" t="inlineStr">
        <is>
          <t>2228-7731</t>
        </is>
      </c>
      <c r="K934" t="inlineStr">
        <is>
          <t>Luis Escobar</t>
        </is>
      </c>
      <c r="L934" t="inlineStr">
        <is>
          <t>Xiomara Hernández Quintanilla</t>
        </is>
      </c>
      <c r="M934" t="inlineStr">
        <is>
          <t>06385104-8</t>
        </is>
      </c>
      <c r="N934" t="inlineStr">
        <is>
          <t>7931-3589</t>
        </is>
      </c>
      <c r="O934" t="inlineStr">
        <is>
          <t>Consumidor final</t>
        </is>
      </c>
      <c r="P934" t="inlineStr">
        <is>
          <t>HIG-002</t>
        </is>
      </c>
      <c r="Q934" t="inlineStr">
        <is>
          <t>Papel higiénico 4 rollos</t>
        </is>
      </c>
      <c r="R934" t="inlineStr">
        <is>
          <t>Higiene</t>
        </is>
      </c>
      <c r="S934" t="inlineStr">
        <is>
          <t>Higiene Total C.A.</t>
        </is>
      </c>
      <c r="T934" t="inlineStr">
        <is>
          <t>2207-5566</t>
        </is>
      </c>
      <c r="U934" t="inlineStr">
        <is>
          <t>2,15</t>
        </is>
      </c>
      <c r="V934" t="n">
        <v>2</v>
      </c>
      <c r="W934" t="n">
        <v>0</v>
      </c>
      <c r="X934">
        <f>IFERROR(U934*V934*(1-W934/100),"")</f>
        <v/>
      </c>
      <c r="Y934">
        <f>IFERROR(ROUND(X934*0.13,2),"")</f>
        <v/>
      </c>
      <c r="Z934">
        <f>IFERROR(X934+Y934,"")</f>
        <v/>
      </c>
      <c r="AA934" t="inlineStr">
        <is>
          <t>Efectivo</t>
        </is>
      </c>
      <c r="AB934" t="inlineStr">
        <is>
          <t>pagó con billete de $100</t>
        </is>
      </c>
    </row>
    <row r="935">
      <c r="A935" t="inlineStr">
        <is>
          <t>F-11198</t>
        </is>
      </c>
      <c r="B935" s="3" t="n">
        <v>46273</v>
      </c>
      <c r="C935" t="inlineStr">
        <is>
          <t>Factura</t>
        </is>
      </c>
      <c r="D935" t="inlineStr">
        <is>
          <t>LL01</t>
        </is>
      </c>
      <c r="E935" t="inlineStr">
        <is>
          <t>Sta. Tecla</t>
        </is>
      </c>
      <c r="F935" t="inlineStr">
        <is>
          <t>Calle Daniel Hernández #18</t>
        </is>
      </c>
      <c r="G935" t="inlineStr">
        <is>
          <t>Santa Tecla</t>
        </is>
      </c>
      <c r="H935" t="inlineStr">
        <is>
          <t>La Libertad</t>
        </is>
      </c>
      <c r="I935" t="inlineStr">
        <is>
          <t>Óscar Rivas</t>
        </is>
      </c>
      <c r="J935" t="inlineStr">
        <is>
          <t>2228-7731</t>
        </is>
      </c>
      <c r="K935" t="inlineStr">
        <is>
          <t>Luis Escobar</t>
        </is>
      </c>
      <c r="L935" t="inlineStr">
        <is>
          <t>Xiomara Cornejo Guevara</t>
        </is>
      </c>
      <c r="M935" t="inlineStr"/>
      <c r="N935" t="inlineStr">
        <is>
          <t>2102-2322</t>
        </is>
      </c>
      <c r="O935" t="inlineStr">
        <is>
          <t>Consumidor final</t>
        </is>
      </c>
      <c r="P935" t="inlineStr">
        <is>
          <t>BEB-002</t>
        </is>
      </c>
      <c r="Q935" t="inlineStr">
        <is>
          <t>Agua purificada 1 galón</t>
        </is>
      </c>
      <c r="R935" t="inlineStr">
        <is>
          <t>Bebidas</t>
        </is>
      </c>
      <c r="S935" t="inlineStr">
        <is>
          <t>Bebidas Izalco</t>
        </is>
      </c>
      <c r="T935" t="inlineStr">
        <is>
          <t>2450-7700</t>
        </is>
      </c>
      <c r="U935" t="n">
        <v>1.1</v>
      </c>
      <c r="V935" t="n">
        <v>1</v>
      </c>
      <c r="W935" t="n">
        <v>0</v>
      </c>
      <c r="X935">
        <f>IFERROR(U935*V935*(1-W935/100),"")</f>
        <v/>
      </c>
      <c r="Y935">
        <f>IFERROR(ROUND(X935*0.13,2),"")</f>
        <v/>
      </c>
      <c r="Z935">
        <f>IFERROR(X935+Y935,"")</f>
        <v/>
      </c>
      <c r="AA935" t="inlineStr">
        <is>
          <t>Efectivo</t>
        </is>
      </c>
      <c r="AB935" t="inlineStr"/>
    </row>
    <row r="936">
      <c r="A936" t="inlineStr">
        <is>
          <t>F-11198</t>
        </is>
      </c>
      <c r="B936" s="3" t="n">
        <v>46273</v>
      </c>
      <c r="C936" t="inlineStr">
        <is>
          <t>Factura</t>
        </is>
      </c>
      <c r="D936" t="inlineStr">
        <is>
          <t>LL01</t>
        </is>
      </c>
      <c r="E936" t="inlineStr">
        <is>
          <t>SANTA TECLA</t>
        </is>
      </c>
      <c r="F936" t="inlineStr">
        <is>
          <t>Calle Daniel Hernández #18</t>
        </is>
      </c>
      <c r="G936" t="inlineStr">
        <is>
          <t>Santa Tecla</t>
        </is>
      </c>
      <c r="H936" t="inlineStr">
        <is>
          <t>La Libertad</t>
        </is>
      </c>
      <c r="I936" t="inlineStr">
        <is>
          <t>Óscar Rivas</t>
        </is>
      </c>
      <c r="J936" t="inlineStr">
        <is>
          <t>2228-7731</t>
        </is>
      </c>
      <c r="K936" t="inlineStr">
        <is>
          <t>Luis Escobar</t>
        </is>
      </c>
      <c r="L936" t="inlineStr">
        <is>
          <t>Xiomara Cornejo Guevara</t>
        </is>
      </c>
      <c r="M936" t="inlineStr">
        <is>
          <t>09840186-7</t>
        </is>
      </c>
      <c r="N936" t="inlineStr">
        <is>
          <t>2102-2322</t>
        </is>
      </c>
      <c r="O936" t="inlineStr">
        <is>
          <t>Consumidor final</t>
        </is>
      </c>
      <c r="P936" t="inlineStr">
        <is>
          <t>LAC-001</t>
        </is>
      </c>
      <c r="Q936" t="inlineStr">
        <is>
          <t>Quesillo 1lb</t>
        </is>
      </c>
      <c r="R936" t="inlineStr">
        <is>
          <t>LACTEOS</t>
        </is>
      </c>
      <c r="S936" t="inlineStr">
        <is>
          <t>Lácteos Chalate</t>
        </is>
      </c>
      <c r="T936" t="inlineStr">
        <is>
          <t>2335-1020</t>
        </is>
      </c>
      <c r="U936" t="n">
        <v>3.8</v>
      </c>
      <c r="V936" t="n">
        <v>1</v>
      </c>
      <c r="W936" t="n">
        <v>0</v>
      </c>
      <c r="X936">
        <f>IFERROR(U936*V936*(1-W936/100),"")</f>
        <v/>
      </c>
      <c r="Y936">
        <f>IFERROR(ROUND(X936*0.13,2),"")</f>
        <v/>
      </c>
      <c r="Z936">
        <f>IFERROR(X936+Y936,"")</f>
        <v/>
      </c>
      <c r="AA936" t="inlineStr">
        <is>
          <t>Efectivo</t>
        </is>
      </c>
      <c r="AB936" t="inlineStr">
        <is>
          <t>precio especial autorizado por gerente</t>
        </is>
      </c>
    </row>
    <row r="937">
      <c r="A937" t="inlineStr">
        <is>
          <t>F-11198</t>
        </is>
      </c>
      <c r="B937" t="inlineStr">
        <is>
          <t>08-Sep-26</t>
        </is>
      </c>
      <c r="C937" t="inlineStr">
        <is>
          <t>Factura</t>
        </is>
      </c>
      <c r="D937" t="inlineStr">
        <is>
          <t>LL01</t>
        </is>
      </c>
      <c r="E937" t="inlineStr">
        <is>
          <t>Santa Tecla</t>
        </is>
      </c>
      <c r="F937" t="inlineStr">
        <is>
          <t>Calle Daniel Hernández #18</t>
        </is>
      </c>
      <c r="G937" t="inlineStr">
        <is>
          <t>Santa Tecla</t>
        </is>
      </c>
      <c r="H937" t="inlineStr">
        <is>
          <t>La Libertad</t>
        </is>
      </c>
      <c r="I937" t="inlineStr">
        <is>
          <t>Óscar Rivas</t>
        </is>
      </c>
      <c r="J937" t="inlineStr">
        <is>
          <t>2228-7731</t>
        </is>
      </c>
      <c r="K937" t="inlineStr">
        <is>
          <t>Luis Escobar</t>
        </is>
      </c>
      <c r="L937" t="inlineStr">
        <is>
          <t>XIOMARA CORNEJO GUEVARA</t>
        </is>
      </c>
      <c r="M937" t="inlineStr">
        <is>
          <t>09840186-7</t>
        </is>
      </c>
      <c r="N937" t="inlineStr">
        <is>
          <t>2102-2322</t>
        </is>
      </c>
      <c r="O937" t="inlineStr">
        <is>
          <t>Consumidor final</t>
        </is>
      </c>
      <c r="P937" t="inlineStr">
        <is>
          <t>FRI-001</t>
        </is>
      </c>
      <c r="Q937" t="inlineStr">
        <is>
          <t>Frijol rojo de seda 2lb</t>
        </is>
      </c>
      <c r="R937" t="inlineStr">
        <is>
          <t>Granos básicos</t>
        </is>
      </c>
      <c r="S937" t="inlineStr">
        <is>
          <t>Granos del Pacífico</t>
        </is>
      </c>
      <c r="T937" t="inlineStr">
        <is>
          <t>2234-8890</t>
        </is>
      </c>
      <c r="U937" t="inlineStr">
        <is>
          <t>2,40</t>
        </is>
      </c>
      <c r="V937" t="n">
        <v>12</v>
      </c>
      <c r="W937" t="n">
        <v>0</v>
      </c>
      <c r="X937">
        <f>IFERROR(U937*V937*(1-W937/100),"")</f>
        <v/>
      </c>
      <c r="Y937">
        <f>IFERROR(ROUND(X937*0.13,2),"")</f>
        <v/>
      </c>
      <c r="Z937">
        <f>IFERROR(X937+Y937,"")</f>
        <v/>
      </c>
      <c r="AA937" t="inlineStr">
        <is>
          <t>Efectivo</t>
        </is>
      </c>
      <c r="AB937" t="inlineStr">
        <is>
          <t>Cliente frecuente</t>
        </is>
      </c>
    </row>
    <row r="938">
      <c r="A938" t="inlineStr">
        <is>
          <t>F-11199</t>
        </is>
      </c>
      <c r="B938" s="3" t="n">
        <v>46250</v>
      </c>
      <c r="C938" t="inlineStr">
        <is>
          <t>Factura</t>
        </is>
      </c>
      <c r="D938" t="inlineStr">
        <is>
          <t>SS03</t>
        </is>
      </c>
      <c r="E938" t="inlineStr">
        <is>
          <t xml:space="preserve">SOYAPANGO </t>
        </is>
      </c>
      <c r="F938" t="inlineStr">
        <is>
          <t>Blvd. del Ejército km 4</t>
        </is>
      </c>
      <c r="G938" t="inlineStr">
        <is>
          <t>Soyapango</t>
        </is>
      </c>
      <c r="H938" t="inlineStr">
        <is>
          <t>San Salvador</t>
        </is>
      </c>
      <c r="I938" t="inlineStr">
        <is>
          <t>Karla Henríquez</t>
        </is>
      </c>
      <c r="J938" t="inlineStr">
        <is>
          <t>2277-3402</t>
        </is>
      </c>
      <c r="K938" t="inlineStr">
        <is>
          <t>Marta Gómez</t>
        </is>
      </c>
      <c r="L938" t="inlineStr">
        <is>
          <t>Edwin Cornejo Mejía</t>
        </is>
      </c>
      <c r="M938" t="inlineStr">
        <is>
          <t>09391819-6</t>
        </is>
      </c>
      <c r="N938" t="inlineStr">
        <is>
          <t>7415-9980</t>
        </is>
      </c>
      <c r="O938" t="inlineStr">
        <is>
          <t>Consumidor final</t>
        </is>
      </c>
      <c r="P938" t="inlineStr">
        <is>
          <t>LAC-002</t>
        </is>
      </c>
      <c r="Q938" t="inlineStr">
        <is>
          <t>Crema 500ml</t>
        </is>
      </c>
      <c r="R938" t="inlineStr">
        <is>
          <t>Lácteos</t>
        </is>
      </c>
      <c r="S938" t="inlineStr">
        <is>
          <t>Lácteos Chalate</t>
        </is>
      </c>
      <c r="T938" t="inlineStr">
        <is>
          <t>2335-1020</t>
        </is>
      </c>
      <c r="U938" t="n">
        <v>2.25</v>
      </c>
      <c r="V938" t="n">
        <v>3</v>
      </c>
      <c r="W938" t="n">
        <v>0</v>
      </c>
      <c r="X938">
        <f>IFERROR(U938*V938*(1-W938/100),"")</f>
        <v/>
      </c>
      <c r="Y938">
        <f>IFERROR(ROUND(X938*0.13,2),"")</f>
        <v/>
      </c>
      <c r="Z938">
        <f>IFERROR(X938+Y938,"")</f>
        <v/>
      </c>
      <c r="AA938" t="inlineStr">
        <is>
          <t>Efectivo</t>
        </is>
      </c>
      <c r="AB938" t="inlineStr">
        <is>
          <t>Cliente frecuente</t>
        </is>
      </c>
    </row>
    <row r="939">
      <c r="A939" t="inlineStr">
        <is>
          <t>F-11200</t>
        </is>
      </c>
      <c r="B939" t="inlineStr">
        <is>
          <t>28/07/2026</t>
        </is>
      </c>
      <c r="C939" t="inlineStr">
        <is>
          <t>Factura</t>
        </is>
      </c>
      <c r="D939" t="inlineStr">
        <is>
          <t>LL01</t>
        </is>
      </c>
      <c r="E939" t="inlineStr">
        <is>
          <t>Sta. Tecla</t>
        </is>
      </c>
      <c r="F939" t="inlineStr">
        <is>
          <t>Calle Daniel Hernández #18</t>
        </is>
      </c>
      <c r="G939" t="inlineStr">
        <is>
          <t>Santa Tecla</t>
        </is>
      </c>
      <c r="H939" t="inlineStr">
        <is>
          <t>La Libertad</t>
        </is>
      </c>
      <c r="I939" t="inlineStr">
        <is>
          <t>Óscar Rivas</t>
        </is>
      </c>
      <c r="J939" t="inlineStr">
        <is>
          <t>2228-7731</t>
        </is>
      </c>
      <c r="K939" t="inlineStr">
        <is>
          <t>Andrea Pineda</t>
        </is>
      </c>
      <c r="L939" t="inlineStr">
        <is>
          <t>Jorge García Hernández</t>
        </is>
      </c>
      <c r="M939" t="inlineStr">
        <is>
          <t>09167886-4</t>
        </is>
      </c>
      <c r="N939" t="inlineStr">
        <is>
          <t>7875-6853</t>
        </is>
      </c>
      <c r="O939" t="inlineStr">
        <is>
          <t>Consumidor final</t>
        </is>
      </c>
      <c r="P939" t="inlineStr">
        <is>
          <t>CAF-001</t>
        </is>
      </c>
      <c r="Q939" t="inlineStr">
        <is>
          <t>Café molido 400g</t>
        </is>
      </c>
      <c r="R939" t="inlineStr">
        <is>
          <t>abarrotes</t>
        </is>
      </c>
      <c r="S939" t="inlineStr">
        <is>
          <t>Café Volcán S.A.</t>
        </is>
      </c>
      <c r="T939" t="inlineStr">
        <is>
          <t>2510-3344</t>
        </is>
      </c>
      <c r="U939" t="n">
        <v>4.25</v>
      </c>
      <c r="V939" t="n">
        <v>1</v>
      </c>
      <c r="W939" t="n">
        <v>0</v>
      </c>
      <c r="X939">
        <f>IFERROR(U939*V939*(1-W939/100),"")</f>
        <v/>
      </c>
      <c r="Y939">
        <f>IFERROR(ROUND(X939*0.13,2),"")</f>
        <v/>
      </c>
      <c r="Z939">
        <f>IFERROR(X939+Y939,"")</f>
        <v/>
      </c>
      <c r="AA939" t="inlineStr">
        <is>
          <t>Efectivo</t>
        </is>
      </c>
      <c r="AB939" t="inlineStr"/>
    </row>
    <row r="940">
      <c r="A940" t="inlineStr">
        <is>
          <t>F-11200</t>
        </is>
      </c>
      <c r="B940" s="3" t="n">
        <v>46231</v>
      </c>
      <c r="C940" t="inlineStr">
        <is>
          <t>Factura</t>
        </is>
      </c>
      <c r="D940" t="inlineStr">
        <is>
          <t>LL01</t>
        </is>
      </c>
      <c r="E940" t="inlineStr">
        <is>
          <t>Santa Tecla</t>
        </is>
      </c>
      <c r="F940" t="inlineStr">
        <is>
          <t>Calle Daniel Hernández #18</t>
        </is>
      </c>
      <c r="G940" t="inlineStr">
        <is>
          <t>Santa Tecla</t>
        </is>
      </c>
      <c r="H940" t="inlineStr">
        <is>
          <t>La Libertad</t>
        </is>
      </c>
      <c r="I940" t="inlineStr">
        <is>
          <t>Óscar Rivas</t>
        </is>
      </c>
      <c r="J940" t="inlineStr">
        <is>
          <t>2228-7731</t>
        </is>
      </c>
      <c r="K940" t="inlineStr">
        <is>
          <t>Andrea Pineda</t>
        </is>
      </c>
      <c r="L940" t="inlineStr">
        <is>
          <t>Jorge García Hernández</t>
        </is>
      </c>
      <c r="M940" t="inlineStr">
        <is>
          <t>09167886-4</t>
        </is>
      </c>
      <c r="N940" t="inlineStr">
        <is>
          <t>7875-6853</t>
        </is>
      </c>
      <c r="O940" t="inlineStr">
        <is>
          <t>Consumidor final</t>
        </is>
      </c>
      <c r="P940" t="inlineStr">
        <is>
          <t>LAC-001</t>
        </is>
      </c>
      <c r="Q940" t="inlineStr">
        <is>
          <t>Quesillo 1lb</t>
        </is>
      </c>
      <c r="R940" t="inlineStr">
        <is>
          <t>LACTEOS</t>
        </is>
      </c>
      <c r="S940" t="inlineStr">
        <is>
          <t>Lácteos Chalate</t>
        </is>
      </c>
      <c r="T940" t="inlineStr">
        <is>
          <t>2335-1020</t>
        </is>
      </c>
      <c r="U940" t="n">
        <v>3.8</v>
      </c>
      <c r="V940" t="n">
        <v>24</v>
      </c>
      <c r="W940" t="n">
        <v>0</v>
      </c>
      <c r="X940">
        <f>IFERROR(U940*V940*(1-W940/100),"")</f>
        <v/>
      </c>
      <c r="Y940">
        <f>IFERROR(ROUND(X940*0.13,2),"")</f>
        <v/>
      </c>
      <c r="Z940">
        <f>IFERROR(X940+Y940,"")</f>
        <v/>
      </c>
      <c r="AA940" t="inlineStr">
        <is>
          <t>Efectivo</t>
        </is>
      </c>
      <c r="AB940" t="inlineStr"/>
    </row>
    <row r="941">
      <c r="A941" t="inlineStr">
        <is>
          <t>F-11200</t>
        </is>
      </c>
      <c r="B941" s="3" t="n">
        <v>46231</v>
      </c>
      <c r="C941" t="inlineStr">
        <is>
          <t>Factura</t>
        </is>
      </c>
      <c r="D941" t="inlineStr">
        <is>
          <t>LL01</t>
        </is>
      </c>
      <c r="E941" t="inlineStr">
        <is>
          <t>SANTA TECLA</t>
        </is>
      </c>
      <c r="F941" t="inlineStr">
        <is>
          <t>Calle Daniel Hernández #18</t>
        </is>
      </c>
      <c r="G941" t="inlineStr">
        <is>
          <t>Santa Tecla</t>
        </is>
      </c>
      <c r="H941" t="inlineStr">
        <is>
          <t>La Libertad</t>
        </is>
      </c>
      <c r="I941" t="inlineStr">
        <is>
          <t>Óscar Rivas</t>
        </is>
      </c>
      <c r="J941" t="inlineStr">
        <is>
          <t>2228-7731</t>
        </is>
      </c>
      <c r="K941" t="inlineStr">
        <is>
          <t>Andrea Pineda</t>
        </is>
      </c>
      <c r="L941" t="inlineStr">
        <is>
          <t>Jorge García Hernández</t>
        </is>
      </c>
      <c r="M941" t="inlineStr">
        <is>
          <t>09167886-4</t>
        </is>
      </c>
      <c r="N941" t="inlineStr">
        <is>
          <t>7875-6853</t>
        </is>
      </c>
      <c r="O941" t="inlineStr">
        <is>
          <t>Consumidor final</t>
        </is>
      </c>
      <c r="P941" t="inlineStr">
        <is>
          <t>CAF-002</t>
        </is>
      </c>
      <c r="Q941" t="inlineStr">
        <is>
          <t>Café en grano 1lb</t>
        </is>
      </c>
      <c r="R941" t="inlineStr">
        <is>
          <t>Abarrotes</t>
        </is>
      </c>
      <c r="S941" t="inlineStr">
        <is>
          <t>Café Volcán S.A.</t>
        </is>
      </c>
      <c r="T941" t="inlineStr">
        <is>
          <t>2510-3344</t>
        </is>
      </c>
      <c r="U941" t="n">
        <v>6.75</v>
      </c>
      <c r="V941" t="n">
        <v>4</v>
      </c>
      <c r="W941" t="n">
        <v>0</v>
      </c>
      <c r="X941">
        <f>IFERROR(U941*V941*(1-W941/100),"")</f>
        <v/>
      </c>
      <c r="Y941">
        <f>IFERROR(ROUND(X941*0.13,2),"")</f>
        <v/>
      </c>
      <c r="Z941">
        <f>IFERROR(X941+Y941,"")</f>
        <v/>
      </c>
      <c r="AA941" t="inlineStr">
        <is>
          <t>Efectivo</t>
        </is>
      </c>
      <c r="AB941" t="inlineStr"/>
    </row>
    <row r="942">
      <c r="A942" t="inlineStr">
        <is>
          <t>F-11200</t>
        </is>
      </c>
      <c r="B942" t="inlineStr">
        <is>
          <t>2026-07-28</t>
        </is>
      </c>
      <c r="C942" t="inlineStr">
        <is>
          <t>Factura</t>
        </is>
      </c>
      <c r="D942" t="inlineStr">
        <is>
          <t>LL01</t>
        </is>
      </c>
      <c r="E942" t="inlineStr">
        <is>
          <t>SANTA TECLA</t>
        </is>
      </c>
      <c r="F942" t="inlineStr">
        <is>
          <t>Calle Daniel Hernández #18</t>
        </is>
      </c>
      <c r="G942" t="inlineStr">
        <is>
          <t>Santa Tecla</t>
        </is>
      </c>
      <c r="H942" t="inlineStr">
        <is>
          <t>La Libertad</t>
        </is>
      </c>
      <c r="I942" t="inlineStr">
        <is>
          <t>Óscar Rivas</t>
        </is>
      </c>
      <c r="J942" t="inlineStr">
        <is>
          <t>2228-7731</t>
        </is>
      </c>
      <c r="K942" t="inlineStr">
        <is>
          <t>Andrea Pineda</t>
        </is>
      </c>
      <c r="L942" t="inlineStr">
        <is>
          <t>Jorge García Hernández</t>
        </is>
      </c>
      <c r="M942" t="inlineStr">
        <is>
          <t>09167886-4</t>
        </is>
      </c>
      <c r="N942" t="inlineStr">
        <is>
          <t>7875-6853</t>
        </is>
      </c>
      <c r="O942" t="inlineStr">
        <is>
          <t>Consumidor final</t>
        </is>
      </c>
      <c r="P942" t="inlineStr">
        <is>
          <t>LAC-003</t>
        </is>
      </c>
      <c r="Q942" t="inlineStr">
        <is>
          <t>Leche entera 1L</t>
        </is>
      </c>
      <c r="R942" t="inlineStr">
        <is>
          <t>Lácteos</t>
        </is>
      </c>
      <c r="S942" t="inlineStr">
        <is>
          <t>Lácteos Chalate</t>
        </is>
      </c>
      <c r="T942" t="inlineStr">
        <is>
          <t>2335-1020</t>
        </is>
      </c>
      <c r="U942" t="n">
        <v>1.2</v>
      </c>
      <c r="V942" t="n">
        <v>-1</v>
      </c>
      <c r="W942" t="n">
        <v>0</v>
      </c>
      <c r="X942">
        <f>IFERROR(U942*V942*(1-W942/100),"")</f>
        <v/>
      </c>
      <c r="Y942">
        <f>IFERROR(ROUND(X942*0.13,2),"")</f>
        <v/>
      </c>
      <c r="Z942">
        <f>IFERROR(X942+Y942,"")</f>
        <v/>
      </c>
      <c r="AA942" t="inlineStr">
        <is>
          <t>Efectivo</t>
        </is>
      </c>
      <c r="AB942" t="inlineStr"/>
    </row>
    <row r="943">
      <c r="A943" t="inlineStr">
        <is>
          <t>F-11203</t>
        </is>
      </c>
      <c r="B943" s="3" t="n">
        <v>46249</v>
      </c>
      <c r="C943" t="inlineStr">
        <is>
          <t>Factura</t>
        </is>
      </c>
      <c r="D943" t="inlineStr">
        <is>
          <t>LL01</t>
        </is>
      </c>
      <c r="E943" t="inlineStr">
        <is>
          <t>Santa Tecla</t>
        </is>
      </c>
      <c r="F943" t="inlineStr">
        <is>
          <t>Calle Daniel Hernández #18</t>
        </is>
      </c>
      <c r="G943" t="inlineStr">
        <is>
          <t>Santa Tecla</t>
        </is>
      </c>
      <c r="H943" t="inlineStr">
        <is>
          <t>La Libertad</t>
        </is>
      </c>
      <c r="I943" t="inlineStr">
        <is>
          <t>Óscar Rivas</t>
        </is>
      </c>
      <c r="J943" t="inlineStr">
        <is>
          <t>2228-7731</t>
        </is>
      </c>
      <c r="K943" t="inlineStr">
        <is>
          <t>Luis Escobar</t>
        </is>
      </c>
      <c r="L943" t="inlineStr">
        <is>
          <t>Rosa Argueta Ramírez</t>
        </is>
      </c>
      <c r="M943" t="inlineStr">
        <is>
          <t>08671348-2</t>
        </is>
      </c>
      <c r="N943" t="inlineStr">
        <is>
          <t>2777-4047</t>
        </is>
      </c>
      <c r="O943" t="inlineStr">
        <is>
          <t>Consumidor final</t>
        </is>
      </c>
      <c r="P943" t="inlineStr">
        <is>
          <t>PAN-001</t>
        </is>
      </c>
      <c r="Q943" t="inlineStr">
        <is>
          <t>Pan francés bolsa 10u</t>
        </is>
      </c>
      <c r="R943" t="inlineStr">
        <is>
          <t>Panaderia</t>
        </is>
      </c>
      <c r="S943" t="inlineStr">
        <is>
          <t>Panificadora Ilopango</t>
        </is>
      </c>
      <c r="T943" t="inlineStr">
        <is>
          <t>2295-0081</t>
        </is>
      </c>
      <c r="U943" t="n">
        <v>1</v>
      </c>
      <c r="V943" t="n">
        <v>1</v>
      </c>
      <c r="W943" t="n">
        <v>0</v>
      </c>
      <c r="X943">
        <f>IFERROR(U943*V943*(1-W943/100),"")</f>
        <v/>
      </c>
      <c r="Y943">
        <f>IFERROR(ROUND(X943*0.13,2),"")</f>
        <v/>
      </c>
      <c r="Z943">
        <f>IFERROR(X943+Y943,"")</f>
        <v/>
      </c>
      <c r="AA943" t="inlineStr">
        <is>
          <t>Efectivo</t>
        </is>
      </c>
      <c r="AB943" t="inlineStr">
        <is>
          <t>Cliente frecuente</t>
        </is>
      </c>
    </row>
    <row r="944">
      <c r="A944" t="inlineStr">
        <is>
          <t>F-11203</t>
        </is>
      </c>
      <c r="B944" t="inlineStr">
        <is>
          <t>2026-08-15</t>
        </is>
      </c>
      <c r="C944" t="inlineStr">
        <is>
          <t>Factura</t>
        </is>
      </c>
      <c r="D944" t="inlineStr">
        <is>
          <t>LL01</t>
        </is>
      </c>
      <c r="E944" t="inlineStr">
        <is>
          <t>SANTA TECLA</t>
        </is>
      </c>
      <c r="F944" t="inlineStr">
        <is>
          <t>Calle Daniel Hernández #18</t>
        </is>
      </c>
      <c r="G944" t="inlineStr">
        <is>
          <t>Santa Tecla</t>
        </is>
      </c>
      <c r="H944" t="inlineStr">
        <is>
          <t>La Libertad</t>
        </is>
      </c>
      <c r="I944" t="inlineStr">
        <is>
          <t>Óscar Rivas</t>
        </is>
      </c>
      <c r="J944" t="inlineStr">
        <is>
          <t>2228-7731</t>
        </is>
      </c>
      <c r="K944" t="inlineStr">
        <is>
          <t>Luis Escobar</t>
        </is>
      </c>
      <c r="L944" t="inlineStr">
        <is>
          <t>Rosa Argueta Ramírez</t>
        </is>
      </c>
      <c r="M944" t="inlineStr">
        <is>
          <t>08671348-2</t>
        </is>
      </c>
      <c r="N944" t="inlineStr">
        <is>
          <t>2777-4047</t>
        </is>
      </c>
      <c r="O944" t="inlineStr">
        <is>
          <t>Consumidor final</t>
        </is>
      </c>
      <c r="P944" t="inlineStr">
        <is>
          <t>PAN-003</t>
        </is>
      </c>
      <c r="Q944" t="inlineStr">
        <is>
          <t>Quesadilla salvadoreña</t>
        </is>
      </c>
      <c r="R944" t="inlineStr">
        <is>
          <t>PANADERIA</t>
        </is>
      </c>
      <c r="S944" t="inlineStr">
        <is>
          <t>Panificadora Ilopango</t>
        </is>
      </c>
      <c r="T944" t="inlineStr">
        <is>
          <t>2295-0081</t>
        </is>
      </c>
      <c r="U944" t="inlineStr">
        <is>
          <t>2,50</t>
        </is>
      </c>
      <c r="V944" t="n">
        <v>2</v>
      </c>
      <c r="W944" t="n">
        <v>0</v>
      </c>
      <c r="X944">
        <f>IFERROR(U944*V944*(1-W944/100),"")</f>
        <v/>
      </c>
      <c r="Y944">
        <f>IFERROR(ROUND(X944*0.13,2),"")</f>
        <v/>
      </c>
      <c r="Z944">
        <f>IFERROR(X944+Y944,"")</f>
        <v/>
      </c>
      <c r="AA944" t="inlineStr">
        <is>
          <t>Efectivo</t>
        </is>
      </c>
      <c r="AB944" t="inlineStr"/>
    </row>
    <row r="945">
      <c r="A945" t="inlineStr">
        <is>
          <t>F-11203</t>
        </is>
      </c>
      <c r="B945" s="3" t="n">
        <v>46249</v>
      </c>
      <c r="C945" t="inlineStr">
        <is>
          <t>Factura</t>
        </is>
      </c>
      <c r="D945" t="inlineStr">
        <is>
          <t>LL01</t>
        </is>
      </c>
      <c r="E945" t="inlineStr">
        <is>
          <t>Santa Tecla</t>
        </is>
      </c>
      <c r="F945" t="inlineStr">
        <is>
          <t>Calle Daniel Hernández #18</t>
        </is>
      </c>
      <c r="G945" t="inlineStr">
        <is>
          <t>Santa Tecla</t>
        </is>
      </c>
      <c r="H945" t="inlineStr">
        <is>
          <t>La Libertad</t>
        </is>
      </c>
      <c r="I945" t="inlineStr">
        <is>
          <t>Óscar Rivas</t>
        </is>
      </c>
      <c r="J945" t="inlineStr">
        <is>
          <t>2228-7731</t>
        </is>
      </c>
      <c r="K945" t="inlineStr">
        <is>
          <t>Luis Escobar</t>
        </is>
      </c>
      <c r="L945" t="inlineStr">
        <is>
          <t>Rosa Argueta Ramírez</t>
        </is>
      </c>
      <c r="M945" t="inlineStr">
        <is>
          <t>08671348-2</t>
        </is>
      </c>
      <c r="N945" t="inlineStr">
        <is>
          <t>2777-4047</t>
        </is>
      </c>
      <c r="O945" t="inlineStr">
        <is>
          <t>Consumidor final</t>
        </is>
      </c>
      <c r="P945" t="inlineStr">
        <is>
          <t>CAF-001</t>
        </is>
      </c>
      <c r="Q945" t="inlineStr">
        <is>
          <t>Café molido 400g</t>
        </is>
      </c>
      <c r="R945" t="inlineStr">
        <is>
          <t>abarrotes</t>
        </is>
      </c>
      <c r="S945" t="inlineStr">
        <is>
          <t>Café Volcán S.A.</t>
        </is>
      </c>
      <c r="T945" t="inlineStr">
        <is>
          <t>2510-3344</t>
        </is>
      </c>
      <c r="U945" t="inlineStr">
        <is>
          <t>4,25</t>
        </is>
      </c>
      <c r="V945" t="n">
        <v>1</v>
      </c>
      <c r="W945" t="n">
        <v>0</v>
      </c>
      <c r="X945">
        <f>IFERROR(U945*V945*(1-W945/100),"")</f>
        <v/>
      </c>
      <c r="Y945">
        <f>IFERROR(ROUND(X945*0.13,2),"")</f>
        <v/>
      </c>
      <c r="Z945">
        <f>IFERROR(X945+Y945,"")</f>
        <v/>
      </c>
      <c r="AA945" t="inlineStr">
        <is>
          <t>Efectivo</t>
        </is>
      </c>
      <c r="AB945" t="inlineStr">
        <is>
          <t>precio especial autorizado por gerente</t>
        </is>
      </c>
    </row>
    <row r="946">
      <c r="A946" t="inlineStr">
        <is>
          <t>F-11204</t>
        </is>
      </c>
      <c r="B946" s="3" t="n">
        <v>46273</v>
      </c>
      <c r="C946" t="inlineStr">
        <is>
          <t>Factura</t>
        </is>
      </c>
      <c r="D946" t="inlineStr">
        <is>
          <t>SS02</t>
        </is>
      </c>
      <c r="E946" t="inlineStr">
        <is>
          <t>ESCALON</t>
        </is>
      </c>
      <c r="F946" t="inlineStr">
        <is>
          <t>Paseo General Escalón #3910</t>
        </is>
      </c>
      <c r="G946" t="inlineStr">
        <is>
          <t>San Salvador</t>
        </is>
      </c>
      <c r="H946" t="inlineStr">
        <is>
          <t>San Salvador</t>
        </is>
      </c>
      <c r="I946" t="inlineStr">
        <is>
          <t>Claudia Menjívar</t>
        </is>
      </c>
      <c r="J946" t="inlineStr">
        <is>
          <t>2264-1190</t>
        </is>
      </c>
      <c r="K946" t="inlineStr">
        <is>
          <t>Fátima Rosales</t>
        </is>
      </c>
      <c r="L946" t="inlineStr">
        <is>
          <t>Rosa López Castillo</t>
        </is>
      </c>
      <c r="M946" t="inlineStr">
        <is>
          <t>09782214-9</t>
        </is>
      </c>
      <c r="N946" t="inlineStr">
        <is>
          <t>6806-3209</t>
        </is>
      </c>
      <c r="O946" t="inlineStr">
        <is>
          <t>Consumidor final</t>
        </is>
      </c>
      <c r="P946" t="inlineStr">
        <is>
          <t>PAN-002</t>
        </is>
      </c>
      <c r="Q946" t="inlineStr">
        <is>
          <t>Semita alta</t>
        </is>
      </c>
      <c r="R946" t="inlineStr">
        <is>
          <t>Panadería</t>
        </is>
      </c>
      <c r="S946" t="inlineStr">
        <is>
          <t>Panificadora Ilopango</t>
        </is>
      </c>
      <c r="T946" t="inlineStr">
        <is>
          <t>2295-0081</t>
        </is>
      </c>
      <c r="U946" t="inlineStr">
        <is>
          <t>1,75</t>
        </is>
      </c>
      <c r="V946" t="n">
        <v>1</v>
      </c>
      <c r="W946" t="n">
        <v>0</v>
      </c>
      <c r="X946">
        <f>IFERROR(U946*V946*(1-W946/100),"")</f>
        <v/>
      </c>
      <c r="Y946">
        <f>IFERROR(ROUND(X946*0.13,2),"")</f>
        <v/>
      </c>
      <c r="Z946">
        <f>IFERROR(X946+Y946,"")</f>
        <v/>
      </c>
      <c r="AA946" t="inlineStr">
        <is>
          <t>Efectivo</t>
        </is>
      </c>
      <c r="AB946" t="inlineStr">
        <is>
          <t>Llamar al 7788-1234 antes de entregar</t>
        </is>
      </c>
    </row>
    <row r="947">
      <c r="A947" t="inlineStr">
        <is>
          <t>F-11204</t>
        </is>
      </c>
      <c r="B947" t="inlineStr">
        <is>
          <t>08-Sep-26</t>
        </is>
      </c>
      <c r="C947" t="inlineStr">
        <is>
          <t>Factura</t>
        </is>
      </c>
      <c r="D947" t="inlineStr">
        <is>
          <t>SS02</t>
        </is>
      </c>
      <c r="E947" t="inlineStr">
        <is>
          <t>ESCALON</t>
        </is>
      </c>
      <c r="F947" t="inlineStr">
        <is>
          <t>Paseo General Escalón #3910</t>
        </is>
      </c>
      <c r="G947" t="inlineStr">
        <is>
          <t>San Salvador</t>
        </is>
      </c>
      <c r="H947" t="inlineStr">
        <is>
          <t>San Salvador</t>
        </is>
      </c>
      <c r="I947" t="inlineStr">
        <is>
          <t>Claudia Menjívar</t>
        </is>
      </c>
      <c r="J947" t="inlineStr">
        <is>
          <t>2264-1190</t>
        </is>
      </c>
      <c r="K947" t="inlineStr">
        <is>
          <t>Fátima Rosales</t>
        </is>
      </c>
      <c r="L947" t="inlineStr">
        <is>
          <t>Rosa López Castillo</t>
        </is>
      </c>
      <c r="M947" t="inlineStr">
        <is>
          <t>09782214-9</t>
        </is>
      </c>
      <c r="N947" t="inlineStr">
        <is>
          <t>6806-3209</t>
        </is>
      </c>
      <c r="O947" t="inlineStr">
        <is>
          <t>Consumidor final</t>
        </is>
      </c>
      <c r="P947" t="inlineStr">
        <is>
          <t>LAC-001</t>
        </is>
      </c>
      <c r="Q947" t="inlineStr">
        <is>
          <t>Quesillo 1lb</t>
        </is>
      </c>
      <c r="R947" t="inlineStr">
        <is>
          <t>Lácteos</t>
        </is>
      </c>
      <c r="S947" t="inlineStr">
        <is>
          <t>Lácteos Chalate</t>
        </is>
      </c>
      <c r="T947" t="inlineStr">
        <is>
          <t>2335-1020</t>
        </is>
      </c>
      <c r="U947" t="n">
        <v>3.8</v>
      </c>
      <c r="V947" t="n">
        <v>12</v>
      </c>
      <c r="W947" t="n">
        <v>0</v>
      </c>
      <c r="X947">
        <f>IFERROR(U947*V947*(1-W947/100),"")</f>
        <v/>
      </c>
      <c r="Y947">
        <f>IFERROR(ROUND(X947*0.13,2),"")</f>
        <v/>
      </c>
      <c r="Z947">
        <f>IFERROR(X947+Y947,"")</f>
        <v/>
      </c>
      <c r="AA947" t="inlineStr">
        <is>
          <t>Efectivo</t>
        </is>
      </c>
      <c r="AB947" t="inlineStr">
        <is>
          <t>Cliente frecuente</t>
        </is>
      </c>
    </row>
    <row r="948">
      <c r="A948" t="inlineStr">
        <is>
          <t>F-11204</t>
        </is>
      </c>
      <c r="B948" s="3" t="n">
        <v>46273</v>
      </c>
      <c r="C948" t="inlineStr">
        <is>
          <t>Factura</t>
        </is>
      </c>
      <c r="D948" t="inlineStr">
        <is>
          <t>SS02</t>
        </is>
      </c>
      <c r="E948" t="inlineStr">
        <is>
          <t>Col. Escalón</t>
        </is>
      </c>
      <c r="F948" t="inlineStr">
        <is>
          <t>Paseo General Escalón #3910</t>
        </is>
      </c>
      <c r="G948" t="inlineStr">
        <is>
          <t>San Salvador</t>
        </is>
      </c>
      <c r="H948" t="inlineStr">
        <is>
          <t>San Salvador</t>
        </is>
      </c>
      <c r="I948" t="inlineStr">
        <is>
          <t>Claudia Menjívar</t>
        </is>
      </c>
      <c r="J948" t="inlineStr">
        <is>
          <t>2264-1190</t>
        </is>
      </c>
      <c r="K948" t="inlineStr">
        <is>
          <t>Fátima Rosales</t>
        </is>
      </c>
      <c r="L948" t="inlineStr">
        <is>
          <t>Rosa López Castillo</t>
        </is>
      </c>
      <c r="M948" t="inlineStr">
        <is>
          <t>09782214-9</t>
        </is>
      </c>
      <c r="N948" t="inlineStr">
        <is>
          <t>6806-3209</t>
        </is>
      </c>
      <c r="O948" t="inlineStr">
        <is>
          <t>Consumidor final</t>
        </is>
      </c>
      <c r="P948" t="inlineStr">
        <is>
          <t>BEB-001</t>
        </is>
      </c>
      <c r="Q948" t="inlineStr">
        <is>
          <t>Gaseosa 2.5L</t>
        </is>
      </c>
      <c r="R948" t="inlineStr">
        <is>
          <t>Bebidas</t>
        </is>
      </c>
      <c r="S948" t="inlineStr">
        <is>
          <t>Bebidas Izalco</t>
        </is>
      </c>
      <c r="T948" t="inlineStr">
        <is>
          <t>2450-7700</t>
        </is>
      </c>
      <c r="U948" t="n">
        <v>1.95</v>
      </c>
      <c r="V948" t="n">
        <v>24</v>
      </c>
      <c r="W948" t="n">
        <v>0</v>
      </c>
      <c r="X948">
        <f>IFERROR(U948*V948*(1-W948/100),"")</f>
        <v/>
      </c>
      <c r="Y948">
        <f>IFERROR(ROUND(X948*0.13,2),"")</f>
        <v/>
      </c>
      <c r="Z948">
        <f>IFERROR(X948+Y948,"")</f>
        <v/>
      </c>
      <c r="AA948" t="inlineStr">
        <is>
          <t>Efectivo</t>
        </is>
      </c>
      <c r="AB948" t="inlineStr">
        <is>
          <t>Cliente frecuente</t>
        </is>
      </c>
    </row>
    <row r="949">
      <c r="A949" t="inlineStr">
        <is>
          <t>F-11205</t>
        </is>
      </c>
      <c r="B949" t="inlineStr">
        <is>
          <t>19/09/2026</t>
        </is>
      </c>
      <c r="C949" t="inlineStr">
        <is>
          <t>Factura</t>
        </is>
      </c>
      <c r="D949" t="inlineStr">
        <is>
          <t>SS03</t>
        </is>
      </c>
      <c r="E949" t="inlineStr">
        <is>
          <t>soyapango</t>
        </is>
      </c>
      <c r="F949" t="inlineStr">
        <is>
          <t>Blvd. del Ejército km 4</t>
        </is>
      </c>
      <c r="G949" t="inlineStr">
        <is>
          <t>Soyapango</t>
        </is>
      </c>
      <c r="H949" t="inlineStr">
        <is>
          <t>San Salvador</t>
        </is>
      </c>
      <c r="I949" t="inlineStr">
        <is>
          <t>Karla Henríquez</t>
        </is>
      </c>
      <c r="J949" t="inlineStr">
        <is>
          <t>2277-3402</t>
        </is>
      </c>
      <c r="K949" t="inlineStr">
        <is>
          <t>Carlos Molina</t>
        </is>
      </c>
      <c r="L949" t="inlineStr">
        <is>
          <t>Edwin Castillo Romero</t>
        </is>
      </c>
      <c r="M949" t="inlineStr"/>
      <c r="N949" t="inlineStr">
        <is>
          <t>2609-8644</t>
        </is>
      </c>
      <c r="O949" t="inlineStr">
        <is>
          <t>Consumidor final</t>
        </is>
      </c>
      <c r="P949" t="inlineStr">
        <is>
          <t>LAC-003</t>
        </is>
      </c>
      <c r="Q949" t="inlineStr">
        <is>
          <t>Leche entera 1L</t>
        </is>
      </c>
      <c r="R949" t="inlineStr">
        <is>
          <t>Lácteos</t>
        </is>
      </c>
      <c r="S949" t="inlineStr">
        <is>
          <t>Lácteos Chalate</t>
        </is>
      </c>
      <c r="T949" t="inlineStr">
        <is>
          <t>2335-1020</t>
        </is>
      </c>
      <c r="U949" t="n">
        <v>1.2</v>
      </c>
      <c r="V949" t="n">
        <v>12</v>
      </c>
      <c r="W949" t="n">
        <v>0</v>
      </c>
      <c r="X949">
        <f>IFERROR(U949*V949*(1-W949/100),"")</f>
        <v/>
      </c>
      <c r="Y949">
        <f>IFERROR(ROUND(X949*0.13,2),"")</f>
        <v/>
      </c>
      <c r="Z949">
        <f>IFERROR(X949+Y949,"")</f>
        <v/>
      </c>
      <c r="AA949" t="inlineStr">
        <is>
          <t>Efectivo</t>
        </is>
      </c>
      <c r="AB949" t="inlineStr"/>
    </row>
    <row r="950">
      <c r="A950" t="inlineStr">
        <is>
          <t>F-11205</t>
        </is>
      </c>
      <c r="B950" s="3" t="n">
        <v>46284</v>
      </c>
      <c r="C950" t="inlineStr">
        <is>
          <t>Factura</t>
        </is>
      </c>
      <c r="D950" t="inlineStr">
        <is>
          <t>SS03</t>
        </is>
      </c>
      <c r="E950" t="inlineStr">
        <is>
          <t xml:space="preserve">SOYAPANGO </t>
        </is>
      </c>
      <c r="F950" t="inlineStr">
        <is>
          <t>Blvd. del Ejército km 4</t>
        </is>
      </c>
      <c r="G950" t="inlineStr">
        <is>
          <t>Soyapango</t>
        </is>
      </c>
      <c r="H950" t="inlineStr">
        <is>
          <t>San Salvador</t>
        </is>
      </c>
      <c r="I950" t="inlineStr">
        <is>
          <t>Karla Henríquez</t>
        </is>
      </c>
      <c r="J950" t="inlineStr">
        <is>
          <t>2277-3402</t>
        </is>
      </c>
      <c r="K950" t="inlineStr">
        <is>
          <t>Carlos Molina</t>
        </is>
      </c>
      <c r="L950" t="inlineStr">
        <is>
          <t>Edwin Castillo Romero</t>
        </is>
      </c>
      <c r="M950" t="inlineStr"/>
      <c r="N950" t="inlineStr">
        <is>
          <t>2609-8644</t>
        </is>
      </c>
      <c r="O950" t="inlineStr">
        <is>
          <t>Consumidor final</t>
        </is>
      </c>
      <c r="P950" t="inlineStr">
        <is>
          <t>HIG-002</t>
        </is>
      </c>
      <c r="Q950" t="inlineStr">
        <is>
          <t>Papel higiénico 4 rollos</t>
        </is>
      </c>
      <c r="R950" t="inlineStr">
        <is>
          <t>Higiene</t>
        </is>
      </c>
      <c r="S950" t="inlineStr">
        <is>
          <t>Higiene Total C.A.</t>
        </is>
      </c>
      <c r="T950" t="inlineStr">
        <is>
          <t>2207-5566</t>
        </is>
      </c>
      <c r="U950" t="n">
        <v>2.15</v>
      </c>
      <c r="V950" t="n">
        <v>6</v>
      </c>
      <c r="W950" t="n">
        <v>0</v>
      </c>
      <c r="X950">
        <f>IFERROR(U950*V950*(1-W950/100),"")</f>
        <v/>
      </c>
      <c r="Y950">
        <f>IFERROR(ROUND(X950*0.13,2),"")</f>
        <v/>
      </c>
      <c r="Z950">
        <f>IFERROR(X950+Y950,"")</f>
        <v/>
      </c>
      <c r="AA950" t="inlineStr">
        <is>
          <t>Efectivo</t>
        </is>
      </c>
      <c r="AB950" t="inlineStr">
        <is>
          <t>precio especial autorizado por gerente</t>
        </is>
      </c>
    </row>
    <row r="951">
      <c r="A951" t="inlineStr">
        <is>
          <t>F-11205</t>
        </is>
      </c>
      <c r="B951" t="inlineStr">
        <is>
          <t>2026-09-19</t>
        </is>
      </c>
      <c r="C951" t="inlineStr">
        <is>
          <t>Factura</t>
        </is>
      </c>
      <c r="D951" t="inlineStr">
        <is>
          <t>SS03</t>
        </is>
      </c>
      <c r="E951" t="inlineStr">
        <is>
          <t>Soyapango</t>
        </is>
      </c>
      <c r="F951" t="inlineStr">
        <is>
          <t>Blvd. del Ejército km 4</t>
        </is>
      </c>
      <c r="G951" t="inlineStr">
        <is>
          <t>Soyapango</t>
        </is>
      </c>
      <c r="H951" t="inlineStr">
        <is>
          <t>San Salvador</t>
        </is>
      </c>
      <c r="I951" t="inlineStr">
        <is>
          <t>Karla Henríquez</t>
        </is>
      </c>
      <c r="J951" t="inlineStr">
        <is>
          <t>2277-3402</t>
        </is>
      </c>
      <c r="K951" t="inlineStr">
        <is>
          <t>Carlos Molina</t>
        </is>
      </c>
      <c r="L951" t="inlineStr">
        <is>
          <t>Edwin Castillo Romero</t>
        </is>
      </c>
      <c r="M951" t="inlineStr">
        <is>
          <t>07552102-5</t>
        </is>
      </c>
      <c r="N951" t="inlineStr">
        <is>
          <t>2609-8644</t>
        </is>
      </c>
      <c r="O951" t="inlineStr">
        <is>
          <t>Consumidor final</t>
        </is>
      </c>
      <c r="P951" t="inlineStr">
        <is>
          <t>HAR-001</t>
        </is>
      </c>
      <c r="Q951" t="inlineStr">
        <is>
          <t>Harina de maíz 2lb</t>
        </is>
      </c>
      <c r="R951" t="inlineStr">
        <is>
          <t>Abarrotes</t>
        </is>
      </c>
      <c r="S951" t="inlineStr">
        <is>
          <t>Granos del Pacífico</t>
        </is>
      </c>
      <c r="T951" t="inlineStr">
        <is>
          <t>2234-8890</t>
        </is>
      </c>
      <c r="U951" t="inlineStr">
        <is>
          <t>$1.35</t>
        </is>
      </c>
      <c r="V951" t="n">
        <v>2</v>
      </c>
      <c r="W951" t="n">
        <v>0</v>
      </c>
      <c r="X951">
        <f>IFERROR(U951*V951*(1-W951/100),"")</f>
        <v/>
      </c>
      <c r="Y951">
        <f>IFERROR(ROUND(X951*0.13,2),"")</f>
        <v/>
      </c>
      <c r="Z951">
        <f>IFERROR(X951+Y951,"")</f>
        <v/>
      </c>
      <c r="AA951" t="inlineStr">
        <is>
          <t>Efectivo</t>
        </is>
      </c>
      <c r="AB951" t="inlineStr">
        <is>
          <t>precio especial autorizado por gerente</t>
        </is>
      </c>
    </row>
    <row r="952">
      <c r="A952" t="inlineStr">
        <is>
          <t>F-11207</t>
        </is>
      </c>
      <c r="B952" s="3" t="n">
        <v>46268</v>
      </c>
      <c r="C952" t="inlineStr">
        <is>
          <t>Factura</t>
        </is>
      </c>
      <c r="D952" t="inlineStr">
        <is>
          <t>SA01</t>
        </is>
      </c>
      <c r="E952" t="inlineStr">
        <is>
          <t>Santa Ana</t>
        </is>
      </c>
      <c r="F952" t="inlineStr">
        <is>
          <t>Av. Independencia Sur #12</t>
        </is>
      </c>
      <c r="G952" t="inlineStr">
        <is>
          <t>Santa Ana</t>
        </is>
      </c>
      <c r="H952" t="inlineStr">
        <is>
          <t>Santa Ana</t>
        </is>
      </c>
      <c r="I952" t="inlineStr">
        <is>
          <t>Mauricio Linares</t>
        </is>
      </c>
      <c r="J952" t="inlineStr">
        <is>
          <t>2440-9921</t>
        </is>
      </c>
      <c r="K952" t="inlineStr">
        <is>
          <t>Sofía Cáceres</t>
        </is>
      </c>
      <c r="L952" t="inlineStr">
        <is>
          <t>René Sorto Quintanilla</t>
        </is>
      </c>
      <c r="M952" t="inlineStr">
        <is>
          <t>06328066-3</t>
        </is>
      </c>
      <c r="N952" t="inlineStr">
        <is>
          <t>6778-4597</t>
        </is>
      </c>
      <c r="O952" t="inlineStr">
        <is>
          <t>Consumidor final</t>
        </is>
      </c>
      <c r="P952" t="inlineStr">
        <is>
          <t>HIG-003</t>
        </is>
      </c>
      <c r="Q952" t="inlineStr">
        <is>
          <t>Jabón de lavar barra</t>
        </is>
      </c>
      <c r="R952" t="inlineStr">
        <is>
          <t>Limpieza</t>
        </is>
      </c>
      <c r="S952" t="inlineStr">
        <is>
          <t>Higiene Total C.A.</t>
        </is>
      </c>
      <c r="T952" t="inlineStr">
        <is>
          <t>2207-5566</t>
        </is>
      </c>
      <c r="U952" t="n">
        <v>0.75</v>
      </c>
      <c r="V952" t="n">
        <v>6</v>
      </c>
      <c r="W952" t="n">
        <v>0</v>
      </c>
      <c r="X952">
        <f>IFERROR(U952*V952*(1-W952/100),"")</f>
        <v/>
      </c>
      <c r="Y952">
        <f>IFERROR(ROUND(X952*0.13,2),"")</f>
        <v/>
      </c>
      <c r="Z952">
        <f>IFERROR(X952+Y952,"")</f>
        <v/>
      </c>
      <c r="AA952" t="inlineStr">
        <is>
          <t>Efectivo</t>
        </is>
      </c>
      <c r="AB952" t="inlineStr"/>
    </row>
    <row r="953">
      <c r="A953" t="inlineStr">
        <is>
          <t>F-11207</t>
        </is>
      </c>
      <c r="B953" s="3" t="n">
        <v>46268</v>
      </c>
      <c r="C953" t="inlineStr">
        <is>
          <t>Factura</t>
        </is>
      </c>
      <c r="D953" t="inlineStr">
        <is>
          <t>SA01</t>
        </is>
      </c>
      <c r="E953" t="inlineStr">
        <is>
          <t>Santa  Ana</t>
        </is>
      </c>
      <c r="F953" t="inlineStr">
        <is>
          <t>Av. Independencia Sur #12</t>
        </is>
      </c>
      <c r="G953" t="inlineStr">
        <is>
          <t>Santa Ana</t>
        </is>
      </c>
      <c r="H953" t="inlineStr">
        <is>
          <t>Santa Ana</t>
        </is>
      </c>
      <c r="I953" t="inlineStr">
        <is>
          <t>Verónica Sandoval</t>
        </is>
      </c>
      <c r="J953" t="inlineStr">
        <is>
          <t>2440-9921</t>
        </is>
      </c>
      <c r="K953" t="inlineStr">
        <is>
          <t>Sofía Cáceres</t>
        </is>
      </c>
      <c r="L953" t="inlineStr">
        <is>
          <t>René Sorto Quintanilla</t>
        </is>
      </c>
      <c r="M953" t="inlineStr">
        <is>
          <t>06328066-3</t>
        </is>
      </c>
      <c r="N953" t="inlineStr">
        <is>
          <t>6778-4597</t>
        </is>
      </c>
      <c r="O953" t="inlineStr">
        <is>
          <t>Consumidor final</t>
        </is>
      </c>
      <c r="P953" t="inlineStr">
        <is>
          <t>LAC-001</t>
        </is>
      </c>
      <c r="Q953" t="inlineStr">
        <is>
          <t>Quesillo 1lb</t>
        </is>
      </c>
      <c r="R953" t="inlineStr">
        <is>
          <t>Lácteos</t>
        </is>
      </c>
      <c r="S953" t="inlineStr">
        <is>
          <t>Lácteos Chalate</t>
        </is>
      </c>
      <c r="T953" t="inlineStr">
        <is>
          <t>2335-1020</t>
        </is>
      </c>
      <c r="U953" t="inlineStr">
        <is>
          <t>$3.80</t>
        </is>
      </c>
      <c r="V953" t="n">
        <v>1</v>
      </c>
      <c r="W953" t="n">
        <v>0</v>
      </c>
      <c r="X953">
        <f>IFERROR(U953*V953*(1-W953/100),"")</f>
        <v/>
      </c>
      <c r="Y953">
        <f>IFERROR(ROUND(X953*0.13,2),"")</f>
        <v/>
      </c>
      <c r="Z953">
        <f>IFERROR(X953+Y953,"")</f>
        <v/>
      </c>
      <c r="AA953" t="inlineStr">
        <is>
          <t>Efectivo</t>
        </is>
      </c>
      <c r="AB953" t="inlineStr"/>
    </row>
    <row r="954">
      <c r="A954" t="inlineStr">
        <is>
          <t>F-11209</t>
        </is>
      </c>
      <c r="B954" s="3" t="n">
        <v>46237</v>
      </c>
      <c r="C954" t="inlineStr">
        <is>
          <t>Factura</t>
        </is>
      </c>
      <c r="D954" t="inlineStr">
        <is>
          <t>SS01</t>
        </is>
      </c>
      <c r="E954" t="inlineStr">
        <is>
          <t>SAN SALVADOR CENTRO</t>
        </is>
      </c>
      <c r="F954" t="inlineStr">
        <is>
          <t>4a Calle Poniente #215</t>
        </is>
      </c>
      <c r="G954" t="inlineStr">
        <is>
          <t>San Salvador</t>
        </is>
      </c>
      <c r="H954" t="inlineStr">
        <is>
          <t>San Salvador</t>
        </is>
      </c>
      <c r="I954" t="inlineStr">
        <is>
          <t>Roberto Alfaro</t>
        </is>
      </c>
      <c r="J954" t="inlineStr">
        <is>
          <t>2221-4580</t>
        </is>
      </c>
      <c r="K954" t="inlineStr">
        <is>
          <t>Daniela Orellana</t>
        </is>
      </c>
      <c r="L954" t="inlineStr">
        <is>
          <t>Carlos Castillo Argueta</t>
        </is>
      </c>
      <c r="M954" t="inlineStr">
        <is>
          <t>08586960-1</t>
        </is>
      </c>
      <c r="N954" t="inlineStr">
        <is>
          <t>2715-7891</t>
        </is>
      </c>
      <c r="O954" t="inlineStr">
        <is>
          <t>Consumidor final</t>
        </is>
      </c>
      <c r="P954" t="inlineStr">
        <is>
          <t>BEB-001</t>
        </is>
      </c>
      <c r="Q954" t="inlineStr">
        <is>
          <t>Gaseosa 2.5L</t>
        </is>
      </c>
      <c r="R954" t="inlineStr">
        <is>
          <t>Bebidas</t>
        </is>
      </c>
      <c r="S954" t="inlineStr">
        <is>
          <t>Bebidas Izalco</t>
        </is>
      </c>
      <c r="T954" t="inlineStr">
        <is>
          <t>2450-7700</t>
        </is>
      </c>
      <c r="U954" t="n">
        <v>1.95</v>
      </c>
      <c r="V954" t="n">
        <v>12</v>
      </c>
      <c r="W954" t="n">
        <v>0</v>
      </c>
      <c r="X954">
        <f>IFERROR(U954*V954*(1-W954/100),"")</f>
        <v/>
      </c>
      <c r="Y954">
        <f>IFERROR(ROUND(X954*0.13,2),"")</f>
        <v/>
      </c>
      <c r="Z954">
        <f>IFERROR(X954+Y954,"")</f>
        <v/>
      </c>
      <c r="AA954" t="inlineStr">
        <is>
          <t>Efectivo</t>
        </is>
      </c>
      <c r="AB954" t="inlineStr">
        <is>
          <t>Cliente frecuente</t>
        </is>
      </c>
    </row>
    <row r="955">
      <c r="A955" t="inlineStr">
        <is>
          <t>F-11209</t>
        </is>
      </c>
      <c r="B955" s="3" t="n">
        <v>46237</v>
      </c>
      <c r="C955" t="inlineStr">
        <is>
          <t>Factura</t>
        </is>
      </c>
      <c r="D955" t="inlineStr">
        <is>
          <t>SS01</t>
        </is>
      </c>
      <c r="E955" t="inlineStr">
        <is>
          <t>San Salvador Centro</t>
        </is>
      </c>
      <c r="F955" t="inlineStr">
        <is>
          <t>4a Calle Poniente #215</t>
        </is>
      </c>
      <c r="G955" t="inlineStr">
        <is>
          <t>San Salvador</t>
        </is>
      </c>
      <c r="H955" t="inlineStr">
        <is>
          <t>San Salvador</t>
        </is>
      </c>
      <c r="I955" t="inlineStr">
        <is>
          <t>Roberto Alfaro</t>
        </is>
      </c>
      <c r="J955" t="inlineStr">
        <is>
          <t>2221-4580</t>
        </is>
      </c>
      <c r="K955" t="inlineStr">
        <is>
          <t>Daniela Orellana</t>
        </is>
      </c>
      <c r="L955" t="inlineStr">
        <is>
          <t>Carlos Castillo Argueta</t>
        </is>
      </c>
      <c r="M955" t="inlineStr">
        <is>
          <t>08586960-1</t>
        </is>
      </c>
      <c r="N955" t="inlineStr">
        <is>
          <t>2715-7891</t>
        </is>
      </c>
      <c r="O955" t="inlineStr">
        <is>
          <t>Consumidor final</t>
        </is>
      </c>
      <c r="P955" t="inlineStr">
        <is>
          <t>CAF-002</t>
        </is>
      </c>
      <c r="Q955" t="inlineStr">
        <is>
          <t>Café en grano 1lb</t>
        </is>
      </c>
      <c r="R955" t="inlineStr">
        <is>
          <t>Abarrotes</t>
        </is>
      </c>
      <c r="S955" t="inlineStr">
        <is>
          <t>Café Volcán S.A.</t>
        </is>
      </c>
      <c r="T955" t="inlineStr">
        <is>
          <t>2510-3344</t>
        </is>
      </c>
      <c r="U955" t="n">
        <v>6.75</v>
      </c>
      <c r="V955" t="n">
        <v>3</v>
      </c>
      <c r="W955" t="n">
        <v>0</v>
      </c>
      <c r="X955">
        <f>IFERROR(U955*V955*(1-W955/100),"")</f>
        <v/>
      </c>
      <c r="Y955">
        <f>IFERROR(ROUND(X955*0.13,2),"")</f>
        <v/>
      </c>
      <c r="Z955">
        <f>IFERROR(X955+Y955,"")</f>
        <v/>
      </c>
      <c r="AA955" t="inlineStr">
        <is>
          <t>Efectivo</t>
        </is>
      </c>
      <c r="AB955" t="inlineStr">
        <is>
          <t>precio especial autorizado por gerente</t>
        </is>
      </c>
    </row>
    <row r="956">
      <c r="A956" t="inlineStr">
        <is>
          <t>F-11209</t>
        </is>
      </c>
      <c r="B956" t="inlineStr">
        <is>
          <t>03/08/2026</t>
        </is>
      </c>
      <c r="C956" t="inlineStr">
        <is>
          <t>Factura</t>
        </is>
      </c>
      <c r="D956" t="inlineStr"/>
      <c r="E956" t="inlineStr">
        <is>
          <t>S.S. Centro</t>
        </is>
      </c>
      <c r="F956" t="inlineStr">
        <is>
          <t>4a Calle Poniente #215</t>
        </is>
      </c>
      <c r="G956" t="inlineStr">
        <is>
          <t>San Salvador</t>
        </is>
      </c>
      <c r="H956" t="inlineStr">
        <is>
          <t>San Salvador</t>
        </is>
      </c>
      <c r="I956" t="inlineStr">
        <is>
          <t>Roberto Alfaro</t>
        </is>
      </c>
      <c r="J956" t="inlineStr">
        <is>
          <t>2221-4580</t>
        </is>
      </c>
      <c r="K956" t="inlineStr">
        <is>
          <t>Daniela Orellana</t>
        </is>
      </c>
      <c r="L956" t="inlineStr">
        <is>
          <t>CARLOS CASTILLO ARGUETA</t>
        </is>
      </c>
      <c r="M956" t="inlineStr">
        <is>
          <t>08586960-1</t>
        </is>
      </c>
      <c r="N956" t="inlineStr">
        <is>
          <t>2715-7891</t>
        </is>
      </c>
      <c r="O956" t="inlineStr">
        <is>
          <t>Consumidor final</t>
        </is>
      </c>
      <c r="P956" t="inlineStr">
        <is>
          <t>PAN-001</t>
        </is>
      </c>
      <c r="Q956" t="inlineStr">
        <is>
          <t>Pan francés bolsa 10u</t>
        </is>
      </c>
      <c r="R956" t="inlineStr">
        <is>
          <t>Panadería</t>
        </is>
      </c>
      <c r="S956" t="inlineStr">
        <is>
          <t>Panificadora Ilopango</t>
        </is>
      </c>
      <c r="T956" t="inlineStr">
        <is>
          <t>2295-0081</t>
        </is>
      </c>
      <c r="U956" t="n">
        <v>1</v>
      </c>
      <c r="V956" t="n">
        <v>24</v>
      </c>
      <c r="W956" t="n">
        <v>0</v>
      </c>
      <c r="X956">
        <f>IFERROR(U956*V956*(1-W956/100),"")</f>
        <v/>
      </c>
      <c r="Y956">
        <f>IFERROR(ROUND(X956*0.13,2),"")</f>
        <v/>
      </c>
      <c r="Z956">
        <f>IFERROR(X956+Y956,"")</f>
        <v/>
      </c>
      <c r="AA956" t="inlineStr">
        <is>
          <t>Efectivo</t>
        </is>
      </c>
      <c r="AB956" t="inlineStr"/>
    </row>
    <row r="957">
      <c r="A957" t="inlineStr">
        <is>
          <t>F-11211</t>
        </is>
      </c>
      <c r="B957" t="inlineStr">
        <is>
          <t>13/07/2026</t>
        </is>
      </c>
      <c r="C957" t="inlineStr">
        <is>
          <t>CCF</t>
        </is>
      </c>
      <c r="D957" t="inlineStr">
        <is>
          <t>SS01</t>
        </is>
      </c>
      <c r="E957" t="inlineStr">
        <is>
          <t>S.S. Centro</t>
        </is>
      </c>
      <c r="F957" t="inlineStr">
        <is>
          <t>4a Calle Poniente #215</t>
        </is>
      </c>
      <c r="G957" t="inlineStr">
        <is>
          <t>San Salvador</t>
        </is>
      </c>
      <c r="H957" t="inlineStr">
        <is>
          <t>San Salvador</t>
        </is>
      </c>
      <c r="I957" t="inlineStr">
        <is>
          <t>Roberto Alfaro</t>
        </is>
      </c>
      <c r="J957" t="inlineStr">
        <is>
          <t>2221-4580</t>
        </is>
      </c>
      <c r="K957" t="inlineStr">
        <is>
          <t>Daniela Orellana</t>
        </is>
      </c>
      <c r="L957" t="inlineStr">
        <is>
          <t>Pupusería El Comal</t>
        </is>
      </c>
      <c r="M957" t="inlineStr">
        <is>
          <t>261664-6</t>
        </is>
      </c>
      <c r="N957" t="inlineStr">
        <is>
          <t>6293-1154</t>
        </is>
      </c>
      <c r="O957" t="inlineStr">
        <is>
          <t>Contribuyente</t>
        </is>
      </c>
      <c r="P957" t="inlineStr">
        <is>
          <t>BEB-002</t>
        </is>
      </c>
      <c r="Q957" t="inlineStr">
        <is>
          <t>Agua purificada 1 galón</t>
        </is>
      </c>
      <c r="R957" t="inlineStr">
        <is>
          <t>Bebidas</t>
        </is>
      </c>
      <c r="S957" t="inlineStr">
        <is>
          <t>Bebidas Izalco</t>
        </is>
      </c>
      <c r="T957" t="inlineStr">
        <is>
          <t>2450-7700</t>
        </is>
      </c>
      <c r="U957" t="n">
        <v>1.1</v>
      </c>
      <c r="V957" t="n">
        <v>1</v>
      </c>
      <c r="W957" t="n">
        <v>5</v>
      </c>
      <c r="X957">
        <f>IFERROR(U957*V957*(1-W957/100),"")</f>
        <v/>
      </c>
      <c r="Y957">
        <f>IFERROR(ROUND(X957*0.13,2),"")</f>
        <v/>
      </c>
      <c r="Z957">
        <f>IFERROR(X957+Y957,"")</f>
        <v/>
      </c>
      <c r="AA957" t="inlineStr">
        <is>
          <t>Efectivo</t>
        </is>
      </c>
      <c r="AB957" t="inlineStr">
        <is>
          <t>pagó con billete de $100</t>
        </is>
      </c>
    </row>
    <row r="958">
      <c r="A958" t="inlineStr">
        <is>
          <t>F-11212</t>
        </is>
      </c>
      <c r="B958" s="3" t="n">
        <v>46219</v>
      </c>
      <c r="C958" t="inlineStr">
        <is>
          <t>Factura</t>
        </is>
      </c>
      <c r="D958" t="inlineStr">
        <is>
          <t>SS03</t>
        </is>
      </c>
      <c r="E958" t="inlineStr">
        <is>
          <t xml:space="preserve">SOYAPANGO </t>
        </is>
      </c>
      <c r="F958" t="inlineStr">
        <is>
          <t>Blvd. del Ejército km 4</t>
        </is>
      </c>
      <c r="G958" t="inlineStr">
        <is>
          <t>Soyapango</t>
        </is>
      </c>
      <c r="H958" t="inlineStr">
        <is>
          <t>San Salvador</t>
        </is>
      </c>
      <c r="I958" t="inlineStr">
        <is>
          <t>Karla Henríquez</t>
        </is>
      </c>
      <c r="J958" t="inlineStr">
        <is>
          <t>2277-3402</t>
        </is>
      </c>
      <c r="K958" t="inlineStr">
        <is>
          <t>Carlos Molina</t>
        </is>
      </c>
      <c r="L958" t="inlineStr">
        <is>
          <t>Edwin Rivera Guevara</t>
        </is>
      </c>
      <c r="M958" t="inlineStr">
        <is>
          <t>03840762-1</t>
        </is>
      </c>
      <c r="N958" t="inlineStr">
        <is>
          <t>7817-8484</t>
        </is>
      </c>
      <c r="O958" t="inlineStr">
        <is>
          <t>Consumidor final</t>
        </is>
      </c>
      <c r="P958" t="inlineStr">
        <is>
          <t>BEB-002</t>
        </is>
      </c>
      <c r="Q958" t="inlineStr">
        <is>
          <t>Agua purificada 1 galón</t>
        </is>
      </c>
      <c r="R958" t="inlineStr">
        <is>
          <t>Bebidas</t>
        </is>
      </c>
      <c r="S958" t="inlineStr">
        <is>
          <t>Bebidas Izalco</t>
        </is>
      </c>
      <c r="T958" t="inlineStr">
        <is>
          <t>2450-7700</t>
        </is>
      </c>
      <c r="U958" t="n">
        <v>1.1</v>
      </c>
      <c r="V958" t="n">
        <v>1</v>
      </c>
      <c r="W958" t="n">
        <v>0</v>
      </c>
      <c r="X958">
        <f>IFERROR(U958*V958*(1-W958/100),"")</f>
        <v/>
      </c>
      <c r="Y958">
        <f>IFERROR(ROUND(X958*0.13,2),"")</f>
        <v/>
      </c>
      <c r="Z958">
        <f>IFERROR(X958+Y958,"")</f>
        <v/>
      </c>
      <c r="AA958" t="inlineStr">
        <is>
          <t>Transferencia</t>
        </is>
      </c>
      <c r="AB958" t="inlineStr">
        <is>
          <t>Cliente frecuente</t>
        </is>
      </c>
    </row>
    <row r="959">
      <c r="A959" t="inlineStr">
        <is>
          <t>F-11212</t>
        </is>
      </c>
      <c r="B959" s="3" t="n">
        <v>46219</v>
      </c>
      <c r="C959" t="inlineStr">
        <is>
          <t>Factura</t>
        </is>
      </c>
      <c r="D959" t="inlineStr">
        <is>
          <t>SS03</t>
        </is>
      </c>
      <c r="E959" t="inlineStr">
        <is>
          <t xml:space="preserve">SOYAPANGO </t>
        </is>
      </c>
      <c r="F959" t="inlineStr">
        <is>
          <t>Blvd. del Ejército km 4</t>
        </is>
      </c>
      <c r="G959" t="inlineStr">
        <is>
          <t>Soyapango</t>
        </is>
      </c>
      <c r="H959" t="inlineStr">
        <is>
          <t>San Salvador</t>
        </is>
      </c>
      <c r="I959" t="inlineStr">
        <is>
          <t>Karla Henríquez</t>
        </is>
      </c>
      <c r="J959" t="inlineStr">
        <is>
          <t>2277-3402</t>
        </is>
      </c>
      <c r="K959" t="inlineStr">
        <is>
          <t>Carlos Molina</t>
        </is>
      </c>
      <c r="L959" t="inlineStr">
        <is>
          <t>Edwin Rivera Guevara</t>
        </is>
      </c>
      <c r="M959" t="inlineStr">
        <is>
          <t>03840762-1</t>
        </is>
      </c>
      <c r="N959" t="inlineStr">
        <is>
          <t>7817-8484</t>
        </is>
      </c>
      <c r="O959" t="inlineStr">
        <is>
          <t>Consumidor final</t>
        </is>
      </c>
      <c r="P959" t="inlineStr">
        <is>
          <t>CAF-002</t>
        </is>
      </c>
      <c r="Q959" t="inlineStr">
        <is>
          <t>Café en grano 1lb</t>
        </is>
      </c>
      <c r="R959" t="inlineStr">
        <is>
          <t>Abarrotes</t>
        </is>
      </c>
      <c r="S959" t="inlineStr">
        <is>
          <t>Café Volcán S.A.</t>
        </is>
      </c>
      <c r="T959" t="inlineStr">
        <is>
          <t>2510-3344</t>
        </is>
      </c>
      <c r="U959" t="n">
        <v>6.75</v>
      </c>
      <c r="V959" t="n">
        <v>4</v>
      </c>
      <c r="W959" t="n">
        <v>0</v>
      </c>
      <c r="X959">
        <f>IFERROR(U959*V959*(1-W959/100),"")</f>
        <v/>
      </c>
      <c r="Y959">
        <f>IFERROR(ROUND(X959*0.13,2),"")</f>
        <v/>
      </c>
      <c r="Z959">
        <f>IFERROR(X959+Y959,"")</f>
        <v/>
      </c>
      <c r="AA959" t="inlineStr">
        <is>
          <t>Transferencia</t>
        </is>
      </c>
      <c r="AB959" t="inlineStr">
        <is>
          <t>Llamar al 7788-1234 antes de entregar</t>
        </is>
      </c>
    </row>
    <row r="960">
      <c r="A960" t="inlineStr">
        <is>
          <t>F-11212</t>
        </is>
      </c>
      <c r="B960" s="3" t="n">
        <v>46219</v>
      </c>
      <c r="C960" t="inlineStr">
        <is>
          <t>Factura</t>
        </is>
      </c>
      <c r="D960" t="inlineStr">
        <is>
          <t>SS03</t>
        </is>
      </c>
      <c r="E960" t="inlineStr">
        <is>
          <t xml:space="preserve">SOYAPANGO </t>
        </is>
      </c>
      <c r="F960" t="inlineStr">
        <is>
          <t>Blvd. del Ejército km 4</t>
        </is>
      </c>
      <c r="G960" t="inlineStr">
        <is>
          <t>Soyapango</t>
        </is>
      </c>
      <c r="H960" t="inlineStr">
        <is>
          <t>San Salvador</t>
        </is>
      </c>
      <c r="I960" t="inlineStr">
        <is>
          <t>Karla Henríquez</t>
        </is>
      </c>
      <c r="J960" t="inlineStr">
        <is>
          <t>2277-3402</t>
        </is>
      </c>
      <c r="K960" t="inlineStr">
        <is>
          <t>Carlos Molina</t>
        </is>
      </c>
      <c r="L960" t="inlineStr">
        <is>
          <t>Edwin Rivera Guevara</t>
        </is>
      </c>
      <c r="M960" t="inlineStr">
        <is>
          <t>03840762-1</t>
        </is>
      </c>
      <c r="N960" t="inlineStr">
        <is>
          <t>7817-8484</t>
        </is>
      </c>
      <c r="O960" t="inlineStr">
        <is>
          <t>Consumidor final</t>
        </is>
      </c>
      <c r="P960" t="inlineStr">
        <is>
          <t>FRI-001</t>
        </is>
      </c>
      <c r="Q960" t="inlineStr">
        <is>
          <t>Frijol rojo de seda 2lb</t>
        </is>
      </c>
      <c r="R960" t="inlineStr">
        <is>
          <t>Granos básicos</t>
        </is>
      </c>
      <c r="S960" t="inlineStr">
        <is>
          <t>Granos del Pacífico</t>
        </is>
      </c>
      <c r="T960" t="inlineStr">
        <is>
          <t>2234-8890</t>
        </is>
      </c>
      <c r="U960" t="inlineStr">
        <is>
          <t>2,40</t>
        </is>
      </c>
      <c r="V960" t="n">
        <v>2</v>
      </c>
      <c r="W960" t="n">
        <v>0</v>
      </c>
      <c r="X960">
        <f>IFERROR(U960*V960*(1-W960/100),"")</f>
        <v/>
      </c>
      <c r="Y960">
        <f>IFERROR(ROUND(X960*0.13,2),"")</f>
        <v/>
      </c>
      <c r="Z960">
        <f>IFERROR(X960+Y960,"")</f>
        <v/>
      </c>
      <c r="AA960" t="inlineStr">
        <is>
          <t>Transferencia</t>
        </is>
      </c>
      <c r="AB960" t="inlineStr"/>
    </row>
    <row r="961">
      <c r="A961" t="inlineStr">
        <is>
          <t>F-11212</t>
        </is>
      </c>
      <c r="B961" s="3" t="n">
        <v>46219</v>
      </c>
      <c r="C961" t="inlineStr">
        <is>
          <t>Factura</t>
        </is>
      </c>
      <c r="D961" t="inlineStr">
        <is>
          <t>SS03</t>
        </is>
      </c>
      <c r="E961" t="inlineStr">
        <is>
          <t xml:space="preserve">SOYAPANGO </t>
        </is>
      </c>
      <c r="F961" t="inlineStr">
        <is>
          <t>Blvd. del Ejército km 4</t>
        </is>
      </c>
      <c r="G961" t="inlineStr">
        <is>
          <t>Soyapango</t>
        </is>
      </c>
      <c r="H961" t="inlineStr">
        <is>
          <t>San Salvador</t>
        </is>
      </c>
      <c r="I961" t="inlineStr">
        <is>
          <t>Karla Henríquez</t>
        </is>
      </c>
      <c r="J961" t="inlineStr">
        <is>
          <t>2277-3402</t>
        </is>
      </c>
      <c r="K961" t="inlineStr">
        <is>
          <t>Carlos Molina</t>
        </is>
      </c>
      <c r="L961" t="inlineStr">
        <is>
          <t>Edwin Rivera Guevara</t>
        </is>
      </c>
      <c r="M961" t="inlineStr">
        <is>
          <t>03840762-1</t>
        </is>
      </c>
      <c r="N961" t="inlineStr">
        <is>
          <t>7817-8484</t>
        </is>
      </c>
      <c r="O961" t="inlineStr">
        <is>
          <t>Consumidor final</t>
        </is>
      </c>
      <c r="P961" t="inlineStr">
        <is>
          <t>AZU-001</t>
        </is>
      </c>
      <c r="Q961" t="inlineStr">
        <is>
          <t>Azúcar blanca 2.5kg</t>
        </is>
      </c>
      <c r="R961" t="inlineStr">
        <is>
          <t>Abarrotes</t>
        </is>
      </c>
      <c r="S961" t="inlineStr">
        <is>
          <t>Granos del Pacífico</t>
        </is>
      </c>
      <c r="T961" t="inlineStr">
        <is>
          <t>2234-8890</t>
        </is>
      </c>
      <c r="U961" t="inlineStr">
        <is>
          <t>$3.10</t>
        </is>
      </c>
      <c r="V961" t="n">
        <v>3</v>
      </c>
      <c r="W961" t="n">
        <v>0</v>
      </c>
      <c r="X961">
        <f>IFERROR(U961*V961*(1-W961/100),"")</f>
        <v/>
      </c>
      <c r="Y961">
        <f>IFERROR(ROUND(X961*0.13,2),"")</f>
        <v/>
      </c>
      <c r="Z961">
        <f>IFERROR(X961+Y961,"")</f>
        <v/>
      </c>
      <c r="AA961" t="inlineStr">
        <is>
          <t>Transferencia</t>
        </is>
      </c>
      <c r="AB961" t="inlineStr"/>
    </row>
    <row r="962">
      <c r="A962" t="inlineStr">
        <is>
          <t>F-11214</t>
        </is>
      </c>
      <c r="B962" s="3" t="n">
        <v>46277</v>
      </c>
      <c r="C962" t="inlineStr">
        <is>
          <t>Factura</t>
        </is>
      </c>
      <c r="D962" t="inlineStr">
        <is>
          <t>SS02</t>
        </is>
      </c>
      <c r="E962" t="inlineStr">
        <is>
          <t>Escalón</t>
        </is>
      </c>
      <c r="F962" t="inlineStr">
        <is>
          <t>Paseo General Escalón #3910</t>
        </is>
      </c>
      <c r="G962" t="inlineStr">
        <is>
          <t>San Salvador</t>
        </is>
      </c>
      <c r="H962" t="inlineStr">
        <is>
          <t>San Salvador</t>
        </is>
      </c>
      <c r="I962" t="inlineStr">
        <is>
          <t>Claudia Menjívar</t>
        </is>
      </c>
      <c r="J962" t="inlineStr">
        <is>
          <t>2264-1190</t>
        </is>
      </c>
      <c r="K962" t="inlineStr">
        <is>
          <t>Fátima Rosales</t>
        </is>
      </c>
      <c r="L962" t="inlineStr">
        <is>
          <t>José Sorto López</t>
        </is>
      </c>
      <c r="M962" t="inlineStr">
        <is>
          <t>04721627-5</t>
        </is>
      </c>
      <c r="N962" t="inlineStr">
        <is>
          <t>6844-3004</t>
        </is>
      </c>
      <c r="O962" t="inlineStr">
        <is>
          <t>Consumidor final</t>
        </is>
      </c>
      <c r="P962" t="inlineStr">
        <is>
          <t>LAC-003</t>
        </is>
      </c>
      <c r="Q962" t="inlineStr">
        <is>
          <t>Leche entera 1L</t>
        </is>
      </c>
      <c r="R962" t="inlineStr">
        <is>
          <t>Lácteos</t>
        </is>
      </c>
      <c r="S962" t="inlineStr">
        <is>
          <t>Lácteos Chalate</t>
        </is>
      </c>
      <c r="T962" t="inlineStr">
        <is>
          <t>2335-1020</t>
        </is>
      </c>
      <c r="U962" t="n">
        <v>1.2</v>
      </c>
      <c r="V962" t="n">
        <v>3</v>
      </c>
      <c r="W962" t="n">
        <v>0</v>
      </c>
      <c r="X962">
        <f>IFERROR(U962*V962*(1-W962/100),"")</f>
        <v/>
      </c>
      <c r="Y962">
        <f>IFERROR(ROUND(X962*0.13,2),"")</f>
        <v/>
      </c>
      <c r="Z962">
        <f>IFERROR(X962+Y962,"")</f>
        <v/>
      </c>
      <c r="AA962" t="inlineStr">
        <is>
          <t>Tarjeta</t>
        </is>
      </c>
      <c r="AB962" t="inlineStr">
        <is>
          <t>Cliente frecuente</t>
        </is>
      </c>
    </row>
    <row r="963">
      <c r="A963" t="inlineStr">
        <is>
          <t>F-11214</t>
        </is>
      </c>
      <c r="B963" s="3" t="n">
        <v>46277</v>
      </c>
      <c r="C963" t="inlineStr">
        <is>
          <t>Factura</t>
        </is>
      </c>
      <c r="D963" t="inlineStr">
        <is>
          <t>SS02</t>
        </is>
      </c>
      <c r="E963" t="inlineStr">
        <is>
          <t>Escalón</t>
        </is>
      </c>
      <c r="F963" t="inlineStr">
        <is>
          <t>Paseo General Escalón #3910</t>
        </is>
      </c>
      <c r="G963" t="inlineStr">
        <is>
          <t>San Salvador</t>
        </is>
      </c>
      <c r="H963" t="inlineStr">
        <is>
          <t>San Salvador</t>
        </is>
      </c>
      <c r="I963" t="inlineStr">
        <is>
          <t>Claudia Menjívar</t>
        </is>
      </c>
      <c r="J963" t="inlineStr">
        <is>
          <t>2264-1190</t>
        </is>
      </c>
      <c r="K963" t="inlineStr">
        <is>
          <t>Fátima Rosales</t>
        </is>
      </c>
      <c r="L963" t="inlineStr">
        <is>
          <t>José Sorto López</t>
        </is>
      </c>
      <c r="M963" t="inlineStr">
        <is>
          <t>04721627-5</t>
        </is>
      </c>
      <c r="N963" t="inlineStr">
        <is>
          <t>6844-3004</t>
        </is>
      </c>
      <c r="O963" t="inlineStr">
        <is>
          <t>Consumidor final</t>
        </is>
      </c>
      <c r="P963" t="inlineStr">
        <is>
          <t>ARR-001</t>
        </is>
      </c>
      <c r="Q963" t="inlineStr">
        <is>
          <t>Arroz blanco 5lb</t>
        </is>
      </c>
      <c r="R963" t="inlineStr">
        <is>
          <t>Granos básicos</t>
        </is>
      </c>
      <c r="S963" t="inlineStr">
        <is>
          <t>Granos del Pacífico</t>
        </is>
      </c>
      <c r="T963" t="inlineStr">
        <is>
          <t>2234-8890</t>
        </is>
      </c>
      <c r="U963" t="n">
        <v>3.95</v>
      </c>
      <c r="V963" t="n">
        <v>2</v>
      </c>
      <c r="W963" t="n">
        <v>0</v>
      </c>
      <c r="X963">
        <f>IFERROR(U963*V963*(1-W963/100),"")</f>
        <v/>
      </c>
      <c r="Y963">
        <f>IFERROR(ROUND(X963*0.13,2),"")</f>
        <v/>
      </c>
      <c r="Z963">
        <f>IFERROR(X963+Y963,"")</f>
        <v/>
      </c>
      <c r="AA963" t="inlineStr">
        <is>
          <t>Tarjeta</t>
        </is>
      </c>
      <c r="AB963" t="inlineStr">
        <is>
          <t>entregar en bodega</t>
        </is>
      </c>
    </row>
    <row r="964">
      <c r="A964" t="inlineStr">
        <is>
          <t>F-11214</t>
        </is>
      </c>
      <c r="B964" s="3" t="n">
        <v>46277</v>
      </c>
      <c r="C964" t="inlineStr">
        <is>
          <t>Factura</t>
        </is>
      </c>
      <c r="D964" t="inlineStr">
        <is>
          <t>SS02</t>
        </is>
      </c>
      <c r="E964" t="inlineStr">
        <is>
          <t>Col. Escalón</t>
        </is>
      </c>
      <c r="F964" t="inlineStr">
        <is>
          <t>Paseo General Escalón #3910</t>
        </is>
      </c>
      <c r="G964" t="inlineStr">
        <is>
          <t>San Salvador</t>
        </is>
      </c>
      <c r="H964" t="inlineStr">
        <is>
          <t>San Salvador</t>
        </is>
      </c>
      <c r="I964" t="inlineStr">
        <is>
          <t>Claudia Menjívar</t>
        </is>
      </c>
      <c r="J964" t="inlineStr">
        <is>
          <t>2264-1190</t>
        </is>
      </c>
      <c r="K964" t="inlineStr">
        <is>
          <t>Fátima Rosales</t>
        </is>
      </c>
      <c r="L964" t="inlineStr">
        <is>
          <t>José Sorto López</t>
        </is>
      </c>
      <c r="M964" t="inlineStr">
        <is>
          <t>04721627-5</t>
        </is>
      </c>
      <c r="N964" t="inlineStr">
        <is>
          <t>6844-3004</t>
        </is>
      </c>
      <c r="O964" t="inlineStr">
        <is>
          <t>Consumidor final</t>
        </is>
      </c>
      <c r="P964" t="inlineStr">
        <is>
          <t>HIG-002</t>
        </is>
      </c>
      <c r="Q964" t="inlineStr">
        <is>
          <t>Papel higiénico 4 rollos</t>
        </is>
      </c>
      <c r="R964" t="inlineStr">
        <is>
          <t>Higiene</t>
        </is>
      </c>
      <c r="S964" t="inlineStr">
        <is>
          <t>Higiene Total C.A.</t>
        </is>
      </c>
      <c r="T964" t="inlineStr">
        <is>
          <t>2207-5566</t>
        </is>
      </c>
      <c r="U964" t="n">
        <v>2.15</v>
      </c>
      <c r="V964" t="n">
        <v>1</v>
      </c>
      <c r="W964" t="n">
        <v>0</v>
      </c>
      <c r="X964">
        <f>IFERROR(U964*V964*(1-W964/100),"")</f>
        <v/>
      </c>
      <c r="Y964">
        <f>IFERROR(ROUND(X964*0.13,2),"")</f>
        <v/>
      </c>
      <c r="Z964">
        <f>IFERROR(X964+Y964,"")</f>
        <v/>
      </c>
      <c r="AA964" t="inlineStr">
        <is>
          <t>Tarjeta</t>
        </is>
      </c>
      <c r="AB964" t="inlineStr"/>
    </row>
    <row r="965">
      <c r="A965" t="inlineStr">
        <is>
          <t>F-11214</t>
        </is>
      </c>
      <c r="B965" s="3" t="n">
        <v>46277</v>
      </c>
      <c r="C965" t="inlineStr">
        <is>
          <t>Factura</t>
        </is>
      </c>
      <c r="D965" t="inlineStr">
        <is>
          <t>SS02</t>
        </is>
      </c>
      <c r="E965" t="inlineStr">
        <is>
          <t>Escalón</t>
        </is>
      </c>
      <c r="F965" t="inlineStr">
        <is>
          <t>Paseo General Escalón #3910</t>
        </is>
      </c>
      <c r="G965" t="inlineStr">
        <is>
          <t>San Salvador</t>
        </is>
      </c>
      <c r="H965" t="inlineStr">
        <is>
          <t>San Salvador</t>
        </is>
      </c>
      <c r="I965" t="inlineStr">
        <is>
          <t>Claudia Menjívar</t>
        </is>
      </c>
      <c r="J965" t="inlineStr">
        <is>
          <t>2264-1190</t>
        </is>
      </c>
      <c r="K965" t="inlineStr">
        <is>
          <t>Fátima Rosales</t>
        </is>
      </c>
      <c r="L965" t="inlineStr">
        <is>
          <t>José Sorto López</t>
        </is>
      </c>
      <c r="M965" t="inlineStr">
        <is>
          <t>04721627-5</t>
        </is>
      </c>
      <c r="N965" t="inlineStr">
        <is>
          <t>6844-3004</t>
        </is>
      </c>
      <c r="O965" t="inlineStr">
        <is>
          <t>Consumidor final</t>
        </is>
      </c>
      <c r="P965" t="inlineStr">
        <is>
          <t>PAN-003</t>
        </is>
      </c>
      <c r="Q965" t="inlineStr">
        <is>
          <t>Quesadilla salvadoreña</t>
        </is>
      </c>
      <c r="R965" t="inlineStr">
        <is>
          <t>Panadería</t>
        </is>
      </c>
      <c r="S965" t="inlineStr">
        <is>
          <t>Panificadora Ilopango</t>
        </is>
      </c>
      <c r="T965" t="inlineStr">
        <is>
          <t>2295-0081</t>
        </is>
      </c>
      <c r="U965" t="n">
        <v>2.5</v>
      </c>
      <c r="V965" t="n">
        <v>1</v>
      </c>
      <c r="W965" t="n">
        <v>0</v>
      </c>
      <c r="X965">
        <f>IFERROR(U965*V965*(1-W965/100),"")</f>
        <v/>
      </c>
      <c r="Y965">
        <f>IFERROR(ROUND(X965*0.13,2),"")</f>
        <v/>
      </c>
      <c r="Z965">
        <f>IFERROR(X965+Y965,"")</f>
        <v/>
      </c>
      <c r="AA965" t="inlineStr">
        <is>
          <t>Tarjeta</t>
        </is>
      </c>
      <c r="AB965" t="inlineStr"/>
    </row>
    <row r="966">
      <c r="A966" t="inlineStr">
        <is>
          <t>F-11215</t>
        </is>
      </c>
      <c r="B966" s="3" t="n">
        <v>46263</v>
      </c>
      <c r="C966" t="inlineStr">
        <is>
          <t>FCF</t>
        </is>
      </c>
      <c r="D966" t="inlineStr">
        <is>
          <t>SS01</t>
        </is>
      </c>
      <c r="E966" t="inlineStr">
        <is>
          <t>SAN SALVADOR CENTRO</t>
        </is>
      </c>
      <c r="F966" t="inlineStr">
        <is>
          <t>4a Calle Poniente #215</t>
        </is>
      </c>
      <c r="G966" t="inlineStr">
        <is>
          <t>San Salvador</t>
        </is>
      </c>
      <c r="H966" t="inlineStr">
        <is>
          <t>San Salvador</t>
        </is>
      </c>
      <c r="I966" t="inlineStr">
        <is>
          <t>Roberto Alfaro</t>
        </is>
      </c>
      <c r="J966" t="inlineStr">
        <is>
          <t>2221-4580</t>
        </is>
      </c>
      <c r="K966" t="inlineStr">
        <is>
          <t>Daniela Orellana</t>
        </is>
      </c>
      <c r="L966" t="inlineStr">
        <is>
          <t>Mario Lemus Flores</t>
        </is>
      </c>
      <c r="M966" t="inlineStr">
        <is>
          <t>05465836-8</t>
        </is>
      </c>
      <c r="N966" t="inlineStr">
        <is>
          <t>6555-2967</t>
        </is>
      </c>
      <c r="O966" t="inlineStr">
        <is>
          <t>Consumidor final</t>
        </is>
      </c>
      <c r="P966" t="inlineStr">
        <is>
          <t>PAN-003</t>
        </is>
      </c>
      <c r="Q966" t="inlineStr">
        <is>
          <t>Quesadilla salvadoreña</t>
        </is>
      </c>
      <c r="R966" t="inlineStr">
        <is>
          <t>Panadería</t>
        </is>
      </c>
      <c r="S966" t="inlineStr">
        <is>
          <t>Panificadora Ilopango</t>
        </is>
      </c>
      <c r="T966" t="inlineStr">
        <is>
          <t>2295-0081</t>
        </is>
      </c>
      <c r="U966" t="n">
        <v>2.5</v>
      </c>
      <c r="V966" t="n">
        <v>4</v>
      </c>
      <c r="W966" t="n">
        <v>0</v>
      </c>
      <c r="X966">
        <f>IFERROR(U966*V966*(1-W966/100),"")</f>
        <v/>
      </c>
      <c r="Y966">
        <f>IFERROR(ROUND(X966*0.13,2),"")</f>
        <v/>
      </c>
      <c r="Z966">
        <f>IFERROR(X966+Y966,"")</f>
        <v/>
      </c>
      <c r="AA966" t="inlineStr">
        <is>
          <t>Efectivo</t>
        </is>
      </c>
      <c r="AB966" t="inlineStr">
        <is>
          <t>entregar en bodega</t>
        </is>
      </c>
    </row>
    <row r="967">
      <c r="A967" t="inlineStr">
        <is>
          <t>F-11215</t>
        </is>
      </c>
      <c r="B967" t="inlineStr">
        <is>
          <t>29/08/2026</t>
        </is>
      </c>
      <c r="C967" t="inlineStr">
        <is>
          <t>FCF</t>
        </is>
      </c>
      <c r="D967" t="inlineStr">
        <is>
          <t>SS01</t>
        </is>
      </c>
      <c r="E967" t="inlineStr">
        <is>
          <t>S.S. Centro</t>
        </is>
      </c>
      <c r="F967" t="inlineStr">
        <is>
          <t>4a Calle Poniente #215</t>
        </is>
      </c>
      <c r="G967" t="inlineStr">
        <is>
          <t>San Salvador</t>
        </is>
      </c>
      <c r="H967" t="inlineStr">
        <is>
          <t>San Salvador</t>
        </is>
      </c>
      <c r="I967" t="inlineStr">
        <is>
          <t>Roberto Alfaro</t>
        </is>
      </c>
      <c r="J967" t="inlineStr">
        <is>
          <t>2221-4580</t>
        </is>
      </c>
      <c r="K967" t="inlineStr">
        <is>
          <t>Daniela Orellana</t>
        </is>
      </c>
      <c r="L967" t="inlineStr">
        <is>
          <t>Mario Lemus Flores</t>
        </is>
      </c>
      <c r="M967" t="inlineStr">
        <is>
          <t>05465836-8</t>
        </is>
      </c>
      <c r="N967" t="inlineStr">
        <is>
          <t>6555-2967</t>
        </is>
      </c>
      <c r="O967" t="inlineStr">
        <is>
          <t>Consumidor final</t>
        </is>
      </c>
      <c r="P967" t="inlineStr">
        <is>
          <t>BEB-002</t>
        </is>
      </c>
      <c r="Q967" t="inlineStr">
        <is>
          <t>Agua purificada 1 galón</t>
        </is>
      </c>
      <c r="R967" t="inlineStr">
        <is>
          <t>Bebidas</t>
        </is>
      </c>
      <c r="S967" t="inlineStr">
        <is>
          <t>Bebidas Izalco</t>
        </is>
      </c>
      <c r="T967" t="inlineStr">
        <is>
          <t>2450-7700</t>
        </is>
      </c>
      <c r="U967" t="n">
        <v>1.1</v>
      </c>
      <c r="V967" t="n">
        <v>2</v>
      </c>
      <c r="W967" t="n">
        <v>0</v>
      </c>
      <c r="X967">
        <f>IFERROR(U967*V967*(1-W967/100),"")</f>
        <v/>
      </c>
      <c r="Y967">
        <f>IFERROR(ROUND(X967*0.13,2),"")</f>
        <v/>
      </c>
      <c r="Z967">
        <f>IFERROR(X967+Y967,"")</f>
        <v/>
      </c>
      <c r="AA967" t="inlineStr">
        <is>
          <t>Efectivo</t>
        </is>
      </c>
      <c r="AB967" t="inlineStr"/>
    </row>
    <row r="968">
      <c r="A968" t="inlineStr">
        <is>
          <t>F-11218</t>
        </is>
      </c>
      <c r="B968" s="3" t="n">
        <v>46284</v>
      </c>
      <c r="C968" t="inlineStr">
        <is>
          <t>FCF</t>
        </is>
      </c>
      <c r="D968" t="inlineStr">
        <is>
          <t>SM01</t>
        </is>
      </c>
      <c r="E968" t="inlineStr">
        <is>
          <t>S. Miguel</t>
        </is>
      </c>
      <c r="F968" t="inlineStr">
        <is>
          <t>Av. Roosevelt Sur #7</t>
        </is>
      </c>
      <c r="G968" t="inlineStr">
        <is>
          <t>San Miguel</t>
        </is>
      </c>
      <c r="H968" t="inlineStr">
        <is>
          <t>San Miguel</t>
        </is>
      </c>
      <c r="I968" t="inlineStr">
        <is>
          <t>Iris Portillo</t>
        </is>
      </c>
      <c r="J968" t="inlineStr">
        <is>
          <t>2661-5076</t>
        </is>
      </c>
      <c r="K968" t="inlineStr">
        <is>
          <t>Paola Cruz</t>
        </is>
      </c>
      <c r="L968" t="inlineStr">
        <is>
          <t>Silvia Martínez Hernández</t>
        </is>
      </c>
      <c r="M968" t="inlineStr">
        <is>
          <t>05821993-5</t>
        </is>
      </c>
      <c r="N968" t="inlineStr">
        <is>
          <t>2126-9362</t>
        </is>
      </c>
      <c r="O968" t="inlineStr">
        <is>
          <t>Consumidor final</t>
        </is>
      </c>
      <c r="P968" t="inlineStr">
        <is>
          <t>PAN-001</t>
        </is>
      </c>
      <c r="Q968" t="inlineStr">
        <is>
          <t>Pan francés bolsa 10u</t>
        </is>
      </c>
      <c r="R968" t="inlineStr">
        <is>
          <t>Panadería</t>
        </is>
      </c>
      <c r="S968" t="inlineStr">
        <is>
          <t>Panificadora Ilopango</t>
        </is>
      </c>
      <c r="T968" t="inlineStr">
        <is>
          <t>2295-0081</t>
        </is>
      </c>
      <c r="U968" t="inlineStr">
        <is>
          <t>1,00</t>
        </is>
      </c>
      <c r="V968" t="n">
        <v>6</v>
      </c>
      <c r="W968" t="n">
        <v>0</v>
      </c>
      <c r="X968">
        <f>IFERROR(U968*V968*(1-W968/100),"")</f>
        <v/>
      </c>
      <c r="Y968">
        <f>IFERROR(ROUND(X968*0.13,2),"")</f>
        <v/>
      </c>
      <c r="Z968">
        <f>IFERROR(X968+Y968,"")</f>
        <v/>
      </c>
      <c r="AA968" t="inlineStr">
        <is>
          <t>efectivo</t>
        </is>
      </c>
      <c r="AB968" t="inlineStr"/>
    </row>
    <row r="969">
      <c r="A969" t="inlineStr">
        <is>
          <t>F-11218</t>
        </is>
      </c>
      <c r="B969" s="3" t="n">
        <v>46284</v>
      </c>
      <c r="C969" t="inlineStr">
        <is>
          <t>FCF</t>
        </is>
      </c>
      <c r="D969" t="inlineStr">
        <is>
          <t>SM01</t>
        </is>
      </c>
      <c r="E969" t="inlineStr">
        <is>
          <t>S. Miguel</t>
        </is>
      </c>
      <c r="F969" t="inlineStr">
        <is>
          <t>Av. Roosevelt Sur #7</t>
        </is>
      </c>
      <c r="G969" t="inlineStr">
        <is>
          <t>San Miguel</t>
        </is>
      </c>
      <c r="H969" t="inlineStr">
        <is>
          <t>San Miguel</t>
        </is>
      </c>
      <c r="I969" t="inlineStr">
        <is>
          <t>Iris Portillo</t>
        </is>
      </c>
      <c r="J969" t="inlineStr">
        <is>
          <t>2661-5076</t>
        </is>
      </c>
      <c r="K969" t="inlineStr">
        <is>
          <t>Paola Cruz</t>
        </is>
      </c>
      <c r="L969" t="inlineStr">
        <is>
          <t>Silvia Martínez Hernández</t>
        </is>
      </c>
      <c r="M969" t="inlineStr">
        <is>
          <t>05821993-5</t>
        </is>
      </c>
      <c r="N969" t="inlineStr">
        <is>
          <t>2126-9362</t>
        </is>
      </c>
      <c r="O969" t="inlineStr">
        <is>
          <t>Consumidor final</t>
        </is>
      </c>
      <c r="P969" t="inlineStr">
        <is>
          <t>CAF-002</t>
        </is>
      </c>
      <c r="Q969" t="inlineStr">
        <is>
          <t>Café en grano 1lb</t>
        </is>
      </c>
      <c r="R969" t="inlineStr">
        <is>
          <t>Abarrotes</t>
        </is>
      </c>
      <c r="S969" t="inlineStr">
        <is>
          <t>Café Volcán S.A.</t>
        </is>
      </c>
      <c r="T969" t="inlineStr">
        <is>
          <t>2510-3344</t>
        </is>
      </c>
      <c r="U969" t="n">
        <v>6.75</v>
      </c>
      <c r="V969" t="n">
        <v>4</v>
      </c>
      <c r="W969" t="n">
        <v>0</v>
      </c>
      <c r="X969">
        <f>IFERROR(U969*V969*(1-W969/100),"")</f>
        <v/>
      </c>
      <c r="Y969">
        <f>IFERROR(ROUND(X969*0.13,2),"")</f>
        <v/>
      </c>
      <c r="Z969">
        <f>IFERROR(X969+Y969,"")</f>
        <v/>
      </c>
      <c r="AA969" t="inlineStr">
        <is>
          <t>efectivo</t>
        </is>
      </c>
      <c r="AB969" t="inlineStr">
        <is>
          <t>entregar en bodega</t>
        </is>
      </c>
    </row>
    <row r="970">
      <c r="A970" t="inlineStr">
        <is>
          <t>F-11218</t>
        </is>
      </c>
      <c r="B970" s="3" t="n">
        <v>46284</v>
      </c>
      <c r="C970" t="inlineStr">
        <is>
          <t>FCF</t>
        </is>
      </c>
      <c r="D970" t="inlineStr">
        <is>
          <t>SM01</t>
        </is>
      </c>
      <c r="E970" t="inlineStr">
        <is>
          <t>San Miguel</t>
        </is>
      </c>
      <c r="F970" t="inlineStr">
        <is>
          <t>Av. Roosevelt Sur #7</t>
        </is>
      </c>
      <c r="G970" t="inlineStr">
        <is>
          <t>San Miguel</t>
        </is>
      </c>
      <c r="H970" t="inlineStr">
        <is>
          <t>San Miguel</t>
        </is>
      </c>
      <c r="I970" t="inlineStr">
        <is>
          <t>Iris Portillo</t>
        </is>
      </c>
      <c r="J970" t="inlineStr">
        <is>
          <t>2661-5076</t>
        </is>
      </c>
      <c r="K970" t="inlineStr">
        <is>
          <t>Paola Cruz</t>
        </is>
      </c>
      <c r="L970" t="inlineStr">
        <is>
          <t>Silvia Martínez Hernández</t>
        </is>
      </c>
      <c r="M970" t="inlineStr">
        <is>
          <t>05821993-5</t>
        </is>
      </c>
      <c r="N970" t="inlineStr">
        <is>
          <t>2126-9362</t>
        </is>
      </c>
      <c r="O970" t="inlineStr">
        <is>
          <t>Consumidor final</t>
        </is>
      </c>
      <c r="P970" t="inlineStr">
        <is>
          <t>HAR-001</t>
        </is>
      </c>
      <c r="Q970" t="inlineStr">
        <is>
          <t>Harina de maíz 2lb</t>
        </is>
      </c>
      <c r="R970" t="inlineStr">
        <is>
          <t>Abarrotes</t>
        </is>
      </c>
      <c r="S970" t="inlineStr">
        <is>
          <t>Granos del Pacífico</t>
        </is>
      </c>
      <c r="T970" t="inlineStr">
        <is>
          <t>2234-8890</t>
        </is>
      </c>
      <c r="U970" t="n">
        <v>1.35</v>
      </c>
      <c r="V970" t="n">
        <v>3</v>
      </c>
      <c r="W970" t="n">
        <v>0</v>
      </c>
      <c r="X970">
        <f>IFERROR(U970*V970*(1-W970/100),"")</f>
        <v/>
      </c>
      <c r="Y970">
        <f>IFERROR(ROUND(X970*0.13,2),"")</f>
        <v/>
      </c>
      <c r="Z970">
        <f>IFERROR(X970+Y970,"")</f>
        <v/>
      </c>
      <c r="AA970" t="inlineStr">
        <is>
          <t>efectivo</t>
        </is>
      </c>
      <c r="AB970" t="inlineStr">
        <is>
          <t>Cliente frecuente</t>
        </is>
      </c>
    </row>
    <row r="971">
      <c r="A971" t="inlineStr">
        <is>
          <t>F-11220</t>
        </is>
      </c>
      <c r="B971" s="3" t="n">
        <v>46246</v>
      </c>
      <c r="C971" t="inlineStr">
        <is>
          <t>Factura</t>
        </is>
      </c>
      <c r="D971" t="inlineStr">
        <is>
          <t>SS02</t>
        </is>
      </c>
      <c r="E971" t="inlineStr">
        <is>
          <t>Col. Escalón</t>
        </is>
      </c>
      <c r="F971" t="inlineStr">
        <is>
          <t>Paseo General Escalón #3910</t>
        </is>
      </c>
      <c r="G971" t="inlineStr">
        <is>
          <t>San Salvador</t>
        </is>
      </c>
      <c r="H971" t="inlineStr">
        <is>
          <t>San Salvador</t>
        </is>
      </c>
      <c r="I971" t="inlineStr">
        <is>
          <t>Claudia Menjívar</t>
        </is>
      </c>
      <c r="J971" t="inlineStr">
        <is>
          <t>2264-1190</t>
        </is>
      </c>
      <c r="K971" t="inlineStr">
        <is>
          <t>Kevin Benítez</t>
        </is>
      </c>
      <c r="L971" t="inlineStr">
        <is>
          <t>Edwin Alvarado García</t>
        </is>
      </c>
      <c r="M971" t="inlineStr">
        <is>
          <t>03264621-6</t>
        </is>
      </c>
      <c r="N971" t="inlineStr">
        <is>
          <t>2560-1229</t>
        </is>
      </c>
      <c r="O971" t="inlineStr">
        <is>
          <t>Consumidor final</t>
        </is>
      </c>
      <c r="P971" t="inlineStr">
        <is>
          <t>BEB-003</t>
        </is>
      </c>
      <c r="Q971" t="inlineStr">
        <is>
          <t>Horchata en polvo 400g</t>
        </is>
      </c>
      <c r="R971" t="inlineStr">
        <is>
          <t>Bebidas</t>
        </is>
      </c>
      <c r="S971" t="inlineStr">
        <is>
          <t>Bebidas Izalco</t>
        </is>
      </c>
      <c r="T971" t="inlineStr">
        <is>
          <t>2450-7700</t>
        </is>
      </c>
      <c r="U971" t="n">
        <v>2.6</v>
      </c>
      <c r="V971" t="n">
        <v>1</v>
      </c>
      <c r="W971" t="n">
        <v>0</v>
      </c>
      <c r="X971">
        <f>IFERROR(U971*V971*(1-W971/100),"")</f>
        <v/>
      </c>
      <c r="Y971">
        <f>IFERROR(ROUND(X971*0.13,2),"")</f>
        <v/>
      </c>
      <c r="Z971">
        <f>IFERROR(X971+Y971,"")</f>
        <v/>
      </c>
      <c r="AA971" t="inlineStr">
        <is>
          <t>Tarjeta</t>
        </is>
      </c>
      <c r="AB971" t="inlineStr"/>
    </row>
    <row r="972">
      <c r="A972" t="inlineStr">
        <is>
          <t>F-11220</t>
        </is>
      </c>
      <c r="B972" s="3" t="n">
        <v>46246</v>
      </c>
      <c r="C972" t="inlineStr">
        <is>
          <t>Factura</t>
        </is>
      </c>
      <c r="D972" t="inlineStr">
        <is>
          <t>SS02</t>
        </is>
      </c>
      <c r="E972" t="inlineStr">
        <is>
          <t>Escalón</t>
        </is>
      </c>
      <c r="F972" t="inlineStr">
        <is>
          <t>Paseo General Escalón #3910</t>
        </is>
      </c>
      <c r="G972" t="inlineStr">
        <is>
          <t>San Salvador</t>
        </is>
      </c>
      <c r="H972" t="inlineStr">
        <is>
          <t>San Salvador</t>
        </is>
      </c>
      <c r="I972" t="inlineStr">
        <is>
          <t>Claudia Menjívar</t>
        </is>
      </c>
      <c r="J972" t="inlineStr">
        <is>
          <t>2264-1190</t>
        </is>
      </c>
      <c r="K972" t="inlineStr">
        <is>
          <t>Kevin Benítez</t>
        </is>
      </c>
      <c r="L972" t="inlineStr">
        <is>
          <t>Edwin Alvarado García</t>
        </is>
      </c>
      <c r="M972" t="inlineStr">
        <is>
          <t>03264621-6</t>
        </is>
      </c>
      <c r="N972" t="inlineStr">
        <is>
          <t>2560-1229</t>
        </is>
      </c>
      <c r="O972" t="inlineStr">
        <is>
          <t>Consumidor final</t>
        </is>
      </c>
      <c r="P972" t="inlineStr">
        <is>
          <t>PAN-001</t>
        </is>
      </c>
      <c r="Q972" t="inlineStr">
        <is>
          <t>Pan francés bolsa 10u</t>
        </is>
      </c>
      <c r="R972" t="inlineStr">
        <is>
          <t>Panaderia</t>
        </is>
      </c>
      <c r="S972" t="inlineStr">
        <is>
          <t>Panificadora Ilopango</t>
        </is>
      </c>
      <c r="T972" t="inlineStr">
        <is>
          <t>2295-0081</t>
        </is>
      </c>
      <c r="U972" t="n">
        <v>1</v>
      </c>
      <c r="V972" t="n">
        <v>1</v>
      </c>
      <c r="W972" t="n">
        <v>0</v>
      </c>
      <c r="X972">
        <f>IFERROR(U972*V972*(1-W972/100),"")</f>
        <v/>
      </c>
      <c r="Y972">
        <f>IFERROR(ROUND(X972*0.13,2),"")</f>
        <v/>
      </c>
      <c r="Z972">
        <f>IFERROR(X972+Y972,"")</f>
        <v/>
      </c>
      <c r="AA972" t="inlineStr">
        <is>
          <t>Tarjeta</t>
        </is>
      </c>
      <c r="AB972" t="inlineStr"/>
    </row>
    <row r="973">
      <c r="A973" t="inlineStr">
        <is>
          <t>F-11220</t>
        </is>
      </c>
      <c r="B973" t="inlineStr">
        <is>
          <t>12/08/2026</t>
        </is>
      </c>
      <c r="C973" t="inlineStr">
        <is>
          <t>Factura</t>
        </is>
      </c>
      <c r="D973" t="inlineStr">
        <is>
          <t>SS02</t>
        </is>
      </c>
      <c r="E973" t="inlineStr">
        <is>
          <t>Col. Escalón</t>
        </is>
      </c>
      <c r="F973" t="inlineStr">
        <is>
          <t>Paseo General Escalón #3910</t>
        </is>
      </c>
      <c r="G973" t="inlineStr">
        <is>
          <t>San Salvador</t>
        </is>
      </c>
      <c r="H973" t="inlineStr">
        <is>
          <t>San Salvador</t>
        </is>
      </c>
      <c r="I973" t="inlineStr">
        <is>
          <t>Claudia Menjívar</t>
        </is>
      </c>
      <c r="J973" t="inlineStr">
        <is>
          <t>2264-1190</t>
        </is>
      </c>
      <c r="K973" t="inlineStr">
        <is>
          <t>Kevin Benítez</t>
        </is>
      </c>
      <c r="L973" t="inlineStr">
        <is>
          <t>Edwin Alvarado García</t>
        </is>
      </c>
      <c r="M973" t="inlineStr">
        <is>
          <t>03264621-6</t>
        </is>
      </c>
      <c r="N973" t="inlineStr">
        <is>
          <t>2560-1229</t>
        </is>
      </c>
      <c r="O973" t="inlineStr">
        <is>
          <t>Consumidor final</t>
        </is>
      </c>
      <c r="P973" t="inlineStr">
        <is>
          <t>HIG-001</t>
        </is>
      </c>
      <c r="Q973" t="inlineStr">
        <is>
          <t>Detergente 1kg</t>
        </is>
      </c>
      <c r="R973" t="inlineStr">
        <is>
          <t>Higiene</t>
        </is>
      </c>
      <c r="S973" t="inlineStr">
        <is>
          <t>Higiene Total C.A.</t>
        </is>
      </c>
      <c r="T973" t="inlineStr">
        <is>
          <t>2207-5566</t>
        </is>
      </c>
      <c r="U973" t="inlineStr">
        <is>
          <t>$3.45</t>
        </is>
      </c>
      <c r="V973" t="n">
        <v>3</v>
      </c>
      <c r="W973" t="n">
        <v>0</v>
      </c>
      <c r="X973">
        <f>IFERROR(U973*V973*(1-W973/100),"")</f>
        <v/>
      </c>
      <c r="Y973">
        <f>IFERROR(ROUND(X973*0.13,2),"")</f>
        <v/>
      </c>
      <c r="Z973">
        <f>IFERROR(X973+Y973,"")</f>
        <v/>
      </c>
      <c r="AA973" t="inlineStr">
        <is>
          <t>Tarjeta</t>
        </is>
      </c>
      <c r="AB973" t="inlineStr">
        <is>
          <t>Cliente frecuente</t>
        </is>
      </c>
    </row>
    <row r="974">
      <c r="A974" t="inlineStr">
        <is>
          <t>F-11221</t>
        </is>
      </c>
      <c r="B974" s="3" t="n">
        <v>46239</v>
      </c>
      <c r="C974" t="inlineStr">
        <is>
          <t>Factura</t>
        </is>
      </c>
      <c r="D974" t="inlineStr">
        <is>
          <t>LL02</t>
        </is>
      </c>
      <c r="E974" t="inlineStr">
        <is>
          <t>Pto. La Libertad</t>
        </is>
      </c>
      <c r="F974" t="inlineStr">
        <is>
          <t>Calle El Malecón, Local 4</t>
        </is>
      </c>
      <c r="G974" t="inlineStr">
        <is>
          <t>La Libertad</t>
        </is>
      </c>
      <c r="H974" t="inlineStr">
        <is>
          <t>La Libertad</t>
        </is>
      </c>
      <c r="I974" t="inlineStr">
        <is>
          <t>Wendy Aguilar</t>
        </is>
      </c>
      <c r="J974" t="inlineStr">
        <is>
          <t>2335-6140</t>
        </is>
      </c>
      <c r="K974" t="inlineStr">
        <is>
          <t>Gabriela Saravia</t>
        </is>
      </c>
      <c r="L974" t="inlineStr">
        <is>
          <t>ROSA FLORES CORNEJO</t>
        </is>
      </c>
      <c r="M974" t="inlineStr">
        <is>
          <t>00476760-8</t>
        </is>
      </c>
      <c r="N974" t="inlineStr">
        <is>
          <t>7668-7502</t>
        </is>
      </c>
      <c r="O974" t="inlineStr">
        <is>
          <t>Consumidor final</t>
        </is>
      </c>
      <c r="P974" t="inlineStr">
        <is>
          <t>HIG-003</t>
        </is>
      </c>
      <c r="Q974" t="inlineStr">
        <is>
          <t>Jabón de lavar barra</t>
        </is>
      </c>
      <c r="R974" t="inlineStr">
        <is>
          <t>Limpieza</t>
        </is>
      </c>
      <c r="S974" t="inlineStr">
        <is>
          <t>Higiene Total C.A.</t>
        </is>
      </c>
      <c r="T974" t="inlineStr">
        <is>
          <t>2207-5566</t>
        </is>
      </c>
      <c r="U974" t="n">
        <v>0.75</v>
      </c>
      <c r="V974" t="n">
        <v>2</v>
      </c>
      <c r="W974" t="n">
        <v>0</v>
      </c>
      <c r="X974">
        <f>IFERROR(U974*V974*(1-W974/100),"")</f>
        <v/>
      </c>
      <c r="Y974">
        <f>IFERROR(ROUND(X974*0.13,2),"")</f>
        <v/>
      </c>
      <c r="Z974">
        <f>IFERROR(X974+Y974,"")</f>
        <v/>
      </c>
      <c r="AA974" t="inlineStr">
        <is>
          <t>Transferencia</t>
        </is>
      </c>
      <c r="AB974" t="inlineStr">
        <is>
          <t>Cliente frecuente</t>
        </is>
      </c>
    </row>
    <row r="975">
      <c r="A975" t="inlineStr">
        <is>
          <t>F-11221</t>
        </is>
      </c>
      <c r="B975" t="inlineStr">
        <is>
          <t>05/08/2026</t>
        </is>
      </c>
      <c r="C975" t="inlineStr">
        <is>
          <t>Factura</t>
        </is>
      </c>
      <c r="D975" t="inlineStr">
        <is>
          <t>LL02</t>
        </is>
      </c>
      <c r="E975" t="inlineStr">
        <is>
          <t>Pto. La Libertad</t>
        </is>
      </c>
      <c r="F975" t="inlineStr">
        <is>
          <t>Calle El Malecón, Local 4</t>
        </is>
      </c>
      <c r="G975" t="inlineStr">
        <is>
          <t>La Libertad</t>
        </is>
      </c>
      <c r="H975" t="inlineStr">
        <is>
          <t>La Libertad</t>
        </is>
      </c>
      <c r="I975" t="inlineStr">
        <is>
          <t>Wendy Aguilar</t>
        </is>
      </c>
      <c r="J975" t="inlineStr">
        <is>
          <t>2335-6140</t>
        </is>
      </c>
      <c r="K975" t="inlineStr">
        <is>
          <t>Gabriela Saravia</t>
        </is>
      </c>
      <c r="L975" t="inlineStr">
        <is>
          <t>Rosa Flores Cornejo</t>
        </is>
      </c>
      <c r="M975" t="inlineStr">
        <is>
          <t>00476760-8</t>
        </is>
      </c>
      <c r="N975" t="inlineStr">
        <is>
          <t>7668-7502</t>
        </is>
      </c>
      <c r="O975" t="inlineStr">
        <is>
          <t>Consumidor final</t>
        </is>
      </c>
      <c r="P975" t="inlineStr">
        <is>
          <t>BEB-003</t>
        </is>
      </c>
      <c r="Q975" t="inlineStr">
        <is>
          <t>Horchata en polvo 400g</t>
        </is>
      </c>
      <c r="R975" t="inlineStr">
        <is>
          <t>Abarrotes</t>
        </is>
      </c>
      <c r="S975" t="inlineStr">
        <is>
          <t>Bebidas Izalco</t>
        </is>
      </c>
      <c r="T975" t="inlineStr">
        <is>
          <t>2450-7700</t>
        </is>
      </c>
      <c r="U975" t="n">
        <v>2.6</v>
      </c>
      <c r="V975" t="n">
        <v>1</v>
      </c>
      <c r="W975" t="n">
        <v>0</v>
      </c>
      <c r="X975">
        <f>IFERROR(U975*V975*(1-W975/100),"")</f>
        <v/>
      </c>
      <c r="Y975">
        <f>IFERROR(ROUND(X975*0.13,2),"")</f>
        <v/>
      </c>
      <c r="Z975">
        <f>IFERROR(X975+Y975,"")</f>
        <v/>
      </c>
      <c r="AA975" t="inlineStr">
        <is>
          <t>Transferencia</t>
        </is>
      </c>
      <c r="AB975" t="inlineStr">
        <is>
          <t>Llamar al 7788-1234 antes de entregar</t>
        </is>
      </c>
    </row>
    <row r="976">
      <c r="A976" t="inlineStr">
        <is>
          <t>F-11221</t>
        </is>
      </c>
      <c r="B976" s="3" t="n">
        <v>46239</v>
      </c>
      <c r="C976" t="inlineStr">
        <is>
          <t>Factura</t>
        </is>
      </c>
      <c r="D976" t="inlineStr">
        <is>
          <t>LL02</t>
        </is>
      </c>
      <c r="E976" t="inlineStr">
        <is>
          <t>Puerto de La Libertad</t>
        </is>
      </c>
      <c r="F976" t="inlineStr">
        <is>
          <t>Calle El Malecón, Local 4</t>
        </is>
      </c>
      <c r="G976" t="inlineStr">
        <is>
          <t>La Libertad</t>
        </is>
      </c>
      <c r="H976" t="inlineStr">
        <is>
          <t>La Libertad</t>
        </is>
      </c>
      <c r="I976" t="inlineStr">
        <is>
          <t>Wendy Aguilar</t>
        </is>
      </c>
      <c r="J976" t="inlineStr">
        <is>
          <t>2335-6140</t>
        </is>
      </c>
      <c r="K976" t="inlineStr">
        <is>
          <t>Gabriela Saravia</t>
        </is>
      </c>
      <c r="L976" t="inlineStr">
        <is>
          <t>Rosa Flores Cornejo</t>
        </is>
      </c>
      <c r="M976" t="inlineStr">
        <is>
          <t>00476760-8</t>
        </is>
      </c>
      <c r="N976" t="inlineStr">
        <is>
          <t>7668-7502</t>
        </is>
      </c>
      <c r="O976" t="inlineStr">
        <is>
          <t>Consumidor final</t>
        </is>
      </c>
      <c r="P976" t="inlineStr">
        <is>
          <t>ARR-001</t>
        </is>
      </c>
      <c r="Q976" t="inlineStr">
        <is>
          <t>Arroz blanco 5lb</t>
        </is>
      </c>
      <c r="R976" t="inlineStr">
        <is>
          <t>Abarrotes</t>
        </is>
      </c>
      <c r="S976" t="inlineStr">
        <is>
          <t>Granos del Pacífico</t>
        </is>
      </c>
      <c r="T976" t="inlineStr">
        <is>
          <t>2234-8890</t>
        </is>
      </c>
      <c r="U976" t="n">
        <v>3.95</v>
      </c>
      <c r="V976" t="n">
        <v>4</v>
      </c>
      <c r="W976" t="n">
        <v>0</v>
      </c>
      <c r="X976">
        <f>IFERROR(U976*V976*(1-W976/100),"")</f>
        <v/>
      </c>
      <c r="Y976">
        <f>IFERROR(ROUND(X976*0.13,2),"")</f>
        <v/>
      </c>
      <c r="Z976">
        <f>IFERROR(X976+Y976,"")</f>
        <v/>
      </c>
      <c r="AA976" t="inlineStr">
        <is>
          <t>Transferencia</t>
        </is>
      </c>
      <c r="AB976" t="inlineStr"/>
    </row>
    <row r="977">
      <c r="A977" t="inlineStr">
        <is>
          <t>F-11221</t>
        </is>
      </c>
      <c r="B977" t="inlineStr">
        <is>
          <t>2026-08-05</t>
        </is>
      </c>
      <c r="C977" t="inlineStr">
        <is>
          <t>Factura</t>
        </is>
      </c>
      <c r="D977" t="inlineStr">
        <is>
          <t>LL02</t>
        </is>
      </c>
      <c r="E977" t="inlineStr">
        <is>
          <t>Puerto de La Libertad</t>
        </is>
      </c>
      <c r="F977" t="inlineStr">
        <is>
          <t>Calle El Malecón, Local 4</t>
        </is>
      </c>
      <c r="G977" t="inlineStr">
        <is>
          <t>La Libertad</t>
        </is>
      </c>
      <c r="H977" t="inlineStr">
        <is>
          <t>La Libertad</t>
        </is>
      </c>
      <c r="I977" t="inlineStr">
        <is>
          <t>Wendy Aguilar</t>
        </is>
      </c>
      <c r="J977" t="inlineStr">
        <is>
          <t>2335-6140</t>
        </is>
      </c>
      <c r="K977" t="inlineStr">
        <is>
          <t>Gabriela Saravia</t>
        </is>
      </c>
      <c r="L977" t="inlineStr">
        <is>
          <t>Rosa Flores Cornejo</t>
        </is>
      </c>
      <c r="M977" t="inlineStr">
        <is>
          <t>00476760-8</t>
        </is>
      </c>
      <c r="N977" t="inlineStr">
        <is>
          <t>7668-7502</t>
        </is>
      </c>
      <c r="O977" t="inlineStr">
        <is>
          <t>Consumidor final</t>
        </is>
      </c>
      <c r="P977" t="inlineStr">
        <is>
          <t>HAR-001</t>
        </is>
      </c>
      <c r="Q977" t="inlineStr">
        <is>
          <t>Harina de maíz 2lb</t>
        </is>
      </c>
      <c r="R977" t="inlineStr">
        <is>
          <t>Abarrotes</t>
        </is>
      </c>
      <c r="S977" t="inlineStr">
        <is>
          <t>Granos del Pacífico</t>
        </is>
      </c>
      <c r="T977" t="inlineStr">
        <is>
          <t>2234-8890</t>
        </is>
      </c>
      <c r="U977" t="n">
        <v>1.35</v>
      </c>
      <c r="V977" t="n">
        <v>6</v>
      </c>
      <c r="W977" t="n">
        <v>0</v>
      </c>
      <c r="X977">
        <f>IFERROR(U977*V977*(1-W977/100),"")</f>
        <v/>
      </c>
      <c r="Y977">
        <f>IFERROR(ROUND(X977*0.13,2),"")</f>
        <v/>
      </c>
      <c r="Z977">
        <f>IFERROR(X977+Y977,"")</f>
        <v/>
      </c>
      <c r="AA977" t="inlineStr">
        <is>
          <t>Transferencia</t>
        </is>
      </c>
      <c r="AB977" t="inlineStr">
        <is>
          <t>pagó con billete de $100</t>
        </is>
      </c>
    </row>
    <row r="978">
      <c r="A978" t="inlineStr">
        <is>
          <t>F-11222</t>
        </is>
      </c>
      <c r="B978" s="3" t="n">
        <v>46277</v>
      </c>
      <c r="C978" t="inlineStr">
        <is>
          <t>CCF</t>
        </is>
      </c>
      <c r="D978" t="inlineStr">
        <is>
          <t>SA01</t>
        </is>
      </c>
      <c r="E978" t="inlineStr">
        <is>
          <t>Santa Ana</t>
        </is>
      </c>
      <c r="F978" t="inlineStr">
        <is>
          <t>Av. Independencia Sur #12</t>
        </is>
      </c>
      <c r="G978" t="inlineStr">
        <is>
          <t>Santa Ana</t>
        </is>
      </c>
      <c r="H978" t="inlineStr">
        <is>
          <t>Santa Ana</t>
        </is>
      </c>
      <c r="I978" t="inlineStr">
        <is>
          <t>Verónica Sandoval</t>
        </is>
      </c>
      <c r="J978" t="inlineStr">
        <is>
          <t>2440-9921</t>
        </is>
      </c>
      <c r="K978" t="inlineStr">
        <is>
          <t>Sofía Cáceres</t>
        </is>
      </c>
      <c r="L978" t="inlineStr">
        <is>
          <t>Tienda La Bendición</t>
        </is>
      </c>
      <c r="M978" t="inlineStr">
        <is>
          <t>95045-4</t>
        </is>
      </c>
      <c r="N978" t="inlineStr">
        <is>
          <t>6142-4109</t>
        </is>
      </c>
      <c r="O978" t="inlineStr">
        <is>
          <t>Contribuyente</t>
        </is>
      </c>
      <c r="P978" t="inlineStr">
        <is>
          <t>PAN-001</t>
        </is>
      </c>
      <c r="Q978" t="inlineStr">
        <is>
          <t>Pan francés bolsa 10u</t>
        </is>
      </c>
      <c r="R978" t="inlineStr">
        <is>
          <t>Panaderia</t>
        </is>
      </c>
      <c r="S978" t="inlineStr">
        <is>
          <t>Panificadora Ilopango</t>
        </is>
      </c>
      <c r="T978" t="inlineStr">
        <is>
          <t>2295-0081</t>
        </is>
      </c>
      <c r="U978" t="n">
        <v>1</v>
      </c>
      <c r="V978" t="n">
        <v>3</v>
      </c>
      <c r="W978" t="n">
        <v>0</v>
      </c>
      <c r="X978">
        <f>IFERROR(U978*V978*(1-W978/100),"")</f>
        <v/>
      </c>
      <c r="Y978">
        <f>IFERROR(ROUND(X978*0.13,2),"")</f>
        <v/>
      </c>
      <c r="Z978">
        <f>IFERROR(X978+Y978,"")</f>
        <v/>
      </c>
      <c r="AA978" t="inlineStr">
        <is>
          <t>Tarjeta</t>
        </is>
      </c>
      <c r="AB978" t="inlineStr"/>
    </row>
    <row r="979">
      <c r="A979" t="inlineStr">
        <is>
          <t>F-11222</t>
        </is>
      </c>
      <c r="B979" s="3" t="n">
        <v>46277</v>
      </c>
      <c r="C979" t="inlineStr">
        <is>
          <t>CCF</t>
        </is>
      </c>
      <c r="D979" t="inlineStr">
        <is>
          <t>SA01</t>
        </is>
      </c>
      <c r="E979" t="inlineStr">
        <is>
          <t>STA ANA</t>
        </is>
      </c>
      <c r="F979" t="inlineStr">
        <is>
          <t>Av. Independencia Sur #12</t>
        </is>
      </c>
      <c r="G979" t="inlineStr">
        <is>
          <t>Santa Ana</t>
        </is>
      </c>
      <c r="H979" t="inlineStr">
        <is>
          <t>Santa Ana</t>
        </is>
      </c>
      <c r="I979" t="inlineStr">
        <is>
          <t>Mauricio Linares</t>
        </is>
      </c>
      <c r="J979" t="inlineStr">
        <is>
          <t>2440-9921</t>
        </is>
      </c>
      <c r="K979" t="inlineStr">
        <is>
          <t>Sofía Cáceres</t>
        </is>
      </c>
      <c r="L979" t="inlineStr">
        <is>
          <t>Tienda La Bendición</t>
        </is>
      </c>
      <c r="M979" t="inlineStr">
        <is>
          <t>95045-4</t>
        </is>
      </c>
      <c r="N979" t="inlineStr">
        <is>
          <t>6142-4109</t>
        </is>
      </c>
      <c r="O979" t="inlineStr">
        <is>
          <t>Contribuyente</t>
        </is>
      </c>
      <c r="P979" t="inlineStr">
        <is>
          <t>HIG-003</t>
        </is>
      </c>
      <c r="Q979" t="inlineStr">
        <is>
          <t>Jabón de lavar barra</t>
        </is>
      </c>
      <c r="R979" t="inlineStr">
        <is>
          <t>Limpieza</t>
        </is>
      </c>
      <c r="S979" t="inlineStr">
        <is>
          <t>Higiene Total C.A.</t>
        </is>
      </c>
      <c r="T979" t="inlineStr">
        <is>
          <t>2207-5566</t>
        </is>
      </c>
      <c r="U979" t="n">
        <v>0.75</v>
      </c>
      <c r="V979" t="n">
        <v>3</v>
      </c>
      <c r="W979" t="n">
        <v>0</v>
      </c>
      <c r="X979">
        <f>IFERROR(U979*V979*(1-W979/100),"")</f>
        <v/>
      </c>
      <c r="Y979">
        <f>IFERROR(ROUND(X979*0.13,2),"")</f>
        <v/>
      </c>
      <c r="Z979">
        <f>IFERROR(X979+Y979,"")</f>
        <v/>
      </c>
      <c r="AA979" t="inlineStr">
        <is>
          <t>Tarjeta</t>
        </is>
      </c>
      <c r="AB979" t="inlineStr">
        <is>
          <t>Llamar al 7788-1234 antes de entregar</t>
        </is>
      </c>
    </row>
    <row r="980">
      <c r="A980" t="inlineStr">
        <is>
          <t>F-11225</t>
        </is>
      </c>
      <c r="B980" t="inlineStr">
        <is>
          <t>14/08/2026</t>
        </is>
      </c>
      <c r="C980" t="inlineStr">
        <is>
          <t>Factura</t>
        </is>
      </c>
      <c r="D980" t="inlineStr">
        <is>
          <t>SA01</t>
        </is>
      </c>
      <c r="E980" t="inlineStr">
        <is>
          <t>STA ANA</t>
        </is>
      </c>
      <c r="F980" t="inlineStr">
        <is>
          <t>Av. Independencia Sur #12</t>
        </is>
      </c>
      <c r="G980" t="inlineStr">
        <is>
          <t>Santa Ana</t>
        </is>
      </c>
      <c r="H980" t="inlineStr">
        <is>
          <t>Santa Ana</t>
        </is>
      </c>
      <c r="I980" t="inlineStr">
        <is>
          <t>Mauricio Linares</t>
        </is>
      </c>
      <c r="J980" t="inlineStr">
        <is>
          <t>2440-9921</t>
        </is>
      </c>
      <c r="K980" t="inlineStr">
        <is>
          <t>Diego Zelaya</t>
        </is>
      </c>
      <c r="L980" t="inlineStr">
        <is>
          <t>Rosa Argueta Ramírez</t>
        </is>
      </c>
      <c r="M980" t="inlineStr">
        <is>
          <t>08671348-2</t>
        </is>
      </c>
      <c r="N980" t="inlineStr">
        <is>
          <t>2777-4047</t>
        </is>
      </c>
      <c r="O980" t="inlineStr">
        <is>
          <t>Consumidor final</t>
        </is>
      </c>
      <c r="P980" t="inlineStr">
        <is>
          <t>BEB-003</t>
        </is>
      </c>
      <c r="Q980" t="inlineStr">
        <is>
          <t>Horchata en polvo 400g</t>
        </is>
      </c>
      <c r="R980" t="inlineStr">
        <is>
          <t>Bebidas</t>
        </is>
      </c>
      <c r="S980" t="inlineStr">
        <is>
          <t>Bebidas Izalco</t>
        </is>
      </c>
      <c r="T980" t="inlineStr">
        <is>
          <t>2450-7700</t>
        </is>
      </c>
      <c r="U980" t="inlineStr">
        <is>
          <t>$2.60</t>
        </is>
      </c>
      <c r="V980" t="n">
        <v>12</v>
      </c>
      <c r="W980" t="n">
        <v>0</v>
      </c>
      <c r="X980">
        <f>IFERROR(U980*V980*(1-W980/100),"")</f>
        <v/>
      </c>
      <c r="Y980">
        <f>IFERROR(ROUND(X980*0.13,2),"")</f>
        <v/>
      </c>
      <c r="Z980">
        <f>IFERROR(X980+Y980,"")</f>
        <v/>
      </c>
      <c r="AA980" t="inlineStr">
        <is>
          <t>Bitcoin</t>
        </is>
      </c>
      <c r="AB980" t="inlineStr">
        <is>
          <t>Llamar al 7788-1234 antes de entregar</t>
        </is>
      </c>
    </row>
    <row r="981">
      <c r="A981" t="inlineStr">
        <is>
          <t>F-11225</t>
        </is>
      </c>
      <c r="B981" t="inlineStr">
        <is>
          <t>14-Aug-26</t>
        </is>
      </c>
      <c r="C981" t="inlineStr">
        <is>
          <t>Factura</t>
        </is>
      </c>
      <c r="D981" t="inlineStr">
        <is>
          <t>SA01</t>
        </is>
      </c>
      <c r="E981" t="inlineStr">
        <is>
          <t>STA ANA</t>
        </is>
      </c>
      <c r="F981" t="inlineStr">
        <is>
          <t>Av. Independencia Sur #12</t>
        </is>
      </c>
      <c r="G981" t="inlineStr">
        <is>
          <t>Santa Ana</t>
        </is>
      </c>
      <c r="H981" t="inlineStr">
        <is>
          <t>Santa Ana</t>
        </is>
      </c>
      <c r="I981" t="inlineStr">
        <is>
          <t>Mauricio Linares</t>
        </is>
      </c>
      <c r="J981" t="inlineStr">
        <is>
          <t>2440-9921</t>
        </is>
      </c>
      <c r="K981" t="inlineStr">
        <is>
          <t>Diego Zelaya</t>
        </is>
      </c>
      <c r="L981" t="inlineStr">
        <is>
          <t>Rosa Argueta Ramírez</t>
        </is>
      </c>
      <c r="M981" t="inlineStr">
        <is>
          <t>08671348-2</t>
        </is>
      </c>
      <c r="N981" t="inlineStr">
        <is>
          <t>2777-4047</t>
        </is>
      </c>
      <c r="O981" t="inlineStr">
        <is>
          <t>Consumidor final</t>
        </is>
      </c>
      <c r="P981" t="inlineStr">
        <is>
          <t>ARR-001</t>
        </is>
      </c>
      <c r="Q981" t="inlineStr">
        <is>
          <t>Arroz blanco 5lb</t>
        </is>
      </c>
      <c r="R981" t="inlineStr">
        <is>
          <t>Abarrotes</t>
        </is>
      </c>
      <c r="S981" t="inlineStr">
        <is>
          <t>Granos del Pacífico</t>
        </is>
      </c>
      <c r="T981" t="inlineStr">
        <is>
          <t>2234-8890</t>
        </is>
      </c>
      <c r="U981" t="inlineStr">
        <is>
          <t>3,95</t>
        </is>
      </c>
      <c r="V981" t="n">
        <v>12</v>
      </c>
      <c r="W981" t="n">
        <v>0</v>
      </c>
      <c r="X981">
        <f>IFERROR(U981*V981*(1-W981/100),"")</f>
        <v/>
      </c>
      <c r="Y981">
        <f>IFERROR(ROUND(X981*0.13,2),"")</f>
        <v/>
      </c>
      <c r="Z981">
        <f>IFERROR(X981+Y981,"")</f>
        <v/>
      </c>
      <c r="AA981" t="inlineStr">
        <is>
          <t>Bitcoin</t>
        </is>
      </c>
      <c r="AB981" t="inlineStr">
        <is>
          <t>precio especial autorizado por gerente</t>
        </is>
      </c>
    </row>
    <row r="982">
      <c r="A982" t="inlineStr">
        <is>
          <t>F-11225</t>
        </is>
      </c>
      <c r="B982" s="3" t="n">
        <v>46248</v>
      </c>
      <c r="C982" t="inlineStr">
        <is>
          <t>Factura</t>
        </is>
      </c>
      <c r="D982" t="inlineStr">
        <is>
          <t>SA01</t>
        </is>
      </c>
      <c r="E982" t="inlineStr">
        <is>
          <t>Santa Ana</t>
        </is>
      </c>
      <c r="F982" t="inlineStr">
        <is>
          <t>Av. Independencia Sur #12</t>
        </is>
      </c>
      <c r="G982" t="inlineStr">
        <is>
          <t>Santa Ana</t>
        </is>
      </c>
      <c r="H982" t="inlineStr">
        <is>
          <t>Santa Ana</t>
        </is>
      </c>
      <c r="I982" t="inlineStr">
        <is>
          <t>Mauricio Linares</t>
        </is>
      </c>
      <c r="J982" t="inlineStr">
        <is>
          <t>2440-9921</t>
        </is>
      </c>
      <c r="K982" t="inlineStr">
        <is>
          <t>Diego Zelaya</t>
        </is>
      </c>
      <c r="L982" t="inlineStr">
        <is>
          <t>Rosa Argueta Ramírez</t>
        </is>
      </c>
      <c r="M982" t="inlineStr">
        <is>
          <t>08671348-2</t>
        </is>
      </c>
      <c r="N982" t="inlineStr">
        <is>
          <t>2777-4047</t>
        </is>
      </c>
      <c r="O982" t="inlineStr">
        <is>
          <t>Consumidor final</t>
        </is>
      </c>
      <c r="P982" t="inlineStr">
        <is>
          <t>LAC-002</t>
        </is>
      </c>
      <c r="Q982" t="inlineStr">
        <is>
          <t>Crema 500ml</t>
        </is>
      </c>
      <c r="R982" t="inlineStr">
        <is>
          <t>Lacteos</t>
        </is>
      </c>
      <c r="S982" t="inlineStr">
        <is>
          <t>Lácteos Chalate</t>
        </is>
      </c>
      <c r="T982" t="inlineStr">
        <is>
          <t>2335-1020</t>
        </is>
      </c>
      <c r="U982" t="n">
        <v>2.25</v>
      </c>
      <c r="V982" t="n">
        <v>1</v>
      </c>
      <c r="W982" t="n">
        <v>0</v>
      </c>
      <c r="X982">
        <f>IFERROR(U982*V982*(1-W982/100),"")</f>
        <v/>
      </c>
      <c r="Y982">
        <f>IFERROR(ROUND(X982*0.13,2),"")</f>
        <v/>
      </c>
      <c r="Z982">
        <f>IFERROR(X982+Y982,"")</f>
        <v/>
      </c>
      <c r="AA982" t="inlineStr">
        <is>
          <t>Bitcoin</t>
        </is>
      </c>
      <c r="AB982" t="inlineStr"/>
    </row>
    <row r="983">
      <c r="A983" t="inlineStr">
        <is>
          <t>F-11225</t>
        </is>
      </c>
      <c r="B983" s="3" t="n">
        <v>46248</v>
      </c>
      <c r="C983" t="inlineStr">
        <is>
          <t>Factura</t>
        </is>
      </c>
      <c r="D983" t="inlineStr">
        <is>
          <t>SA01</t>
        </is>
      </c>
      <c r="E983" t="inlineStr">
        <is>
          <t>Santa Ana</t>
        </is>
      </c>
      <c r="F983" t="inlineStr">
        <is>
          <t>Av. Independencia Sur #12</t>
        </is>
      </c>
      <c r="G983" t="inlineStr">
        <is>
          <t>Santa Ana</t>
        </is>
      </c>
      <c r="H983" t="inlineStr">
        <is>
          <t>Santa Ana</t>
        </is>
      </c>
      <c r="I983" t="inlineStr">
        <is>
          <t>Mauricio Linares</t>
        </is>
      </c>
      <c r="J983" t="inlineStr">
        <is>
          <t>2440-9921</t>
        </is>
      </c>
      <c r="K983" t="inlineStr">
        <is>
          <t>Diego Zelaya</t>
        </is>
      </c>
      <c r="L983" t="inlineStr">
        <is>
          <t>Rosa Argueta Ramírez</t>
        </is>
      </c>
      <c r="M983" t="inlineStr">
        <is>
          <t>08671348-2</t>
        </is>
      </c>
      <c r="N983" t="inlineStr">
        <is>
          <t>2777-4047</t>
        </is>
      </c>
      <c r="O983" t="inlineStr">
        <is>
          <t>Consumidor final</t>
        </is>
      </c>
      <c r="P983" t="inlineStr">
        <is>
          <t>HAR-001</t>
        </is>
      </c>
      <c r="Q983" t="inlineStr">
        <is>
          <t>Harina de maíz 2lb</t>
        </is>
      </c>
      <c r="R983" t="inlineStr">
        <is>
          <t>Abarrotes</t>
        </is>
      </c>
      <c r="S983" t="inlineStr">
        <is>
          <t>Granos del Pacífico</t>
        </is>
      </c>
      <c r="T983" t="inlineStr">
        <is>
          <t>2234-8890</t>
        </is>
      </c>
      <c r="U983" t="n">
        <v>1.35</v>
      </c>
      <c r="V983" t="n">
        <v>24</v>
      </c>
      <c r="W983" t="n">
        <v>0</v>
      </c>
      <c r="X983">
        <f>IFERROR(U983*V983*(1-W983/100),"")</f>
        <v/>
      </c>
      <c r="Y983">
        <f>IFERROR(ROUND(X983*0.13,2),"")</f>
        <v/>
      </c>
      <c r="Z983">
        <f>IFERROR(X983+Y983,"")</f>
        <v/>
      </c>
      <c r="AA983" t="inlineStr">
        <is>
          <t>Bitcoin</t>
        </is>
      </c>
      <c r="AB983" t="inlineStr">
        <is>
          <t>Llamar al 7788-1234 antes de entregar</t>
        </is>
      </c>
    </row>
    <row r="984">
      <c r="A984" t="inlineStr">
        <is>
          <t>F-11226</t>
        </is>
      </c>
      <c r="B984" s="3" t="n">
        <v>46271</v>
      </c>
      <c r="C984" t="inlineStr">
        <is>
          <t>Factura</t>
        </is>
      </c>
      <c r="D984" t="inlineStr">
        <is>
          <t>SS02</t>
        </is>
      </c>
      <c r="E984" t="inlineStr">
        <is>
          <t>Escalon</t>
        </is>
      </c>
      <c r="F984" t="inlineStr">
        <is>
          <t>Paseo General Escalón #3910</t>
        </is>
      </c>
      <c r="G984" t="inlineStr">
        <is>
          <t>San Salvador</t>
        </is>
      </c>
      <c r="H984" t="inlineStr">
        <is>
          <t>San Salvador</t>
        </is>
      </c>
      <c r="I984" t="inlineStr">
        <is>
          <t>Claudia Menjívar</t>
        </is>
      </c>
      <c r="J984" t="inlineStr">
        <is>
          <t>2264-1190</t>
        </is>
      </c>
      <c r="K984" t="inlineStr">
        <is>
          <t>Kevin Benítez</t>
        </is>
      </c>
      <c r="L984" t="inlineStr">
        <is>
          <t>Mario Martínez Sorto</t>
        </is>
      </c>
      <c r="M984" t="inlineStr">
        <is>
          <t>02686393-2</t>
        </is>
      </c>
      <c r="N984" t="inlineStr">
        <is>
          <t>7413-9318</t>
        </is>
      </c>
      <c r="O984" t="inlineStr">
        <is>
          <t>Consumidor final</t>
        </is>
      </c>
      <c r="P984" t="inlineStr">
        <is>
          <t>BEB-003</t>
        </is>
      </c>
      <c r="Q984" t="inlineStr">
        <is>
          <t>Horchata en polvo 400g</t>
        </is>
      </c>
      <c r="R984" t="inlineStr">
        <is>
          <t>Bebidas</t>
        </is>
      </c>
      <c r="S984" t="inlineStr">
        <is>
          <t>Bebidas Izalco</t>
        </is>
      </c>
      <c r="T984" t="inlineStr">
        <is>
          <t>2450-7700</t>
        </is>
      </c>
      <c r="U984" t="inlineStr">
        <is>
          <t>2,60</t>
        </is>
      </c>
      <c r="V984" t="n">
        <v>24</v>
      </c>
      <c r="W984" t="n">
        <v>0</v>
      </c>
      <c r="X984">
        <f>IFERROR(U984*V984*(1-W984/100),"")</f>
        <v/>
      </c>
      <c r="Y984">
        <f>IFERROR(ROUND(X984*0.13,2),"")</f>
        <v/>
      </c>
      <c r="Z984">
        <f>IFERROR(X984+Y984,"")</f>
        <v/>
      </c>
      <c r="AA984" t="inlineStr">
        <is>
          <t>Efectivo</t>
        </is>
      </c>
      <c r="AB984" t="inlineStr">
        <is>
          <t>Cliente frecuente</t>
        </is>
      </c>
    </row>
    <row r="985">
      <c r="A985" t="inlineStr">
        <is>
          <t>F-11226</t>
        </is>
      </c>
      <c r="B985" t="inlineStr">
        <is>
          <t>2026-09-06</t>
        </is>
      </c>
      <c r="C985" t="inlineStr">
        <is>
          <t>Factura</t>
        </is>
      </c>
      <c r="D985" t="inlineStr">
        <is>
          <t>SS02</t>
        </is>
      </c>
      <c r="E985" t="inlineStr">
        <is>
          <t>Col. Escalón</t>
        </is>
      </c>
      <c r="F985" t="inlineStr">
        <is>
          <t>Paseo General Escalón #3910</t>
        </is>
      </c>
      <c r="G985" t="inlineStr">
        <is>
          <t>San Salvador</t>
        </is>
      </c>
      <c r="H985" t="inlineStr">
        <is>
          <t>San Salvador</t>
        </is>
      </c>
      <c r="I985" t="inlineStr">
        <is>
          <t>Claudia Menjívar</t>
        </is>
      </c>
      <c r="J985" t="inlineStr">
        <is>
          <t>2264-1190</t>
        </is>
      </c>
      <c r="K985" t="inlineStr">
        <is>
          <t>Kevin Benítez</t>
        </is>
      </c>
      <c r="L985" t="inlineStr">
        <is>
          <t>Mario Martínez Sorto</t>
        </is>
      </c>
      <c r="M985" t="inlineStr">
        <is>
          <t>02686393-2</t>
        </is>
      </c>
      <c r="N985" t="inlineStr">
        <is>
          <t>7413-9318</t>
        </is>
      </c>
      <c r="O985" t="inlineStr">
        <is>
          <t>Consumidor final</t>
        </is>
      </c>
      <c r="P985" t="inlineStr">
        <is>
          <t>PAN-003</t>
        </is>
      </c>
      <c r="Q985" t="inlineStr">
        <is>
          <t>Quesadilla salvadoreña</t>
        </is>
      </c>
      <c r="R985" t="inlineStr">
        <is>
          <t>PANADERIA</t>
        </is>
      </c>
      <c r="S985" t="inlineStr">
        <is>
          <t>Panificadora Ilopango</t>
        </is>
      </c>
      <c r="T985" t="inlineStr">
        <is>
          <t>2295-0081</t>
        </is>
      </c>
      <c r="U985" t="n">
        <v>2.5</v>
      </c>
      <c r="V985" t="n">
        <v>2</v>
      </c>
      <c r="W985" t="n">
        <v>0</v>
      </c>
      <c r="X985">
        <f>IFERROR(U985*V985*(1-W985/100),"")</f>
        <v/>
      </c>
      <c r="Y985">
        <f>IFERROR(ROUND(X985*0.13,2),"")</f>
        <v/>
      </c>
      <c r="Z985">
        <f>IFERROR(X985+Y985,"")</f>
        <v/>
      </c>
      <c r="AA985" t="inlineStr">
        <is>
          <t>Efectivo</t>
        </is>
      </c>
      <c r="AB985" t="inlineStr">
        <is>
          <t>Cliente frecuente</t>
        </is>
      </c>
    </row>
    <row r="986">
      <c r="A986" t="inlineStr">
        <is>
          <t>F-11227</t>
        </is>
      </c>
      <c r="B986" s="3" t="n">
        <v>46243</v>
      </c>
      <c r="C986" t="inlineStr">
        <is>
          <t>Factura</t>
        </is>
      </c>
      <c r="D986" t="inlineStr">
        <is>
          <t>SS02</t>
        </is>
      </c>
      <c r="E986" t="inlineStr">
        <is>
          <t>Escalón</t>
        </is>
      </c>
      <c r="F986" t="inlineStr">
        <is>
          <t>Paseo General Escalón #3910</t>
        </is>
      </c>
      <c r="G986" t="inlineStr">
        <is>
          <t>San Salvador</t>
        </is>
      </c>
      <c r="H986" t="inlineStr">
        <is>
          <t>San Salvador</t>
        </is>
      </c>
      <c r="I986" t="inlineStr">
        <is>
          <t>Claudia Menjívar</t>
        </is>
      </c>
      <c r="J986" t="inlineStr">
        <is>
          <t>2264-1190</t>
        </is>
      </c>
      <c r="K986" t="inlineStr">
        <is>
          <t>Kevin Benítez</t>
        </is>
      </c>
      <c r="L986" t="inlineStr">
        <is>
          <t>Edwin Alvarado García</t>
        </is>
      </c>
      <c r="M986" t="inlineStr">
        <is>
          <t>03264621-6</t>
        </is>
      </c>
      <c r="N986" t="inlineStr">
        <is>
          <t>2560-1229</t>
        </is>
      </c>
      <c r="O986" t="inlineStr">
        <is>
          <t>Consumidor final</t>
        </is>
      </c>
      <c r="P986" t="inlineStr">
        <is>
          <t>HAR-001</t>
        </is>
      </c>
      <c r="Q986" t="inlineStr">
        <is>
          <t>Harina de maíz 2lb</t>
        </is>
      </c>
      <c r="R986" t="inlineStr">
        <is>
          <t>Abarrotes</t>
        </is>
      </c>
      <c r="S986" t="inlineStr">
        <is>
          <t>Granos del Pacífico</t>
        </is>
      </c>
      <c r="T986" t="inlineStr">
        <is>
          <t>2234-8890</t>
        </is>
      </c>
      <c r="U986" t="n">
        <v>1.35</v>
      </c>
      <c r="V986" t="n">
        <v>1</v>
      </c>
      <c r="W986" t="n">
        <v>0</v>
      </c>
      <c r="X986">
        <f>IFERROR(U986*V986*(1-W986/100),"")</f>
        <v/>
      </c>
      <c r="Y986">
        <f>IFERROR(ROUND(X986*0.13,2),"")</f>
        <v/>
      </c>
      <c r="Z986">
        <f>IFERROR(X986+Y986,"")</f>
        <v/>
      </c>
      <c r="AA986" t="inlineStr">
        <is>
          <t>Transferencia</t>
        </is>
      </c>
      <c r="AB986" t="inlineStr"/>
    </row>
    <row r="987">
      <c r="A987" t="inlineStr">
        <is>
          <t>F-11228</t>
        </is>
      </c>
      <c r="B987" s="3" t="n">
        <v>46220</v>
      </c>
      <c r="C987" t="inlineStr">
        <is>
          <t>CCF</t>
        </is>
      </c>
      <c r="D987" t="inlineStr">
        <is>
          <t>SS03</t>
        </is>
      </c>
      <c r="E987" t="inlineStr">
        <is>
          <t>soyapango</t>
        </is>
      </c>
      <c r="F987" t="inlineStr">
        <is>
          <t>Blvd. del Ejército km 4</t>
        </is>
      </c>
      <c r="G987" t="inlineStr">
        <is>
          <t>Soyapango</t>
        </is>
      </c>
      <c r="H987" t="inlineStr">
        <is>
          <t>San Salvador</t>
        </is>
      </c>
      <c r="I987" t="inlineStr">
        <is>
          <t>Karla Henríquez</t>
        </is>
      </c>
      <c r="J987" t="inlineStr">
        <is>
          <t>2277-3402</t>
        </is>
      </c>
      <c r="K987" t="inlineStr">
        <is>
          <t>Marta Gómez</t>
        </is>
      </c>
      <c r="L987" t="inlineStr">
        <is>
          <t>Minisúper San José</t>
        </is>
      </c>
      <c r="M987" t="inlineStr">
        <is>
          <t>99593-8</t>
        </is>
      </c>
      <c r="N987" t="inlineStr">
        <is>
          <t>6931-9804</t>
        </is>
      </c>
      <c r="O987" t="inlineStr">
        <is>
          <t>Contribuyente</t>
        </is>
      </c>
      <c r="P987" t="inlineStr">
        <is>
          <t>HIG-003</t>
        </is>
      </c>
      <c r="Q987" t="inlineStr">
        <is>
          <t>Jabón de lavar barra</t>
        </is>
      </c>
      <c r="R987" t="inlineStr">
        <is>
          <t>Limpieza</t>
        </is>
      </c>
      <c r="S987" t="inlineStr">
        <is>
          <t>Higiene Total C.A.</t>
        </is>
      </c>
      <c r="T987" t="inlineStr">
        <is>
          <t>2207-5566</t>
        </is>
      </c>
      <c r="U987" t="inlineStr">
        <is>
          <t>$0.75</t>
        </is>
      </c>
      <c r="V987" t="n">
        <v>24</v>
      </c>
      <c r="W987" t="n">
        <v>0</v>
      </c>
      <c r="X987">
        <f>IFERROR(U987*V987*(1-W987/100),"")</f>
        <v/>
      </c>
      <c r="Y987">
        <f>IFERROR(ROUND(X987*0.13,2),"")</f>
        <v/>
      </c>
      <c r="Z987">
        <f>IFERROR(X987+Y987,"")</f>
        <v/>
      </c>
      <c r="AA987" t="inlineStr">
        <is>
          <t>Tarjeta</t>
        </is>
      </c>
      <c r="AB987" t="inlineStr"/>
    </row>
    <row r="988">
      <c r="A988" t="inlineStr">
        <is>
          <t>F-11228</t>
        </is>
      </c>
      <c r="B988" s="3" t="n">
        <v>46220</v>
      </c>
      <c r="C988" t="inlineStr">
        <is>
          <t>CCF</t>
        </is>
      </c>
      <c r="D988" t="inlineStr">
        <is>
          <t>SS03</t>
        </is>
      </c>
      <c r="E988" t="inlineStr">
        <is>
          <t>Soyapango</t>
        </is>
      </c>
      <c r="F988" t="inlineStr">
        <is>
          <t>Blvd. del Ejército km 4</t>
        </is>
      </c>
      <c r="G988" t="inlineStr">
        <is>
          <t>Soyapango</t>
        </is>
      </c>
      <c r="H988" t="inlineStr">
        <is>
          <t>San Salvador</t>
        </is>
      </c>
      <c r="I988" t="inlineStr">
        <is>
          <t>Karla Henríquez</t>
        </is>
      </c>
      <c r="J988" t="inlineStr">
        <is>
          <t>2277-3402</t>
        </is>
      </c>
      <c r="K988" t="inlineStr">
        <is>
          <t>Marta Gómez</t>
        </is>
      </c>
      <c r="L988" t="inlineStr">
        <is>
          <t>Minisúper San José</t>
        </is>
      </c>
      <c r="M988" t="inlineStr">
        <is>
          <t>99593-8</t>
        </is>
      </c>
      <c r="N988" t="inlineStr">
        <is>
          <t>6931-9804</t>
        </is>
      </c>
      <c r="O988" t="inlineStr">
        <is>
          <t>Contribuyente</t>
        </is>
      </c>
      <c r="P988" t="inlineStr">
        <is>
          <t>HIG-001</t>
        </is>
      </c>
      <c r="Q988" t="inlineStr">
        <is>
          <t>Detergente 1kg</t>
        </is>
      </c>
      <c r="R988" t="inlineStr">
        <is>
          <t>Higiene</t>
        </is>
      </c>
      <c r="S988" t="inlineStr">
        <is>
          <t>Higiene Total C.A.</t>
        </is>
      </c>
      <c r="T988" t="inlineStr">
        <is>
          <t>2207-5566</t>
        </is>
      </c>
      <c r="U988" t="inlineStr">
        <is>
          <t>$3.45</t>
        </is>
      </c>
      <c r="V988" t="n">
        <v>4</v>
      </c>
      <c r="W988" t="n">
        <v>5</v>
      </c>
      <c r="X988">
        <f>IFERROR(U988*V988*(1-W988/100),"")</f>
        <v/>
      </c>
      <c r="Y988">
        <f>IFERROR(ROUND(X988*0.13,2),"")</f>
        <v/>
      </c>
      <c r="Z988">
        <f>IFERROR(X988+Y988,"")</f>
        <v/>
      </c>
      <c r="AA988" t="inlineStr">
        <is>
          <t>Tarjeta</t>
        </is>
      </c>
      <c r="AB988" t="inlineStr"/>
    </row>
    <row r="989">
      <c r="A989" t="inlineStr">
        <is>
          <t>F-11228</t>
        </is>
      </c>
      <c r="B989" s="3" t="n">
        <v>46220</v>
      </c>
      <c r="C989" t="inlineStr">
        <is>
          <t>CCF</t>
        </is>
      </c>
      <c r="D989" t="inlineStr">
        <is>
          <t>SS03</t>
        </is>
      </c>
      <c r="E989" t="inlineStr">
        <is>
          <t>Soyapango</t>
        </is>
      </c>
      <c r="F989" t="inlineStr">
        <is>
          <t>Blvd. del Ejército km 4</t>
        </is>
      </c>
      <c r="G989" t="inlineStr">
        <is>
          <t>Soyapango</t>
        </is>
      </c>
      <c r="H989" t="inlineStr">
        <is>
          <t>San Salvador</t>
        </is>
      </c>
      <c r="I989" t="inlineStr">
        <is>
          <t>Karla Henríquez</t>
        </is>
      </c>
      <c r="J989" t="inlineStr">
        <is>
          <t>2277-3402</t>
        </is>
      </c>
      <c r="K989" t="inlineStr">
        <is>
          <t>Marta Gómez</t>
        </is>
      </c>
      <c r="L989" t="inlineStr">
        <is>
          <t>Minisúper San José</t>
        </is>
      </c>
      <c r="M989" t="inlineStr">
        <is>
          <t>99593-8</t>
        </is>
      </c>
      <c r="N989" t="inlineStr">
        <is>
          <t>6931-9804</t>
        </is>
      </c>
      <c r="O989" t="inlineStr">
        <is>
          <t>Contribuyente</t>
        </is>
      </c>
      <c r="P989" t="inlineStr">
        <is>
          <t>BEB-002</t>
        </is>
      </c>
      <c r="Q989" t="inlineStr">
        <is>
          <t>Agua purificada 1 galón</t>
        </is>
      </c>
      <c r="R989" t="inlineStr">
        <is>
          <t>Bebidas</t>
        </is>
      </c>
      <c r="S989" t="inlineStr">
        <is>
          <t>Bebidas Izalco</t>
        </is>
      </c>
      <c r="T989" t="inlineStr">
        <is>
          <t>2450-7700</t>
        </is>
      </c>
      <c r="U989" t="n">
        <v>1.1</v>
      </c>
      <c r="V989" t="n">
        <v>1</v>
      </c>
      <c r="W989" t="n">
        <v>5</v>
      </c>
      <c r="X989">
        <f>IFERROR(U989*V989*(1-W989/100),"")</f>
        <v/>
      </c>
      <c r="Y989">
        <f>IFERROR(ROUND(X989*0.13,2),"")</f>
        <v/>
      </c>
      <c r="Z989">
        <f>IFERROR(X989+Y989,"")</f>
        <v/>
      </c>
      <c r="AA989" t="inlineStr">
        <is>
          <t>Tarjeta</t>
        </is>
      </c>
      <c r="AB989" t="inlineStr"/>
    </row>
    <row r="990">
      <c r="A990" t="inlineStr">
        <is>
          <t>F-11228</t>
        </is>
      </c>
      <c r="B990" s="4" t="n">
        <v>46220</v>
      </c>
      <c r="C990" t="inlineStr">
        <is>
          <t>CCF</t>
        </is>
      </c>
      <c r="D990" t="inlineStr">
        <is>
          <t>SS03</t>
        </is>
      </c>
      <c r="E990" t="inlineStr">
        <is>
          <t>Soyapango</t>
        </is>
      </c>
      <c r="F990" t="inlineStr">
        <is>
          <t>Blvd. del Ejército km 4</t>
        </is>
      </c>
      <c r="G990" t="inlineStr">
        <is>
          <t>Soyapango</t>
        </is>
      </c>
      <c r="H990" t="inlineStr">
        <is>
          <t>San Salvador</t>
        </is>
      </c>
      <c r="I990" t="inlineStr">
        <is>
          <t>Karla Henríquez</t>
        </is>
      </c>
      <c r="J990" t="inlineStr">
        <is>
          <t>2277-3402</t>
        </is>
      </c>
      <c r="K990" t="inlineStr">
        <is>
          <t>Marta Gómez</t>
        </is>
      </c>
      <c r="L990" t="inlineStr">
        <is>
          <t>Minisúper San José</t>
        </is>
      </c>
      <c r="M990" t="inlineStr">
        <is>
          <t>99593-8</t>
        </is>
      </c>
      <c r="N990" t="inlineStr">
        <is>
          <t>6931-9804</t>
        </is>
      </c>
      <c r="O990" t="inlineStr">
        <is>
          <t>Contribuyente</t>
        </is>
      </c>
      <c r="P990" t="inlineStr">
        <is>
          <t>BEB-002</t>
        </is>
      </c>
      <c r="Q990" t="inlineStr">
        <is>
          <t>Agua purificada 1 galón</t>
        </is>
      </c>
      <c r="R990" t="inlineStr">
        <is>
          <t>Bebidas</t>
        </is>
      </c>
      <c r="S990" t="inlineStr">
        <is>
          <t>Bebidas Izalco</t>
        </is>
      </c>
      <c r="T990" t="inlineStr">
        <is>
          <t>2450-7700</t>
        </is>
      </c>
      <c r="U990" t="n">
        <v>1.1</v>
      </c>
      <c r="V990" t="n">
        <v>1</v>
      </c>
      <c r="W990" t="n">
        <v>5</v>
      </c>
      <c r="X990">
        <f>IFERROR(U990*V990*(1-W990/100),"")</f>
        <v/>
      </c>
      <c r="Y990">
        <f>IFERROR(ROUND(X990*0.13,2),"")</f>
        <v/>
      </c>
      <c r="Z990">
        <f>IFERROR(X990+Y990,"")</f>
        <v/>
      </c>
      <c r="AA990" t="inlineStr">
        <is>
          <t>Tarjeta</t>
        </is>
      </c>
      <c r="AB990" t="inlineStr"/>
    </row>
    <row r="991">
      <c r="A991" t="inlineStr">
        <is>
          <t>F-11228</t>
        </is>
      </c>
      <c r="B991" s="3" t="n">
        <v>46220</v>
      </c>
      <c r="C991" t="inlineStr">
        <is>
          <t>CCF</t>
        </is>
      </c>
      <c r="D991" t="inlineStr">
        <is>
          <t>SS03</t>
        </is>
      </c>
      <c r="E991" t="inlineStr">
        <is>
          <t>soyapango</t>
        </is>
      </c>
      <c r="F991" t="inlineStr">
        <is>
          <t>Blvd. del Ejército km 4</t>
        </is>
      </c>
      <c r="G991" t="inlineStr">
        <is>
          <t>Soyapango</t>
        </is>
      </c>
      <c r="H991" t="inlineStr">
        <is>
          <t>San Salvador</t>
        </is>
      </c>
      <c r="I991" t="inlineStr">
        <is>
          <t>Karla Henríquez</t>
        </is>
      </c>
      <c r="J991" t="inlineStr">
        <is>
          <t>2277-3402</t>
        </is>
      </c>
      <c r="K991" t="inlineStr">
        <is>
          <t>Marta Gómez</t>
        </is>
      </c>
      <c r="L991" t="inlineStr">
        <is>
          <t>Minisúper San José</t>
        </is>
      </c>
      <c r="M991" t="inlineStr">
        <is>
          <t>99593-8</t>
        </is>
      </c>
      <c r="N991" t="inlineStr">
        <is>
          <t>6931-9804</t>
        </is>
      </c>
      <c r="O991" t="inlineStr">
        <is>
          <t>Contribuyente</t>
        </is>
      </c>
      <c r="P991" t="inlineStr">
        <is>
          <t>LAC-001</t>
        </is>
      </c>
      <c r="Q991" t="inlineStr">
        <is>
          <t>Quesillo 1lb</t>
        </is>
      </c>
      <c r="R991" t="inlineStr">
        <is>
          <t>Lácteos</t>
        </is>
      </c>
      <c r="S991" t="inlineStr">
        <is>
          <t>Lácteos Chalate</t>
        </is>
      </c>
      <c r="T991" t="inlineStr">
        <is>
          <t>2335-1020</t>
        </is>
      </c>
      <c r="U991" t="inlineStr">
        <is>
          <t>3,80</t>
        </is>
      </c>
      <c r="V991" t="n">
        <v>4</v>
      </c>
      <c r="W991" t="n">
        <v>0</v>
      </c>
      <c r="X991">
        <f>IFERROR(U991*V991*(1-W991/100),"")</f>
        <v/>
      </c>
      <c r="Y991">
        <f>IFERROR(ROUND(X991*0.13,2),"")</f>
        <v/>
      </c>
      <c r="Z991">
        <f>IFERROR(X991+Y991,"")</f>
        <v/>
      </c>
      <c r="AA991" t="inlineStr">
        <is>
          <t>Tarjeta</t>
        </is>
      </c>
      <c r="AB991" t="inlineStr"/>
    </row>
    <row r="992">
      <c r="A992" t="inlineStr">
        <is>
          <t>F-11230</t>
        </is>
      </c>
      <c r="B992" t="inlineStr">
        <is>
          <t>2026-09-30</t>
        </is>
      </c>
      <c r="C992" t="inlineStr">
        <is>
          <t>Factura</t>
        </is>
      </c>
      <c r="D992" t="inlineStr">
        <is>
          <t>LL01</t>
        </is>
      </c>
      <c r="E992" t="inlineStr">
        <is>
          <t>SANTA TECLA</t>
        </is>
      </c>
      <c r="F992" t="inlineStr">
        <is>
          <t>Calle Daniel Hernández #18</t>
        </is>
      </c>
      <c r="G992" t="inlineStr">
        <is>
          <t>Santa Tecla</t>
        </is>
      </c>
      <c r="H992" t="inlineStr">
        <is>
          <t>La Libertad</t>
        </is>
      </c>
      <c r="I992" t="inlineStr">
        <is>
          <t>Óscar Rivas</t>
        </is>
      </c>
      <c r="J992" t="inlineStr">
        <is>
          <t>2228-7731</t>
        </is>
      </c>
      <c r="K992" t="inlineStr">
        <is>
          <t>Andrea Pineda</t>
        </is>
      </c>
      <c r="L992" t="inlineStr">
        <is>
          <t>Xiomara Hernández Quintanilla</t>
        </is>
      </c>
      <c r="M992" t="inlineStr">
        <is>
          <t>06385104-8</t>
        </is>
      </c>
      <c r="N992" t="inlineStr">
        <is>
          <t>7931-3589</t>
        </is>
      </c>
      <c r="O992" t="inlineStr">
        <is>
          <t>Consumidor final</t>
        </is>
      </c>
      <c r="P992" t="inlineStr">
        <is>
          <t>HIG-002</t>
        </is>
      </c>
      <c r="Q992" t="inlineStr">
        <is>
          <t>Papel higiénico 4 rollos</t>
        </is>
      </c>
      <c r="R992" t="inlineStr">
        <is>
          <t>Limpieza</t>
        </is>
      </c>
      <c r="S992" t="inlineStr">
        <is>
          <t>Higiene Total C.A.</t>
        </is>
      </c>
      <c r="T992" t="inlineStr">
        <is>
          <t>2207-5566</t>
        </is>
      </c>
      <c r="U992" t="n">
        <v>2.15</v>
      </c>
      <c r="V992" t="n">
        <v>2</v>
      </c>
      <c r="W992" t="n">
        <v>0</v>
      </c>
      <c r="X992">
        <f>IFERROR(U992*V992*(1-W992/100),"")</f>
        <v/>
      </c>
      <c r="Y992">
        <f>IFERROR(ROUND(X992*0.13,2),"")</f>
        <v/>
      </c>
      <c r="Z992">
        <f>IFERROR(X992+Y992,"")</f>
        <v/>
      </c>
      <c r="AA992" t="inlineStr">
        <is>
          <t>Tarjeta</t>
        </is>
      </c>
      <c r="AB992" t="inlineStr"/>
    </row>
    <row r="993">
      <c r="A993" t="inlineStr">
        <is>
          <t>F-11230</t>
        </is>
      </c>
      <c r="B993" s="3" t="n">
        <v>46295</v>
      </c>
      <c r="C993" t="inlineStr">
        <is>
          <t>Factura</t>
        </is>
      </c>
      <c r="D993" t="inlineStr">
        <is>
          <t>LL01</t>
        </is>
      </c>
      <c r="E993" t="inlineStr">
        <is>
          <t>SANTA TECLA</t>
        </is>
      </c>
      <c r="F993" t="inlineStr">
        <is>
          <t>Calle Daniel Hernández #18</t>
        </is>
      </c>
      <c r="G993" t="inlineStr">
        <is>
          <t>Santa Tecla</t>
        </is>
      </c>
      <c r="H993" t="inlineStr">
        <is>
          <t>La Libertad</t>
        </is>
      </c>
      <c r="I993" t="inlineStr">
        <is>
          <t>Óscar Rivas</t>
        </is>
      </c>
      <c r="J993" t="inlineStr">
        <is>
          <t>2228-7731</t>
        </is>
      </c>
      <c r="K993" t="inlineStr">
        <is>
          <t>Andrea Pineda</t>
        </is>
      </c>
      <c r="L993" t="inlineStr">
        <is>
          <t>Xiomara Hernández Quintanilla</t>
        </is>
      </c>
      <c r="M993" t="inlineStr">
        <is>
          <t>06385104-8</t>
        </is>
      </c>
      <c r="N993" t="inlineStr">
        <is>
          <t>7931-3589</t>
        </is>
      </c>
      <c r="O993" t="inlineStr">
        <is>
          <t>Consumidor final</t>
        </is>
      </c>
      <c r="P993" t="inlineStr">
        <is>
          <t>HIG-003</t>
        </is>
      </c>
      <c r="Q993" t="inlineStr">
        <is>
          <t>Jabón de lavar barra</t>
        </is>
      </c>
      <c r="R993" t="inlineStr">
        <is>
          <t>Limpieza</t>
        </is>
      </c>
      <c r="S993" t="inlineStr">
        <is>
          <t>Higiene Total C.A.</t>
        </is>
      </c>
      <c r="T993" t="inlineStr">
        <is>
          <t>2207-5566</t>
        </is>
      </c>
      <c r="U993" t="n">
        <v>0.75</v>
      </c>
      <c r="V993" t="n">
        <v>4</v>
      </c>
      <c r="W993" t="n">
        <v>0</v>
      </c>
      <c r="X993">
        <f>IFERROR(U993*V993*(1-W993/100),"")</f>
        <v/>
      </c>
      <c r="Y993">
        <f>IFERROR(ROUND(X993*0.13,2),"")</f>
        <v/>
      </c>
      <c r="Z993">
        <f>IFERROR(X993+Y993,"")</f>
        <v/>
      </c>
      <c r="AA993" t="inlineStr">
        <is>
          <t>Tarjeta</t>
        </is>
      </c>
      <c r="AB993" t="inlineStr"/>
    </row>
    <row r="994">
      <c r="A994" t="inlineStr">
        <is>
          <t>F-11230</t>
        </is>
      </c>
      <c r="B994" t="inlineStr">
        <is>
          <t>30/09/2026</t>
        </is>
      </c>
      <c r="C994" t="inlineStr">
        <is>
          <t>Factura</t>
        </is>
      </c>
      <c r="D994" t="inlineStr">
        <is>
          <t>LL01</t>
        </is>
      </c>
      <c r="E994" t="inlineStr">
        <is>
          <t>Santa Tecla</t>
        </is>
      </c>
      <c r="F994" t="inlineStr">
        <is>
          <t>Calle Daniel Hernández #18</t>
        </is>
      </c>
      <c r="G994" t="inlineStr">
        <is>
          <t>Santa Tecla</t>
        </is>
      </c>
      <c r="H994" t="inlineStr">
        <is>
          <t>La Libertad</t>
        </is>
      </c>
      <c r="I994" t="inlineStr">
        <is>
          <t>Óscar Rivas</t>
        </is>
      </c>
      <c r="J994" t="inlineStr">
        <is>
          <t>2228-7731</t>
        </is>
      </c>
      <c r="K994" t="inlineStr">
        <is>
          <t>Andrea Pineda</t>
        </is>
      </c>
      <c r="L994" t="inlineStr">
        <is>
          <t>Xiomara Hernández Quintanilla</t>
        </is>
      </c>
      <c r="M994" t="inlineStr">
        <is>
          <t>06385104-8</t>
        </is>
      </c>
      <c r="N994" t="inlineStr">
        <is>
          <t>7931-3589</t>
        </is>
      </c>
      <c r="O994" t="inlineStr">
        <is>
          <t>Consumidor final</t>
        </is>
      </c>
      <c r="P994" t="inlineStr">
        <is>
          <t>AZU-001</t>
        </is>
      </c>
      <c r="Q994" t="inlineStr">
        <is>
          <t>Azúcar blanca 2.5kg</t>
        </is>
      </c>
      <c r="R994" t="inlineStr">
        <is>
          <t>Abarrotes</t>
        </is>
      </c>
      <c r="S994" t="inlineStr">
        <is>
          <t>Granos del Pacífico</t>
        </is>
      </c>
      <c r="T994" t="inlineStr">
        <is>
          <t>2234-8890</t>
        </is>
      </c>
      <c r="U994" t="n">
        <v>3.1</v>
      </c>
      <c r="V994" t="n">
        <v>12</v>
      </c>
      <c r="W994" t="n">
        <v>0</v>
      </c>
      <c r="X994">
        <f>IFERROR(U994*V994*(1-W994/100),"")</f>
        <v/>
      </c>
      <c r="Y994">
        <f>IFERROR(ROUND(X994*0.13,2),"")</f>
        <v/>
      </c>
      <c r="Z994">
        <f>IFERROR(X994+Y994,"")</f>
        <v/>
      </c>
      <c r="AA994" t="inlineStr">
        <is>
          <t>Tarjeta</t>
        </is>
      </c>
      <c r="AB994" t="inlineStr">
        <is>
          <t>entregar en bodega</t>
        </is>
      </c>
    </row>
    <row r="995">
      <c r="A995" t="inlineStr">
        <is>
          <t>F-11231</t>
        </is>
      </c>
      <c r="B995" s="3" t="n">
        <v>46270</v>
      </c>
      <c r="C995" t="inlineStr">
        <is>
          <t>CCF</t>
        </is>
      </c>
      <c r="D995" t="inlineStr">
        <is>
          <t>LL01</t>
        </is>
      </c>
      <c r="E995" t="inlineStr">
        <is>
          <t>Santa Tecla</t>
        </is>
      </c>
      <c r="F995" t="inlineStr">
        <is>
          <t>Calle Daniel Hernández #18</t>
        </is>
      </c>
      <c r="G995" t="inlineStr">
        <is>
          <t>Santa Tecla</t>
        </is>
      </c>
      <c r="H995" t="inlineStr">
        <is>
          <t>La Libertad</t>
        </is>
      </c>
      <c r="I995" t="inlineStr">
        <is>
          <t>Óscar Rivas</t>
        </is>
      </c>
      <c r="J995" t="inlineStr">
        <is>
          <t>2228-7731</t>
        </is>
      </c>
      <c r="K995" t="inlineStr">
        <is>
          <t>Andrea Pineda</t>
        </is>
      </c>
      <c r="L995" t="inlineStr">
        <is>
          <t>Minisúper San José</t>
        </is>
      </c>
      <c r="M995" t="inlineStr">
        <is>
          <t>99593-8</t>
        </is>
      </c>
      <c r="N995" t="inlineStr">
        <is>
          <t>6931-9804</t>
        </is>
      </c>
      <c r="O995" t="inlineStr">
        <is>
          <t>Contribuyente</t>
        </is>
      </c>
      <c r="P995" t="inlineStr">
        <is>
          <t>BEB-003</t>
        </is>
      </c>
      <c r="Q995" t="inlineStr">
        <is>
          <t>Horchata en polvo 400g</t>
        </is>
      </c>
      <c r="R995" t="inlineStr">
        <is>
          <t>Bebidas</t>
        </is>
      </c>
      <c r="S995" t="inlineStr">
        <is>
          <t>Bebidas Izalco</t>
        </is>
      </c>
      <c r="T995" t="inlineStr">
        <is>
          <t>2450-7700</t>
        </is>
      </c>
      <c r="U995" t="n">
        <v>2.6</v>
      </c>
      <c r="V995" t="n">
        <v>3</v>
      </c>
      <c r="W995" t="n">
        <v>0</v>
      </c>
      <c r="X995">
        <f>IFERROR(U995*V995*(1-W995/100),"")</f>
        <v/>
      </c>
      <c r="Y995">
        <f>IFERROR(ROUND(X995*0.13,2),"")</f>
        <v/>
      </c>
      <c r="Z995">
        <f>IFERROR(X995+Y995,"")</f>
        <v/>
      </c>
      <c r="AA995" t="inlineStr">
        <is>
          <t>Efectivo</t>
        </is>
      </c>
      <c r="AB995" t="inlineStr">
        <is>
          <t>entregar en bodega</t>
        </is>
      </c>
    </row>
    <row r="996">
      <c r="A996" t="inlineStr">
        <is>
          <t>F-11231</t>
        </is>
      </c>
      <c r="B996" t="inlineStr">
        <is>
          <t>05/09/2026</t>
        </is>
      </c>
      <c r="C996" t="inlineStr">
        <is>
          <t>CCF</t>
        </is>
      </c>
      <c r="D996" t="inlineStr">
        <is>
          <t>LL01</t>
        </is>
      </c>
      <c r="E996" t="inlineStr">
        <is>
          <t>Sta. Tecla</t>
        </is>
      </c>
      <c r="F996" t="inlineStr">
        <is>
          <t>Calle Daniel Hernández #18</t>
        </is>
      </c>
      <c r="G996" t="inlineStr">
        <is>
          <t>Santa Tecla</t>
        </is>
      </c>
      <c r="H996" t="inlineStr">
        <is>
          <t>La Libertad</t>
        </is>
      </c>
      <c r="I996" t="inlineStr">
        <is>
          <t>Óscar Rivas</t>
        </is>
      </c>
      <c r="J996" t="inlineStr">
        <is>
          <t>2228-7731</t>
        </is>
      </c>
      <c r="K996" t="inlineStr">
        <is>
          <t>Andrea Pineda</t>
        </is>
      </c>
      <c r="L996" t="inlineStr">
        <is>
          <t>Minisúper San José</t>
        </is>
      </c>
      <c r="M996" t="inlineStr">
        <is>
          <t>99593-8</t>
        </is>
      </c>
      <c r="N996" t="inlineStr">
        <is>
          <t>6931-9804</t>
        </is>
      </c>
      <c r="O996" t="inlineStr">
        <is>
          <t>Contribuyente</t>
        </is>
      </c>
      <c r="P996" t="inlineStr">
        <is>
          <t>CAF-002</t>
        </is>
      </c>
      <c r="Q996" t="inlineStr">
        <is>
          <t>Café en grano 1lb</t>
        </is>
      </c>
      <c r="R996" t="inlineStr">
        <is>
          <t>Abarrotes</t>
        </is>
      </c>
      <c r="S996" t="inlineStr">
        <is>
          <t>Café Volcán S.A.</t>
        </is>
      </c>
      <c r="T996" t="inlineStr">
        <is>
          <t>2510-3344</t>
        </is>
      </c>
      <c r="U996" t="n">
        <v>6.75</v>
      </c>
      <c r="V996" t="n">
        <v>-1</v>
      </c>
      <c r="W996" t="n">
        <v>5</v>
      </c>
      <c r="X996">
        <f>IFERROR(U996*V996*(1-W996/100),"")</f>
        <v/>
      </c>
      <c r="Y996">
        <f>IFERROR(ROUND(X996*0.13,2),"")</f>
        <v/>
      </c>
      <c r="Z996">
        <f>IFERROR(X996+Y996,"")</f>
        <v/>
      </c>
      <c r="AA996" t="inlineStr">
        <is>
          <t>Efectivo</t>
        </is>
      </c>
      <c r="AB996" t="inlineStr"/>
    </row>
    <row r="997">
      <c r="A997" t="inlineStr">
        <is>
          <t>F-11232</t>
        </is>
      </c>
      <c r="B997" t="inlineStr">
        <is>
          <t>13/09/2026</t>
        </is>
      </c>
      <c r="C997" t="inlineStr">
        <is>
          <t>Factura</t>
        </is>
      </c>
      <c r="D997" t="inlineStr">
        <is>
          <t>SS03</t>
        </is>
      </c>
      <c r="E997" t="inlineStr">
        <is>
          <t>soyapango</t>
        </is>
      </c>
      <c r="F997" t="inlineStr">
        <is>
          <t>Blvd. del Ejército km 4</t>
        </is>
      </c>
      <c r="G997" t="inlineStr">
        <is>
          <t>Soyapango</t>
        </is>
      </c>
      <c r="H997" t="inlineStr">
        <is>
          <t>San Salvador</t>
        </is>
      </c>
      <c r="I997" t="inlineStr">
        <is>
          <t>Karla Henríquez</t>
        </is>
      </c>
      <c r="J997" t="inlineStr">
        <is>
          <t>2277-3402</t>
        </is>
      </c>
      <c r="K997" t="inlineStr">
        <is>
          <t>Carlos Molina</t>
        </is>
      </c>
      <c r="L997" t="inlineStr">
        <is>
          <t>Xiomara Flores Rivera</t>
        </is>
      </c>
      <c r="M997" t="inlineStr">
        <is>
          <t>09919727-8</t>
        </is>
      </c>
      <c r="N997" t="inlineStr">
        <is>
          <t>2544-6511</t>
        </is>
      </c>
      <c r="O997" t="inlineStr">
        <is>
          <t>Consumidor final</t>
        </is>
      </c>
      <c r="P997" t="inlineStr">
        <is>
          <t>PAN-003</t>
        </is>
      </c>
      <c r="Q997" t="inlineStr">
        <is>
          <t>Quesadilla salvadoreña</t>
        </is>
      </c>
      <c r="R997" t="inlineStr">
        <is>
          <t>PANADERIA</t>
        </is>
      </c>
      <c r="S997" t="inlineStr">
        <is>
          <t>Panificadora Ilopango</t>
        </is>
      </c>
      <c r="T997" t="inlineStr">
        <is>
          <t>2295-0081</t>
        </is>
      </c>
      <c r="U997" t="inlineStr">
        <is>
          <t>$2.50</t>
        </is>
      </c>
      <c r="V997" t="n">
        <v>2</v>
      </c>
      <c r="W997" t="n">
        <v>0</v>
      </c>
      <c r="X997">
        <f>IFERROR(U997*V997*(1-W997/100),"")</f>
        <v/>
      </c>
      <c r="Y997">
        <f>IFERROR(ROUND(X997*0.13,2),"")</f>
        <v/>
      </c>
      <c r="Z997">
        <f>IFERROR(X997+Y997,"")</f>
        <v/>
      </c>
      <c r="AA997" t="inlineStr">
        <is>
          <t>Tarjeta</t>
        </is>
      </c>
      <c r="AB997" t="inlineStr">
        <is>
          <t>precio especial autorizado por gerente</t>
        </is>
      </c>
    </row>
    <row r="998">
      <c r="A998" t="inlineStr">
        <is>
          <t>F-11232</t>
        </is>
      </c>
      <c r="B998" s="3" t="n">
        <v>46278</v>
      </c>
      <c r="C998" t="inlineStr">
        <is>
          <t>Factura</t>
        </is>
      </c>
      <c r="D998" t="inlineStr">
        <is>
          <t>SS03</t>
        </is>
      </c>
      <c r="E998" t="inlineStr">
        <is>
          <t>soyapango</t>
        </is>
      </c>
      <c r="F998" t="inlineStr">
        <is>
          <t>Blvd. del Ejército km 4</t>
        </is>
      </c>
      <c r="G998" t="inlineStr">
        <is>
          <t>Soyapango</t>
        </is>
      </c>
      <c r="H998" t="inlineStr">
        <is>
          <t>San Salvador</t>
        </is>
      </c>
      <c r="I998" t="inlineStr">
        <is>
          <t>Karla Henríquez</t>
        </is>
      </c>
      <c r="J998" t="inlineStr">
        <is>
          <t>2277-3402</t>
        </is>
      </c>
      <c r="K998" t="inlineStr">
        <is>
          <t>Carlos Molina</t>
        </is>
      </c>
      <c r="L998" t="inlineStr">
        <is>
          <t>Xiomara Flores Rivera</t>
        </is>
      </c>
      <c r="M998" t="inlineStr">
        <is>
          <t>09919727-8</t>
        </is>
      </c>
      <c r="N998" t="inlineStr">
        <is>
          <t>2544-6511</t>
        </is>
      </c>
      <c r="O998" t="inlineStr">
        <is>
          <t>Consumidor final</t>
        </is>
      </c>
      <c r="P998" t="inlineStr">
        <is>
          <t>HIG-003</t>
        </is>
      </c>
      <c r="Q998" t="inlineStr">
        <is>
          <t>Jabón de lavar barra</t>
        </is>
      </c>
      <c r="R998" t="inlineStr">
        <is>
          <t>Limpieza</t>
        </is>
      </c>
      <c r="S998" t="inlineStr">
        <is>
          <t>Higiene Total C.A.</t>
        </is>
      </c>
      <c r="T998" t="inlineStr">
        <is>
          <t>2207-5566</t>
        </is>
      </c>
      <c r="U998" t="inlineStr">
        <is>
          <t>0,75</t>
        </is>
      </c>
      <c r="V998" t="n">
        <v>1</v>
      </c>
      <c r="W998" t="n">
        <v>0</v>
      </c>
      <c r="X998">
        <f>IFERROR(U998*V998*(1-W998/100),"")</f>
        <v/>
      </c>
      <c r="Y998">
        <f>IFERROR(ROUND(X998*0.13,2),"")</f>
        <v/>
      </c>
      <c r="Z998">
        <f>IFERROR(X998+Y998,"")</f>
        <v/>
      </c>
      <c r="AA998" t="inlineStr">
        <is>
          <t>Tarjeta</t>
        </is>
      </c>
      <c r="AB998" t="inlineStr">
        <is>
          <t>Llamar al 7788-1234 antes de entregar</t>
        </is>
      </c>
    </row>
    <row r="999">
      <c r="A999" t="inlineStr">
        <is>
          <t>F-11232</t>
        </is>
      </c>
      <c r="B999" s="3" t="n">
        <v>46278</v>
      </c>
      <c r="C999" t="inlineStr">
        <is>
          <t>Factura</t>
        </is>
      </c>
      <c r="D999" t="inlineStr">
        <is>
          <t>SS03</t>
        </is>
      </c>
      <c r="E999" t="inlineStr">
        <is>
          <t xml:space="preserve">SOYAPANGO </t>
        </is>
      </c>
      <c r="F999" t="inlineStr">
        <is>
          <t>Blvd. del Ejército km 4</t>
        </is>
      </c>
      <c r="G999" t="inlineStr">
        <is>
          <t>Soyapango</t>
        </is>
      </c>
      <c r="H999" t="inlineStr">
        <is>
          <t>San Salvador</t>
        </is>
      </c>
      <c r="I999" t="inlineStr">
        <is>
          <t>Karla Henríquez</t>
        </is>
      </c>
      <c r="J999" t="inlineStr">
        <is>
          <t>2277-3402</t>
        </is>
      </c>
      <c r="K999" t="inlineStr">
        <is>
          <t>Carlos Molina</t>
        </is>
      </c>
      <c r="L999" t="inlineStr">
        <is>
          <t>Xiomara Flores Rivera</t>
        </is>
      </c>
      <c r="M999" t="inlineStr">
        <is>
          <t>09919727-8</t>
        </is>
      </c>
      <c r="N999" t="inlineStr">
        <is>
          <t>2544-6511</t>
        </is>
      </c>
      <c r="O999" t="inlineStr">
        <is>
          <t>Consumidor final</t>
        </is>
      </c>
      <c r="P999" t="inlineStr">
        <is>
          <t>BEB-001</t>
        </is>
      </c>
      <c r="Q999" t="inlineStr">
        <is>
          <t>Gaseosa 2.5L</t>
        </is>
      </c>
      <c r="R999" t="inlineStr">
        <is>
          <t>bebidas</t>
        </is>
      </c>
      <c r="S999" t="inlineStr">
        <is>
          <t>Bebidas Izalco</t>
        </is>
      </c>
      <c r="T999" t="inlineStr">
        <is>
          <t>2450-7700</t>
        </is>
      </c>
      <c r="U999" t="n">
        <v>1.95</v>
      </c>
      <c r="V999" t="n">
        <v>1</v>
      </c>
      <c r="W999" t="n">
        <v>0</v>
      </c>
      <c r="X999">
        <f>IFERROR(U999*V999*(1-W999/100),"")</f>
        <v/>
      </c>
      <c r="Y999">
        <f>IFERROR(ROUND(X999*0.13,2),"")</f>
        <v/>
      </c>
      <c r="Z999">
        <f>IFERROR(X999+Y999,"")</f>
        <v/>
      </c>
      <c r="AA999" t="inlineStr">
        <is>
          <t>Tarjeta</t>
        </is>
      </c>
      <c r="AB999" t="inlineStr">
        <is>
          <t>entregar en bodega</t>
        </is>
      </c>
    </row>
    <row r="1000">
      <c r="A1000" t="inlineStr">
        <is>
          <t>F-11232</t>
        </is>
      </c>
      <c r="B1000" s="3" t="n">
        <v>46278</v>
      </c>
      <c r="C1000" t="inlineStr">
        <is>
          <t>Factura</t>
        </is>
      </c>
      <c r="D1000" t="inlineStr"/>
      <c r="E1000" t="inlineStr">
        <is>
          <t>Soyapango</t>
        </is>
      </c>
      <c r="F1000" t="inlineStr">
        <is>
          <t>Blvd. del Ejército km 4</t>
        </is>
      </c>
      <c r="G1000" t="inlineStr">
        <is>
          <t>Soyapango</t>
        </is>
      </c>
      <c r="H1000" t="inlineStr">
        <is>
          <t>San Salvador</t>
        </is>
      </c>
      <c r="I1000" t="inlineStr">
        <is>
          <t>Karla Henríquez</t>
        </is>
      </c>
      <c r="J1000" t="inlineStr">
        <is>
          <t>2277-3402</t>
        </is>
      </c>
      <c r="K1000" t="inlineStr">
        <is>
          <t>Carlos Molina</t>
        </is>
      </c>
      <c r="L1000" t="inlineStr">
        <is>
          <t>Xiomara Flores Rivera</t>
        </is>
      </c>
      <c r="M1000" t="inlineStr"/>
      <c r="N1000" t="inlineStr">
        <is>
          <t>2544-6511</t>
        </is>
      </c>
      <c r="O1000" t="inlineStr">
        <is>
          <t>Consumidor final</t>
        </is>
      </c>
      <c r="P1000" t="inlineStr">
        <is>
          <t>HAR-001</t>
        </is>
      </c>
      <c r="Q1000" t="inlineStr">
        <is>
          <t>Harina de maíz 2lb</t>
        </is>
      </c>
      <c r="R1000" t="inlineStr">
        <is>
          <t>Abarrotes</t>
        </is>
      </c>
      <c r="S1000" t="inlineStr">
        <is>
          <t>Granos del Pacífico</t>
        </is>
      </c>
      <c r="T1000" t="inlineStr">
        <is>
          <t>2234-8890</t>
        </is>
      </c>
      <c r="U1000" t="n">
        <v>1.35</v>
      </c>
      <c r="V1000" t="n">
        <v>2</v>
      </c>
      <c r="W1000" t="n">
        <v>0</v>
      </c>
      <c r="X1000">
        <f>IFERROR(U1000*V1000*(1-W1000/100),"")</f>
        <v/>
      </c>
      <c r="Y1000">
        <f>IFERROR(ROUND(X1000*0.13,2),"")</f>
        <v/>
      </c>
      <c r="Z1000">
        <f>IFERROR(X1000+Y1000,"")</f>
        <v/>
      </c>
      <c r="AA1000" t="inlineStr">
        <is>
          <t>Tarjeta</t>
        </is>
      </c>
      <c r="AB1000" t="inlineStr">
        <is>
          <t>entregar en bodega</t>
        </is>
      </c>
    </row>
    <row r="1001">
      <c r="A1001" t="inlineStr">
        <is>
          <t>F-11235</t>
        </is>
      </c>
      <c r="B1001" s="3" t="n">
        <v>46253</v>
      </c>
      <c r="C1001" t="inlineStr">
        <is>
          <t>Factura</t>
        </is>
      </c>
      <c r="D1001" t="inlineStr">
        <is>
          <t>SS02</t>
        </is>
      </c>
      <c r="E1001" t="inlineStr">
        <is>
          <t>Escalón</t>
        </is>
      </c>
      <c r="F1001" t="inlineStr">
        <is>
          <t>Paseo General Escalón #3910</t>
        </is>
      </c>
      <c r="G1001" t="inlineStr">
        <is>
          <t>San Salvador</t>
        </is>
      </c>
      <c r="H1001" t="inlineStr">
        <is>
          <t>San Salvador</t>
        </is>
      </c>
      <c r="I1001" t="inlineStr">
        <is>
          <t>Claudia Menjívar</t>
        </is>
      </c>
      <c r="J1001" t="inlineStr">
        <is>
          <t>2264-1190</t>
        </is>
      </c>
      <c r="K1001" t="inlineStr">
        <is>
          <t>Fátima Rosales</t>
        </is>
      </c>
      <c r="L1001" t="inlineStr">
        <is>
          <t>Carmen Quintanilla Mejía</t>
        </is>
      </c>
      <c r="M1001" t="inlineStr">
        <is>
          <t>05832730-5</t>
        </is>
      </c>
      <c r="N1001" t="inlineStr">
        <is>
          <t>6863-9414</t>
        </is>
      </c>
      <c r="O1001" t="inlineStr">
        <is>
          <t>Consumidor final</t>
        </is>
      </c>
      <c r="P1001" t="inlineStr">
        <is>
          <t>PAN-001</t>
        </is>
      </c>
      <c r="Q1001" t="inlineStr">
        <is>
          <t>Pan francés bolsa 10u</t>
        </is>
      </c>
      <c r="R1001" t="inlineStr">
        <is>
          <t>Panadería</t>
        </is>
      </c>
      <c r="S1001" t="inlineStr">
        <is>
          <t>Panificadora Ilopango</t>
        </is>
      </c>
      <c r="T1001" t="inlineStr">
        <is>
          <t>2295-0081</t>
        </is>
      </c>
      <c r="U1001" t="n">
        <v>1</v>
      </c>
      <c r="V1001" t="n">
        <v>12</v>
      </c>
      <c r="W1001" t="n">
        <v>0</v>
      </c>
      <c r="X1001">
        <f>IFERROR(U1001*V1001*(1-W1001/100),"")</f>
        <v/>
      </c>
      <c r="Y1001">
        <f>IFERROR(ROUND(X1001*0.13,2),"")</f>
        <v/>
      </c>
      <c r="Z1001">
        <f>IFERROR(X1001+Y1001,"")</f>
        <v/>
      </c>
      <c r="AA1001" t="inlineStr">
        <is>
          <t>Tarjeta</t>
        </is>
      </c>
      <c r="AB1001" t="inlineStr">
        <is>
          <t>entregar en bodega</t>
        </is>
      </c>
    </row>
    <row r="1002">
      <c r="A1002" t="inlineStr">
        <is>
          <t>F-11235</t>
        </is>
      </c>
      <c r="B1002" s="3" t="n">
        <v>46253</v>
      </c>
      <c r="C1002" t="inlineStr">
        <is>
          <t>Factura</t>
        </is>
      </c>
      <c r="D1002" t="inlineStr">
        <is>
          <t>SS02</t>
        </is>
      </c>
      <c r="E1002" t="inlineStr">
        <is>
          <t>Escalon</t>
        </is>
      </c>
      <c r="F1002" t="inlineStr">
        <is>
          <t>Paseo General Escalón #3910</t>
        </is>
      </c>
      <c r="G1002" t="inlineStr">
        <is>
          <t>San Salvador</t>
        </is>
      </c>
      <c r="H1002" t="inlineStr">
        <is>
          <t>San Salvador</t>
        </is>
      </c>
      <c r="I1002" t="inlineStr">
        <is>
          <t>Claudia Menjívar</t>
        </is>
      </c>
      <c r="J1002" t="inlineStr">
        <is>
          <t>2264-1190</t>
        </is>
      </c>
      <c r="K1002" t="inlineStr">
        <is>
          <t>Fátima Rosales</t>
        </is>
      </c>
      <c r="L1002" t="inlineStr">
        <is>
          <t>Carmen Quintanilla Mejía</t>
        </is>
      </c>
      <c r="M1002" t="inlineStr"/>
      <c r="N1002" t="inlineStr">
        <is>
          <t>6863-9414</t>
        </is>
      </c>
      <c r="O1002" t="inlineStr">
        <is>
          <t>Consumidor final</t>
        </is>
      </c>
      <c r="P1002" t="inlineStr">
        <is>
          <t>HIG-001</t>
        </is>
      </c>
      <c r="Q1002" t="inlineStr">
        <is>
          <t>Detergente 1kg</t>
        </is>
      </c>
      <c r="R1002" t="inlineStr">
        <is>
          <t>Limpieza</t>
        </is>
      </c>
      <c r="S1002" t="inlineStr">
        <is>
          <t>Higiene Total C.A.</t>
        </is>
      </c>
      <c r="T1002" t="inlineStr">
        <is>
          <t>2207-5566</t>
        </is>
      </c>
      <c r="U1002" t="n">
        <v>3.45</v>
      </c>
      <c r="V1002" t="n">
        <v>4</v>
      </c>
      <c r="W1002" t="n">
        <v>0</v>
      </c>
      <c r="X1002">
        <f>IFERROR(U1002*V1002*(1-W1002/100),"")</f>
        <v/>
      </c>
      <c r="Y1002">
        <f>IFERROR(ROUND(X1002*0.13,2),"")</f>
        <v/>
      </c>
      <c r="Z1002">
        <f>IFERROR(X1002+Y1002,"")</f>
        <v/>
      </c>
      <c r="AA1002" t="inlineStr">
        <is>
          <t>Tarjeta</t>
        </is>
      </c>
      <c r="AB1002" t="inlineStr">
        <is>
          <t>entregar en bodega</t>
        </is>
      </c>
    </row>
    <row r="1003">
      <c r="A1003" t="inlineStr">
        <is>
          <t>F-11238</t>
        </is>
      </c>
      <c r="B1003" s="3" t="n">
        <v>46281</v>
      </c>
      <c r="C1003" t="inlineStr">
        <is>
          <t>FCF</t>
        </is>
      </c>
      <c r="D1003" t="inlineStr">
        <is>
          <t>SS03</t>
        </is>
      </c>
      <c r="E1003" t="inlineStr">
        <is>
          <t>soyapango</t>
        </is>
      </c>
      <c r="F1003" t="inlineStr">
        <is>
          <t>Blvd. del Ejército km 4</t>
        </is>
      </c>
      <c r="G1003" t="inlineStr">
        <is>
          <t>Soyapango</t>
        </is>
      </c>
      <c r="H1003" t="inlineStr">
        <is>
          <t>San Salvador</t>
        </is>
      </c>
      <c r="I1003" t="inlineStr">
        <is>
          <t>Karla Henríquez</t>
        </is>
      </c>
      <c r="J1003" t="inlineStr">
        <is>
          <t>2277-3402</t>
        </is>
      </c>
      <c r="K1003" t="inlineStr">
        <is>
          <t>Carlos Molina</t>
        </is>
      </c>
      <c r="L1003" t="inlineStr">
        <is>
          <t>Mario Castillo Lemus</t>
        </is>
      </c>
      <c r="M1003" t="inlineStr">
        <is>
          <t>01650441-7</t>
        </is>
      </c>
      <c r="N1003" t="inlineStr">
        <is>
          <t>7833-9440</t>
        </is>
      </c>
      <c r="O1003" t="inlineStr">
        <is>
          <t>Consumidor final</t>
        </is>
      </c>
      <c r="P1003" t="inlineStr">
        <is>
          <t>HAR-001</t>
        </is>
      </c>
      <c r="Q1003" t="inlineStr">
        <is>
          <t>Harina de maíz 2lb</t>
        </is>
      </c>
      <c r="R1003" t="inlineStr">
        <is>
          <t>Abarrotes</t>
        </is>
      </c>
      <c r="S1003" t="inlineStr">
        <is>
          <t>Granos del Pacífico</t>
        </is>
      </c>
      <c r="T1003" t="inlineStr">
        <is>
          <t>2234-8890</t>
        </is>
      </c>
      <c r="U1003" t="n">
        <v>1.35</v>
      </c>
      <c r="V1003" t="n">
        <v>3</v>
      </c>
      <c r="W1003" t="n">
        <v>0</v>
      </c>
      <c r="X1003">
        <f>IFERROR(U1003*V1003*(1-W1003/100),"")</f>
        <v/>
      </c>
      <c r="Y1003">
        <f>IFERROR(ROUND(X1003*0.13,2),"")</f>
        <v/>
      </c>
      <c r="Z1003">
        <f>IFERROR(X1003+Y1003,"")</f>
        <v/>
      </c>
      <c r="AA1003" t="inlineStr">
        <is>
          <t>Tarjeta</t>
        </is>
      </c>
      <c r="AB1003" t="inlineStr">
        <is>
          <t>Cliente frecuente</t>
        </is>
      </c>
    </row>
    <row r="1004">
      <c r="A1004" t="inlineStr">
        <is>
          <t>F-11240</t>
        </is>
      </c>
      <c r="B1004" s="3" t="n">
        <v>46280</v>
      </c>
      <c r="C1004" t="inlineStr">
        <is>
          <t>Factura</t>
        </is>
      </c>
      <c r="D1004" t="inlineStr">
        <is>
          <t>SS03</t>
        </is>
      </c>
      <c r="E1004" t="inlineStr">
        <is>
          <t>soyapango</t>
        </is>
      </c>
      <c r="F1004" t="inlineStr">
        <is>
          <t>Blvd. del Ejército km 4</t>
        </is>
      </c>
      <c r="G1004" t="inlineStr">
        <is>
          <t>Soyapango</t>
        </is>
      </c>
      <c r="H1004" t="inlineStr">
        <is>
          <t>San Salvador</t>
        </is>
      </c>
      <c r="I1004" t="inlineStr">
        <is>
          <t>Karla Henríquez</t>
        </is>
      </c>
      <c r="J1004" t="inlineStr">
        <is>
          <t>2277-3402</t>
        </is>
      </c>
      <c r="K1004" t="inlineStr">
        <is>
          <t>Carlos Molina</t>
        </is>
      </c>
      <c r="L1004" t="inlineStr">
        <is>
          <t>Patricia Guevara Quintanilla</t>
        </is>
      </c>
      <c r="M1004" t="inlineStr">
        <is>
          <t>07265655-3</t>
        </is>
      </c>
      <c r="N1004" t="inlineStr">
        <is>
          <t>6951-5407</t>
        </is>
      </c>
      <c r="O1004" t="inlineStr">
        <is>
          <t>Consumidor final</t>
        </is>
      </c>
      <c r="P1004" t="inlineStr">
        <is>
          <t>LAC-001</t>
        </is>
      </c>
      <c r="Q1004" t="inlineStr">
        <is>
          <t>Quesillo 1lb</t>
        </is>
      </c>
      <c r="R1004" t="inlineStr">
        <is>
          <t>Lacteos</t>
        </is>
      </c>
      <c r="S1004" t="inlineStr">
        <is>
          <t>Lácteos Chalate</t>
        </is>
      </c>
      <c r="T1004" t="inlineStr">
        <is>
          <t>7120-4455</t>
        </is>
      </c>
      <c r="U1004" t="inlineStr">
        <is>
          <t>3,50</t>
        </is>
      </c>
      <c r="V1004" t="n">
        <v>4</v>
      </c>
      <c r="W1004" t="n">
        <v>0</v>
      </c>
      <c r="X1004">
        <f>IFERROR(U1004*V1004*(1-W1004/100),"")</f>
        <v/>
      </c>
      <c r="Y1004">
        <f>IFERROR(ROUND(X1004*0.13,2),"")</f>
        <v/>
      </c>
      <c r="Z1004">
        <f>IFERROR(X1004+Y1004,"")</f>
        <v/>
      </c>
      <c r="AA1004" t="inlineStr">
        <is>
          <t>Efectivo</t>
        </is>
      </c>
      <c r="AB1004" t="inlineStr"/>
    </row>
    <row r="1005">
      <c r="A1005" t="inlineStr">
        <is>
          <t>F-11241</t>
        </is>
      </c>
      <c r="B1005" s="3" t="n">
        <v>46251</v>
      </c>
      <c r="C1005" t="inlineStr">
        <is>
          <t>factura</t>
        </is>
      </c>
      <c r="D1005" t="inlineStr">
        <is>
          <t>SO01</t>
        </is>
      </c>
      <c r="E1005" t="inlineStr">
        <is>
          <t>SONSONATE</t>
        </is>
      </c>
      <c r="F1005" t="inlineStr">
        <is>
          <t>Calle Obispo Marroquín #3</t>
        </is>
      </c>
      <c r="G1005" t="inlineStr">
        <is>
          <t>Sonsonate</t>
        </is>
      </c>
      <c r="H1005" t="inlineStr">
        <is>
          <t>Sonsonate</t>
        </is>
      </c>
      <c r="I1005" t="inlineStr">
        <is>
          <t>Ernesto Chávez</t>
        </is>
      </c>
      <c r="J1005" t="inlineStr">
        <is>
          <t>2451-2288</t>
        </is>
      </c>
      <c r="K1005" t="inlineStr">
        <is>
          <t>Ricardo Funes</t>
        </is>
      </c>
      <c r="L1005" t="inlineStr">
        <is>
          <t>Sandra Guevara Lemus</t>
        </is>
      </c>
      <c r="M1005" t="inlineStr">
        <is>
          <t>08577633-7</t>
        </is>
      </c>
      <c r="N1005" t="inlineStr">
        <is>
          <t>6671-1550</t>
        </is>
      </c>
      <c r="O1005" t="inlineStr">
        <is>
          <t>Consumidor final</t>
        </is>
      </c>
      <c r="P1005" t="inlineStr">
        <is>
          <t>ARR-001</t>
        </is>
      </c>
      <c r="Q1005" t="inlineStr">
        <is>
          <t>Arroz blanco 5lb</t>
        </is>
      </c>
      <c r="R1005" t="inlineStr">
        <is>
          <t>Abarrotes</t>
        </is>
      </c>
      <c r="S1005" t="inlineStr">
        <is>
          <t>Granos del Pacífico</t>
        </is>
      </c>
      <c r="T1005" t="inlineStr">
        <is>
          <t>2234-8890</t>
        </is>
      </c>
      <c r="U1005" t="n">
        <v>3.95</v>
      </c>
      <c r="V1005" t="n">
        <v>1</v>
      </c>
      <c r="W1005" t="n">
        <v>0</v>
      </c>
      <c r="X1005">
        <f>IFERROR(U1005*V1005*(1-W1005/100),"")</f>
        <v/>
      </c>
      <c r="Y1005">
        <f>IFERROR(ROUND(X1005*0.13,2),"")</f>
        <v/>
      </c>
      <c r="Z1005">
        <f>IFERROR(X1005+Y1005,"")</f>
        <v/>
      </c>
      <c r="AA1005" t="inlineStr">
        <is>
          <t>Efectivo</t>
        </is>
      </c>
      <c r="AB1005" t="inlineStr">
        <is>
          <t>entregar en bodega</t>
        </is>
      </c>
    </row>
    <row r="1006">
      <c r="A1006" t="inlineStr">
        <is>
          <t>F-11241</t>
        </is>
      </c>
      <c r="B1006" s="3" t="n">
        <v>46251</v>
      </c>
      <c r="C1006" t="inlineStr">
        <is>
          <t>factura</t>
        </is>
      </c>
      <c r="D1006" t="inlineStr">
        <is>
          <t>SO01</t>
        </is>
      </c>
      <c r="E1006" t="inlineStr">
        <is>
          <t>Sonsonate</t>
        </is>
      </c>
      <c r="F1006" t="inlineStr">
        <is>
          <t>Calle Obispo Marroquín #3</t>
        </is>
      </c>
      <c r="G1006" t="inlineStr">
        <is>
          <t>Sonsonate</t>
        </is>
      </c>
      <c r="H1006" t="inlineStr">
        <is>
          <t>Sonsonate</t>
        </is>
      </c>
      <c r="I1006" t="inlineStr">
        <is>
          <t>Ernesto Chávez</t>
        </is>
      </c>
      <c r="J1006" t="inlineStr">
        <is>
          <t>2451-2288</t>
        </is>
      </c>
      <c r="K1006" t="inlineStr">
        <is>
          <t>Ricardo Funes</t>
        </is>
      </c>
      <c r="L1006" t="inlineStr">
        <is>
          <t>Sandra Guevara Lemus</t>
        </is>
      </c>
      <c r="M1006" t="inlineStr">
        <is>
          <t>08577633-7</t>
        </is>
      </c>
      <c r="N1006" t="inlineStr">
        <is>
          <t>6671-1550</t>
        </is>
      </c>
      <c r="O1006" t="inlineStr">
        <is>
          <t>Consumidor final</t>
        </is>
      </c>
      <c r="P1006" t="inlineStr">
        <is>
          <t>CAF-002</t>
        </is>
      </c>
      <c r="Q1006" t="inlineStr">
        <is>
          <t>Café en grano 1lb</t>
        </is>
      </c>
      <c r="R1006" t="inlineStr">
        <is>
          <t>Abarrotes</t>
        </is>
      </c>
      <c r="S1006" t="inlineStr">
        <is>
          <t>Café Volcán S.A.</t>
        </is>
      </c>
      <c r="T1006" t="inlineStr">
        <is>
          <t>2510-3344</t>
        </is>
      </c>
      <c r="U1006" t="n">
        <v>6.75</v>
      </c>
      <c r="V1006" t="n">
        <v>12</v>
      </c>
      <c r="W1006" t="n">
        <v>0</v>
      </c>
      <c r="X1006">
        <f>IFERROR(U1006*V1006*(1-W1006/100),"")</f>
        <v/>
      </c>
      <c r="Y1006">
        <f>IFERROR(ROUND(X1006*0.13,2),"")</f>
        <v/>
      </c>
      <c r="Z1006">
        <f>IFERROR(X1006+Y1006,"")</f>
        <v/>
      </c>
      <c r="AA1006" t="inlineStr">
        <is>
          <t>Efectivo</t>
        </is>
      </c>
      <c r="AB1006" t="inlineStr">
        <is>
          <t>precio especial autorizado por gerente</t>
        </is>
      </c>
    </row>
    <row r="1007">
      <c r="A1007" t="inlineStr">
        <is>
          <t>F-11241</t>
        </is>
      </c>
      <c r="B1007" s="3" t="n">
        <v>46251</v>
      </c>
      <c r="C1007" t="inlineStr">
        <is>
          <t>factura</t>
        </is>
      </c>
      <c r="D1007" t="inlineStr">
        <is>
          <t>SO01</t>
        </is>
      </c>
      <c r="E1007" t="inlineStr">
        <is>
          <t>Sonsonate</t>
        </is>
      </c>
      <c r="F1007" t="inlineStr">
        <is>
          <t>Calle Obispo Marroquín #3</t>
        </is>
      </c>
      <c r="G1007" t="inlineStr">
        <is>
          <t>Sonsonate</t>
        </is>
      </c>
      <c r="H1007" t="inlineStr">
        <is>
          <t>Sonsonate</t>
        </is>
      </c>
      <c r="I1007" t="inlineStr">
        <is>
          <t>Ernesto Chávez</t>
        </is>
      </c>
      <c r="J1007" t="inlineStr">
        <is>
          <t>2451-2288</t>
        </is>
      </c>
      <c r="K1007" t="inlineStr">
        <is>
          <t>Ricardo Funes</t>
        </is>
      </c>
      <c r="L1007" t="inlineStr">
        <is>
          <t>Sandra Guevara Lemus</t>
        </is>
      </c>
      <c r="M1007" t="inlineStr">
        <is>
          <t>08577633-7</t>
        </is>
      </c>
      <c r="N1007" t="inlineStr">
        <is>
          <t>6671-1550</t>
        </is>
      </c>
      <c r="O1007" t="inlineStr">
        <is>
          <t>Consumidor final</t>
        </is>
      </c>
      <c r="P1007" t="inlineStr">
        <is>
          <t>PAN-002</t>
        </is>
      </c>
      <c r="Q1007" t="inlineStr">
        <is>
          <t>Semita alta</t>
        </is>
      </c>
      <c r="R1007" t="inlineStr">
        <is>
          <t>Panadería</t>
        </is>
      </c>
      <c r="S1007" t="inlineStr">
        <is>
          <t>Panificadora Ilopango</t>
        </is>
      </c>
      <c r="T1007" t="inlineStr">
        <is>
          <t>2295-0081</t>
        </is>
      </c>
      <c r="U1007" t="inlineStr">
        <is>
          <t>$1.75</t>
        </is>
      </c>
      <c r="V1007" t="n">
        <v>1</v>
      </c>
      <c r="W1007" t="n">
        <v>0</v>
      </c>
      <c r="X1007">
        <f>IFERROR(U1007*V1007*(1-W1007/100),"")</f>
        <v/>
      </c>
      <c r="Y1007">
        <f>IFERROR(ROUND(X1007*0.13,2),"")</f>
        <v/>
      </c>
      <c r="Z1007">
        <f>IFERROR(X1007+Y1007,"")</f>
        <v/>
      </c>
      <c r="AA1007" t="inlineStr">
        <is>
          <t>Efectivo</t>
        </is>
      </c>
      <c r="AB1007" t="inlineStr">
        <is>
          <t>entregar en bodega</t>
        </is>
      </c>
    </row>
    <row r="1008">
      <c r="A1008" t="inlineStr">
        <is>
          <t>F-11241</t>
        </is>
      </c>
      <c r="B1008" s="3" t="n">
        <v>46251</v>
      </c>
      <c r="C1008" t="inlineStr">
        <is>
          <t>factura</t>
        </is>
      </c>
      <c r="D1008" t="inlineStr">
        <is>
          <t>SO01</t>
        </is>
      </c>
      <c r="E1008" t="inlineStr">
        <is>
          <t>Sonsonate</t>
        </is>
      </c>
      <c r="F1008" t="inlineStr">
        <is>
          <t>Calle Obispo Marroquín #3</t>
        </is>
      </c>
      <c r="G1008" t="inlineStr">
        <is>
          <t>Sonsonate</t>
        </is>
      </c>
      <c r="H1008" t="inlineStr">
        <is>
          <t>Sonsonate</t>
        </is>
      </c>
      <c r="I1008" t="inlineStr">
        <is>
          <t>Ernesto Chávez</t>
        </is>
      </c>
      <c r="J1008" t="inlineStr">
        <is>
          <t>2451-2288</t>
        </is>
      </c>
      <c r="K1008" t="inlineStr">
        <is>
          <t>Ricardo Funes</t>
        </is>
      </c>
      <c r="L1008" t="inlineStr">
        <is>
          <t>Sandra Guevara Lemus</t>
        </is>
      </c>
      <c r="M1008" t="inlineStr">
        <is>
          <t>08577633-7</t>
        </is>
      </c>
      <c r="N1008" t="inlineStr">
        <is>
          <t>6671-1550</t>
        </is>
      </c>
      <c r="O1008" t="inlineStr">
        <is>
          <t>Consumidor final</t>
        </is>
      </c>
      <c r="P1008" t="inlineStr">
        <is>
          <t>LAC-001</t>
        </is>
      </c>
      <c r="Q1008" t="inlineStr">
        <is>
          <t>Quesillo 1lb</t>
        </is>
      </c>
      <c r="R1008" t="inlineStr">
        <is>
          <t>Lacteos</t>
        </is>
      </c>
      <c r="S1008" t="inlineStr">
        <is>
          <t>Lácteos Chalate</t>
        </is>
      </c>
      <c r="T1008" t="inlineStr">
        <is>
          <t>2335-1020</t>
        </is>
      </c>
      <c r="U1008" t="n">
        <v>3.8</v>
      </c>
      <c r="V1008" t="n">
        <v>6</v>
      </c>
      <c r="W1008" t="n">
        <v>0</v>
      </c>
      <c r="X1008">
        <f>IFERROR(U1008*V1008*(1-W1008/100),"")</f>
        <v/>
      </c>
      <c r="Y1008">
        <f>IFERROR(ROUND(X1008*0.13,2),"")</f>
        <v/>
      </c>
      <c r="Z1008">
        <f>IFERROR(X1008+Y1008,"")</f>
        <v/>
      </c>
      <c r="AA1008" t="inlineStr">
        <is>
          <t>Efectivo</t>
        </is>
      </c>
      <c r="AB1008" t="inlineStr">
        <is>
          <t>pagó con billete de $100</t>
        </is>
      </c>
    </row>
    <row r="1009">
      <c r="A1009" t="inlineStr">
        <is>
          <t>F-11243</t>
        </is>
      </c>
      <c r="B1009" s="3" t="n">
        <v>46227</v>
      </c>
      <c r="C1009" t="inlineStr">
        <is>
          <t>Factura</t>
        </is>
      </c>
      <c r="D1009" t="inlineStr">
        <is>
          <t>LL02</t>
        </is>
      </c>
      <c r="E1009" t="inlineStr">
        <is>
          <t>La Libertad Puerto</t>
        </is>
      </c>
      <c r="F1009" t="inlineStr">
        <is>
          <t>Calle El Malecón, Local 4</t>
        </is>
      </c>
      <c r="G1009" t="inlineStr">
        <is>
          <t>La Libertad</t>
        </is>
      </c>
      <c r="H1009" t="inlineStr">
        <is>
          <t>La Libertad</t>
        </is>
      </c>
      <c r="I1009" t="inlineStr">
        <is>
          <t>Wendy Aguilar</t>
        </is>
      </c>
      <c r="J1009" t="inlineStr">
        <is>
          <t>2335-6140</t>
        </is>
      </c>
      <c r="K1009" t="inlineStr">
        <is>
          <t>Gabriela Saravia</t>
        </is>
      </c>
      <c r="L1009" t="inlineStr">
        <is>
          <t>Xiomara Flores Rivera</t>
        </is>
      </c>
      <c r="M1009" t="inlineStr">
        <is>
          <t>09919727-8</t>
        </is>
      </c>
      <c r="N1009" t="inlineStr">
        <is>
          <t>2544-6511</t>
        </is>
      </c>
      <c r="O1009" t="inlineStr">
        <is>
          <t>Consumidor final</t>
        </is>
      </c>
      <c r="P1009" t="inlineStr">
        <is>
          <t>HAR-001</t>
        </is>
      </c>
      <c r="Q1009" t="inlineStr">
        <is>
          <t>Harina de maíz 2lb</t>
        </is>
      </c>
      <c r="R1009" t="inlineStr">
        <is>
          <t>Abarrotes</t>
        </is>
      </c>
      <c r="S1009" t="inlineStr">
        <is>
          <t>Granos del Pacífico</t>
        </is>
      </c>
      <c r="T1009" t="inlineStr">
        <is>
          <t>2234-8890</t>
        </is>
      </c>
      <c r="U1009" t="n">
        <v>1.35</v>
      </c>
      <c r="V1009" t="n">
        <v>2</v>
      </c>
      <c r="W1009" t="n">
        <v>0</v>
      </c>
      <c r="X1009">
        <f>IFERROR(U1009*V1009*(1-W1009/100),"")</f>
        <v/>
      </c>
      <c r="Y1009">
        <f>IFERROR(ROUND(X1009*0.13,2),"")</f>
        <v/>
      </c>
      <c r="Z1009">
        <f>IFERROR(X1009+Y1009,"")</f>
        <v/>
      </c>
      <c r="AA1009" t="inlineStr">
        <is>
          <t>Efectivo</t>
        </is>
      </c>
      <c r="AB1009" t="inlineStr"/>
    </row>
    <row r="1010">
      <c r="A1010" t="inlineStr">
        <is>
          <t>F-11246</t>
        </is>
      </c>
      <c r="B1010" s="3" t="n">
        <v>46261</v>
      </c>
      <c r="C1010" t="inlineStr">
        <is>
          <t>Factura</t>
        </is>
      </c>
      <c r="D1010" t="inlineStr">
        <is>
          <t>SM01</t>
        </is>
      </c>
      <c r="E1010" t="inlineStr">
        <is>
          <t>S. Miguel</t>
        </is>
      </c>
      <c r="F1010" t="inlineStr">
        <is>
          <t>Av. Roosevelt Sur #7</t>
        </is>
      </c>
      <c r="G1010" t="inlineStr">
        <is>
          <t>San Miguel</t>
        </is>
      </c>
      <c r="H1010" t="inlineStr">
        <is>
          <t>San Miguel</t>
        </is>
      </c>
      <c r="I1010" t="inlineStr">
        <is>
          <t>Iris Portillo</t>
        </is>
      </c>
      <c r="J1010" t="inlineStr">
        <is>
          <t>2661-5076</t>
        </is>
      </c>
      <c r="K1010" t="inlineStr">
        <is>
          <t>Jorge Villalta</t>
        </is>
      </c>
      <c r="L1010" t="inlineStr">
        <is>
          <t>Rosa Romero López</t>
        </is>
      </c>
      <c r="M1010" t="inlineStr">
        <is>
          <t>06188185-5</t>
        </is>
      </c>
      <c r="N1010" t="inlineStr">
        <is>
          <t>6532-2485</t>
        </is>
      </c>
      <c r="O1010" t="inlineStr">
        <is>
          <t>Consumidor final</t>
        </is>
      </c>
      <c r="P1010" t="inlineStr">
        <is>
          <t>AZU-001</t>
        </is>
      </c>
      <c r="Q1010" t="inlineStr">
        <is>
          <t>Azúcar blanca 2.5kg</t>
        </is>
      </c>
      <c r="R1010" t="inlineStr">
        <is>
          <t>Abarrotes</t>
        </is>
      </c>
      <c r="S1010" t="inlineStr">
        <is>
          <t>Granos del Pacífico</t>
        </is>
      </c>
      <c r="T1010" t="inlineStr">
        <is>
          <t>2234-8890</t>
        </is>
      </c>
      <c r="U1010" t="n">
        <v>3.1</v>
      </c>
      <c r="V1010" t="n">
        <v>3</v>
      </c>
      <c r="W1010" t="n">
        <v>0</v>
      </c>
      <c r="X1010">
        <f>IFERROR(U1010*V1010*(1-W1010/100),"")</f>
        <v/>
      </c>
      <c r="Y1010">
        <f>IFERROR(ROUND(X1010*0.13,2),"")</f>
        <v/>
      </c>
      <c r="Z1010">
        <f>IFERROR(X1010+Y1010,"")</f>
        <v/>
      </c>
      <c r="AA1010" t="inlineStr">
        <is>
          <t>efectivo</t>
        </is>
      </c>
      <c r="AB1010" t="inlineStr"/>
    </row>
    <row r="1011">
      <c r="A1011" t="inlineStr">
        <is>
          <t>F-11246</t>
        </is>
      </c>
      <c r="B1011" s="3" t="n">
        <v>46261</v>
      </c>
      <c r="C1011" t="inlineStr">
        <is>
          <t>Factura</t>
        </is>
      </c>
      <c r="D1011" t="inlineStr">
        <is>
          <t>SM01</t>
        </is>
      </c>
      <c r="E1011" t="inlineStr">
        <is>
          <t>SAN MIGUEL</t>
        </is>
      </c>
      <c r="F1011" t="inlineStr">
        <is>
          <t>Av. Roosevelt Sur #7</t>
        </is>
      </c>
      <c r="G1011" t="inlineStr">
        <is>
          <t>San Miguel</t>
        </is>
      </c>
      <c r="H1011" t="inlineStr">
        <is>
          <t>San Miguel</t>
        </is>
      </c>
      <c r="I1011" t="inlineStr">
        <is>
          <t>Iris Portillo</t>
        </is>
      </c>
      <c r="J1011" t="inlineStr">
        <is>
          <t>2661-5076</t>
        </is>
      </c>
      <c r="K1011" t="inlineStr">
        <is>
          <t>Jorge Villalta</t>
        </is>
      </c>
      <c r="L1011" t="inlineStr">
        <is>
          <t>Rosa Romero López</t>
        </is>
      </c>
      <c r="M1011" t="inlineStr">
        <is>
          <t>06188185-5</t>
        </is>
      </c>
      <c r="N1011" t="inlineStr">
        <is>
          <t>6532-2485</t>
        </is>
      </c>
      <c r="O1011" t="inlineStr">
        <is>
          <t>Consumidor final</t>
        </is>
      </c>
      <c r="P1011" t="inlineStr">
        <is>
          <t>BEB-002</t>
        </is>
      </c>
      <c r="Q1011" t="inlineStr">
        <is>
          <t>Agua purificada 1 galón</t>
        </is>
      </c>
      <c r="R1011" t="inlineStr">
        <is>
          <t>Bebidas</t>
        </is>
      </c>
      <c r="S1011" t="inlineStr">
        <is>
          <t>Bebidas Izalco</t>
        </is>
      </c>
      <c r="T1011" t="inlineStr">
        <is>
          <t>2450-7700</t>
        </is>
      </c>
      <c r="U1011" t="n">
        <v>1.1</v>
      </c>
      <c r="V1011" t="n">
        <v>2</v>
      </c>
      <c r="W1011" t="n">
        <v>0</v>
      </c>
      <c r="X1011">
        <f>IFERROR(U1011*V1011*(1-W1011/100),"")</f>
        <v/>
      </c>
      <c r="Y1011">
        <f>IFERROR(ROUND(X1011*0.13,2),"")</f>
        <v/>
      </c>
      <c r="Z1011">
        <f>IFERROR(X1011+Y1011,"")</f>
        <v/>
      </c>
      <c r="AA1011" t="inlineStr">
        <is>
          <t>efectivo</t>
        </is>
      </c>
      <c r="AB1011" t="inlineStr">
        <is>
          <t>Cliente frecuente</t>
        </is>
      </c>
    </row>
    <row r="1012">
      <c r="A1012" t="inlineStr">
        <is>
          <t>F-11248</t>
        </is>
      </c>
      <c r="B1012" s="3" t="n">
        <v>46210</v>
      </c>
      <c r="C1012" t="inlineStr">
        <is>
          <t>Factura</t>
        </is>
      </c>
      <c r="D1012" t="inlineStr">
        <is>
          <t>SS03</t>
        </is>
      </c>
      <c r="E1012" t="inlineStr">
        <is>
          <t>Soyapango</t>
        </is>
      </c>
      <c r="F1012" t="inlineStr">
        <is>
          <t>Blvd. del Ejército km 4</t>
        </is>
      </c>
      <c r="G1012" t="inlineStr">
        <is>
          <t>Soyapango</t>
        </is>
      </c>
      <c r="H1012" t="inlineStr">
        <is>
          <t>San Salvador</t>
        </is>
      </c>
      <c r="I1012" t="inlineStr">
        <is>
          <t>Karla Henríquez</t>
        </is>
      </c>
      <c r="J1012" t="inlineStr">
        <is>
          <t>2277-3402</t>
        </is>
      </c>
      <c r="K1012" t="inlineStr">
        <is>
          <t>Carlos Molina</t>
        </is>
      </c>
      <c r="L1012" t="inlineStr">
        <is>
          <t>Rosa García López</t>
        </is>
      </c>
      <c r="M1012" t="inlineStr">
        <is>
          <t>08949227-3</t>
        </is>
      </c>
      <c r="N1012" t="inlineStr">
        <is>
          <t>7696-6025</t>
        </is>
      </c>
      <c r="O1012" t="inlineStr">
        <is>
          <t>Consumidor final</t>
        </is>
      </c>
      <c r="P1012" t="inlineStr">
        <is>
          <t>HIG-003</t>
        </is>
      </c>
      <c r="Q1012" t="inlineStr">
        <is>
          <t>Jabón de lavar barra</t>
        </is>
      </c>
      <c r="R1012" t="inlineStr">
        <is>
          <t>Limpieza</t>
        </is>
      </c>
      <c r="S1012" t="inlineStr">
        <is>
          <t>Higiene Total C.A.</t>
        </is>
      </c>
      <c r="T1012" t="inlineStr">
        <is>
          <t>2207-5566</t>
        </is>
      </c>
      <c r="U1012" t="n">
        <v>0.75</v>
      </c>
      <c r="V1012" t="n">
        <v>1</v>
      </c>
      <c r="W1012" t="n">
        <v>0</v>
      </c>
      <c r="X1012">
        <f>IFERROR(U1012*V1012*(1-W1012/100),"")</f>
        <v/>
      </c>
      <c r="Y1012">
        <f>IFERROR(ROUND(X1012*0.13,2),"")</f>
        <v/>
      </c>
      <c r="Z1012">
        <f>IFERROR(X1012+Y1012,"")</f>
        <v/>
      </c>
      <c r="AA1012" t="inlineStr">
        <is>
          <t>Tarjeta</t>
        </is>
      </c>
      <c r="AB1012" t="inlineStr"/>
    </row>
    <row r="1013">
      <c r="A1013" t="inlineStr">
        <is>
          <t>F-11251</t>
        </is>
      </c>
      <c r="B1013" t="inlineStr">
        <is>
          <t>30/09/2026</t>
        </is>
      </c>
      <c r="C1013" t="inlineStr">
        <is>
          <t>FCF</t>
        </is>
      </c>
      <c r="D1013" t="inlineStr">
        <is>
          <t>US01</t>
        </is>
      </c>
      <c r="E1013" t="inlineStr">
        <is>
          <t>Usulután</t>
        </is>
      </c>
      <c r="F1013" t="inlineStr">
        <is>
          <t>2a Av. Norte #9</t>
        </is>
      </c>
      <c r="G1013" t="inlineStr">
        <is>
          <t>Usulután</t>
        </is>
      </c>
      <c r="H1013" t="inlineStr">
        <is>
          <t>Usulután</t>
        </is>
      </c>
      <c r="I1013" t="inlineStr">
        <is>
          <t>Nelson Fuentes</t>
        </is>
      </c>
      <c r="J1013" t="inlineStr">
        <is>
          <t>2662-8810</t>
        </is>
      </c>
      <c r="K1013" t="inlineStr">
        <is>
          <t>Miguel Bonilla</t>
        </is>
      </c>
      <c r="L1013" t="inlineStr">
        <is>
          <t>Silvia Martínez Hernández</t>
        </is>
      </c>
      <c r="M1013" t="inlineStr">
        <is>
          <t>05821993-5</t>
        </is>
      </c>
      <c r="N1013" t="inlineStr">
        <is>
          <t>2126-9362</t>
        </is>
      </c>
      <c r="O1013" t="inlineStr">
        <is>
          <t>Consumidor final</t>
        </is>
      </c>
      <c r="P1013" t="inlineStr">
        <is>
          <t>HIG-003</t>
        </is>
      </c>
      <c r="Q1013" t="inlineStr">
        <is>
          <t>Jabón de lavar barra</t>
        </is>
      </c>
      <c r="R1013" t="inlineStr">
        <is>
          <t>Limpieza</t>
        </is>
      </c>
      <c r="S1013" t="inlineStr">
        <is>
          <t>Higiene Total C.A.</t>
        </is>
      </c>
      <c r="T1013" t="inlineStr">
        <is>
          <t>2207-5566</t>
        </is>
      </c>
      <c r="U1013" t="n">
        <v>0.75</v>
      </c>
      <c r="V1013" t="n">
        <v>24</v>
      </c>
      <c r="W1013" t="n">
        <v>0</v>
      </c>
      <c r="X1013">
        <f>IFERROR(U1013*V1013*(1-W1013/100),"")</f>
        <v/>
      </c>
      <c r="Y1013">
        <f>IFERROR(ROUND(X1013*0.13,2),"")</f>
        <v/>
      </c>
      <c r="Z1013">
        <f>IFERROR(X1013+Y1013,"")</f>
        <v/>
      </c>
      <c r="AA1013" t="inlineStr">
        <is>
          <t>efectivo</t>
        </is>
      </c>
      <c r="AB1013" t="inlineStr">
        <is>
          <t>precio especial autorizado por gerente</t>
        </is>
      </c>
    </row>
    <row r="1014">
      <c r="A1014" t="inlineStr">
        <is>
          <t>F-11251</t>
        </is>
      </c>
      <c r="B1014" t="inlineStr">
        <is>
          <t>2026-09-30</t>
        </is>
      </c>
      <c r="C1014" t="inlineStr">
        <is>
          <t>FCF</t>
        </is>
      </c>
      <c r="D1014" t="inlineStr">
        <is>
          <t>US01</t>
        </is>
      </c>
      <c r="E1014" t="inlineStr">
        <is>
          <t>Usulutan</t>
        </is>
      </c>
      <c r="F1014" t="inlineStr">
        <is>
          <t>2a Av. Norte #9</t>
        </is>
      </c>
      <c r="G1014" t="inlineStr">
        <is>
          <t>Usulután</t>
        </is>
      </c>
      <c r="H1014" t="inlineStr">
        <is>
          <t>Usulután</t>
        </is>
      </c>
      <c r="I1014" t="inlineStr">
        <is>
          <t>Nelson Fuentes</t>
        </is>
      </c>
      <c r="J1014" t="inlineStr">
        <is>
          <t>2662-8810</t>
        </is>
      </c>
      <c r="K1014" t="inlineStr">
        <is>
          <t>Miguel Bonilla</t>
        </is>
      </c>
      <c r="L1014" t="inlineStr">
        <is>
          <t>Silvia Martínez Hernández</t>
        </is>
      </c>
      <c r="M1014" t="inlineStr">
        <is>
          <t>05821993-5</t>
        </is>
      </c>
      <c r="N1014" t="inlineStr">
        <is>
          <t>2126-9362</t>
        </is>
      </c>
      <c r="O1014" t="inlineStr">
        <is>
          <t>Consumidor final</t>
        </is>
      </c>
      <c r="P1014" t="inlineStr">
        <is>
          <t>AZU-001</t>
        </is>
      </c>
      <c r="Q1014" t="inlineStr">
        <is>
          <t>Azúcar blanca 2.5kg</t>
        </is>
      </c>
      <c r="R1014" t="inlineStr">
        <is>
          <t>Abarrotes</t>
        </is>
      </c>
      <c r="S1014" t="inlineStr">
        <is>
          <t>Granos del Pacífico</t>
        </is>
      </c>
      <c r="T1014" t="inlineStr">
        <is>
          <t>2234-8890</t>
        </is>
      </c>
      <c r="U1014" t="n">
        <v>3.1</v>
      </c>
      <c r="V1014" t="n">
        <v>3</v>
      </c>
      <c r="W1014" t="n">
        <v>0</v>
      </c>
      <c r="X1014">
        <f>IFERROR(U1014*V1014*(1-W1014/100),"")</f>
        <v/>
      </c>
      <c r="Y1014">
        <f>IFERROR(ROUND(X1014*0.13,2),"")</f>
        <v/>
      </c>
      <c r="Z1014">
        <f>IFERROR(X1014+Y1014,"")</f>
        <v/>
      </c>
      <c r="AA1014" t="inlineStr">
        <is>
          <t>efectivo</t>
        </is>
      </c>
      <c r="AB1014" t="inlineStr">
        <is>
          <t>precio especial autorizado por gerente</t>
        </is>
      </c>
    </row>
    <row r="1015">
      <c r="A1015" t="inlineStr">
        <is>
          <t>F-11251</t>
        </is>
      </c>
      <c r="B1015" t="inlineStr">
        <is>
          <t>2026-09-30</t>
        </is>
      </c>
      <c r="C1015" t="inlineStr">
        <is>
          <t>FCF</t>
        </is>
      </c>
      <c r="D1015" t="inlineStr">
        <is>
          <t>US01</t>
        </is>
      </c>
      <c r="E1015" t="inlineStr">
        <is>
          <t>Usulután</t>
        </is>
      </c>
      <c r="F1015" t="inlineStr">
        <is>
          <t>2a Av. Norte #9</t>
        </is>
      </c>
      <c r="G1015" t="inlineStr">
        <is>
          <t>Usulután</t>
        </is>
      </c>
      <c r="H1015" t="inlineStr">
        <is>
          <t>Usulután</t>
        </is>
      </c>
      <c r="I1015" t="inlineStr">
        <is>
          <t>Nelson Fuentes</t>
        </is>
      </c>
      <c r="J1015" t="inlineStr">
        <is>
          <t>2662-8810</t>
        </is>
      </c>
      <c r="K1015" t="inlineStr">
        <is>
          <t>Miguel Bonilla</t>
        </is>
      </c>
      <c r="L1015" t="inlineStr">
        <is>
          <t>Silvia Martínez Hernández</t>
        </is>
      </c>
      <c r="M1015" t="inlineStr">
        <is>
          <t>05821993-5</t>
        </is>
      </c>
      <c r="N1015" t="inlineStr">
        <is>
          <t>2126-9362</t>
        </is>
      </c>
      <c r="O1015" t="inlineStr">
        <is>
          <t>Consumidor final</t>
        </is>
      </c>
      <c r="P1015" t="inlineStr">
        <is>
          <t>LAC-001</t>
        </is>
      </c>
      <c r="Q1015" t="inlineStr">
        <is>
          <t>Quesillo 1lb</t>
        </is>
      </c>
      <c r="R1015" t="inlineStr">
        <is>
          <t>Lácteos</t>
        </is>
      </c>
      <c r="S1015" t="inlineStr">
        <is>
          <t>Lácteos Chalate</t>
        </is>
      </c>
      <c r="T1015" t="inlineStr">
        <is>
          <t>2335-1020</t>
        </is>
      </c>
      <c r="U1015" t="n">
        <v>3.8</v>
      </c>
      <c r="V1015" t="n">
        <v>1</v>
      </c>
      <c r="W1015" t="n">
        <v>0</v>
      </c>
      <c r="X1015">
        <f>IFERROR(U1015*V1015*(1-W1015/100),"")</f>
        <v/>
      </c>
      <c r="Y1015">
        <f>IFERROR(ROUND(X1015*0.13,2),"")</f>
        <v/>
      </c>
      <c r="Z1015">
        <f>IFERROR(X1015+Y1015,"")</f>
        <v/>
      </c>
      <c r="AA1015" t="inlineStr">
        <is>
          <t>efectivo</t>
        </is>
      </c>
      <c r="AB1015" t="inlineStr">
        <is>
          <t>Cliente frecuente</t>
        </is>
      </c>
    </row>
    <row r="1016">
      <c r="A1016" t="inlineStr">
        <is>
          <t>F-11254</t>
        </is>
      </c>
      <c r="B1016" s="3" t="n">
        <v>46266</v>
      </c>
      <c r="C1016" t="inlineStr">
        <is>
          <t>Factura</t>
        </is>
      </c>
      <c r="D1016" t="inlineStr">
        <is>
          <t>SS02</t>
        </is>
      </c>
      <c r="E1016" t="inlineStr">
        <is>
          <t>Col. Escalón</t>
        </is>
      </c>
      <c r="F1016" t="inlineStr">
        <is>
          <t>Paseo General Escalón #3910</t>
        </is>
      </c>
      <c r="G1016" t="inlineStr">
        <is>
          <t>San Salvador</t>
        </is>
      </c>
      <c r="H1016" t="inlineStr">
        <is>
          <t>San Salvador</t>
        </is>
      </c>
      <c r="I1016" t="inlineStr">
        <is>
          <t>Claudia Menjívar</t>
        </is>
      </c>
      <c r="J1016" t="inlineStr">
        <is>
          <t>2264-1190</t>
        </is>
      </c>
      <c r="K1016" t="inlineStr">
        <is>
          <t>Fátima Rosales</t>
        </is>
      </c>
      <c r="L1016" t="inlineStr">
        <is>
          <t>Edwin Cornejo Mejía</t>
        </is>
      </c>
      <c r="M1016" t="inlineStr">
        <is>
          <t>09391819-6</t>
        </is>
      </c>
      <c r="N1016" t="inlineStr">
        <is>
          <t>7415-9980</t>
        </is>
      </c>
      <c r="O1016" t="inlineStr">
        <is>
          <t>Consumidor final</t>
        </is>
      </c>
      <c r="P1016" t="inlineStr">
        <is>
          <t>FRI-001</t>
        </is>
      </c>
      <c r="Q1016" t="inlineStr">
        <is>
          <t>Frijol rojo de seda 2lb</t>
        </is>
      </c>
      <c r="R1016" t="inlineStr">
        <is>
          <t>Granos básicos</t>
        </is>
      </c>
      <c r="S1016" t="inlineStr">
        <is>
          <t>Granos del Pacífico</t>
        </is>
      </c>
      <c r="T1016" t="inlineStr">
        <is>
          <t>2234-8890</t>
        </is>
      </c>
      <c r="U1016" t="n">
        <v>2.4</v>
      </c>
      <c r="V1016" t="n">
        <v>6</v>
      </c>
      <c r="W1016" t="n">
        <v>0</v>
      </c>
      <c r="X1016">
        <f>IFERROR(U1016*V1016*(1-W1016/100),"")</f>
        <v/>
      </c>
      <c r="Y1016">
        <f>IFERROR(ROUND(X1016*0.13,2),"")</f>
        <v/>
      </c>
      <c r="Z1016">
        <f>IFERROR(X1016+Y1016,"")</f>
        <v/>
      </c>
      <c r="AA1016" t="inlineStr">
        <is>
          <t>Tarjeta</t>
        </is>
      </c>
      <c r="AB1016" t="inlineStr"/>
    </row>
    <row r="1017">
      <c r="A1017" t="inlineStr">
        <is>
          <t>F-11255</t>
        </is>
      </c>
      <c r="B1017" t="inlineStr">
        <is>
          <t>04/08/2026</t>
        </is>
      </c>
      <c r="C1017" t="inlineStr">
        <is>
          <t>factura</t>
        </is>
      </c>
      <c r="D1017" t="inlineStr">
        <is>
          <t>SS01</t>
        </is>
      </c>
      <c r="E1017" t="inlineStr">
        <is>
          <t>San Salvador Centro</t>
        </is>
      </c>
      <c r="F1017" t="inlineStr">
        <is>
          <t>4a Calle Poniente #215</t>
        </is>
      </c>
      <c r="G1017" t="inlineStr">
        <is>
          <t>San Salvador</t>
        </is>
      </c>
      <c r="H1017" t="inlineStr">
        <is>
          <t>San Salvador</t>
        </is>
      </c>
      <c r="I1017" t="inlineStr">
        <is>
          <t>Roberto Alfaro</t>
        </is>
      </c>
      <c r="J1017" t="inlineStr">
        <is>
          <t>2221-4580</t>
        </is>
      </c>
      <c r="K1017" t="inlineStr">
        <is>
          <t>Daniela Orellana</t>
        </is>
      </c>
      <c r="L1017" t="inlineStr">
        <is>
          <t>Douglas Hernández García</t>
        </is>
      </c>
      <c r="M1017" t="inlineStr"/>
      <c r="N1017" t="inlineStr">
        <is>
          <t>2221-1611</t>
        </is>
      </c>
      <c r="O1017" t="inlineStr">
        <is>
          <t>Consumidor final</t>
        </is>
      </c>
      <c r="P1017" t="inlineStr">
        <is>
          <t>LAC-003</t>
        </is>
      </c>
      <c r="Q1017" t="inlineStr">
        <is>
          <t>Leche entera 1L</t>
        </is>
      </c>
      <c r="R1017" t="inlineStr">
        <is>
          <t>Lácteos</t>
        </is>
      </c>
      <c r="S1017" t="inlineStr">
        <is>
          <t>Lácteos Chalate</t>
        </is>
      </c>
      <c r="T1017" t="inlineStr">
        <is>
          <t>2335-1020</t>
        </is>
      </c>
      <c r="U1017" t="inlineStr">
        <is>
          <t>$1.20</t>
        </is>
      </c>
      <c r="V1017" t="n">
        <v>1</v>
      </c>
      <c r="W1017" t="n">
        <v>0</v>
      </c>
      <c r="X1017">
        <f>IFERROR(U1017*V1017*(1-W1017/100),"")</f>
        <v/>
      </c>
      <c r="Y1017">
        <f>IFERROR(ROUND(X1017*0.13,2),"")</f>
        <v/>
      </c>
      <c r="Z1017">
        <f>IFERROR(X1017+Y1017,"")</f>
        <v/>
      </c>
      <c r="AA1017" t="inlineStr">
        <is>
          <t>Efectivo</t>
        </is>
      </c>
      <c r="AB1017" t="inlineStr">
        <is>
          <t>entregar en bodega</t>
        </is>
      </c>
    </row>
    <row r="1018">
      <c r="A1018" t="inlineStr">
        <is>
          <t>F-11255</t>
        </is>
      </c>
      <c r="B1018" s="3" t="n">
        <v>46238</v>
      </c>
      <c r="C1018" t="inlineStr">
        <is>
          <t>factura</t>
        </is>
      </c>
      <c r="D1018" t="inlineStr">
        <is>
          <t>SS01</t>
        </is>
      </c>
      <c r="E1018" t="inlineStr">
        <is>
          <t>S.S. Centro</t>
        </is>
      </c>
      <c r="F1018" t="inlineStr">
        <is>
          <t>4a Calle Poniente #215</t>
        </is>
      </c>
      <c r="G1018" t="inlineStr">
        <is>
          <t>San Salvador</t>
        </is>
      </c>
      <c r="H1018" t="inlineStr">
        <is>
          <t>San Salvador</t>
        </is>
      </c>
      <c r="I1018" t="inlineStr">
        <is>
          <t>Roberto Alfaro</t>
        </is>
      </c>
      <c r="J1018" t="inlineStr">
        <is>
          <t>2221-4580</t>
        </is>
      </c>
      <c r="K1018" t="inlineStr">
        <is>
          <t>Daniela Orellana</t>
        </is>
      </c>
      <c r="L1018" t="inlineStr">
        <is>
          <t>Douglas Hernández García</t>
        </is>
      </c>
      <c r="M1018" t="inlineStr">
        <is>
          <t>02719991-9</t>
        </is>
      </c>
      <c r="N1018" t="inlineStr">
        <is>
          <t>2221-1611</t>
        </is>
      </c>
      <c r="O1018" t="inlineStr">
        <is>
          <t>Consumidor final</t>
        </is>
      </c>
      <c r="P1018" t="inlineStr">
        <is>
          <t>PAN-001</t>
        </is>
      </c>
      <c r="Q1018" t="inlineStr">
        <is>
          <t>Pan francés bolsa 10u</t>
        </is>
      </c>
      <c r="R1018" t="inlineStr">
        <is>
          <t>Panadería</t>
        </is>
      </c>
      <c r="S1018" t="inlineStr">
        <is>
          <t>Panificadora Ilopango</t>
        </is>
      </c>
      <c r="T1018" t="inlineStr">
        <is>
          <t>2295-0081</t>
        </is>
      </c>
      <c r="U1018" t="n">
        <v>1</v>
      </c>
      <c r="V1018" t="n">
        <v>1</v>
      </c>
      <c r="W1018" t="n">
        <v>0</v>
      </c>
      <c r="X1018">
        <f>IFERROR(U1018*V1018*(1-W1018/100),"")</f>
        <v/>
      </c>
      <c r="Y1018">
        <f>IFERROR(ROUND(X1018*0.13,2),"")</f>
        <v/>
      </c>
      <c r="Z1018">
        <f>IFERROR(X1018+Y1018,"")</f>
        <v/>
      </c>
      <c r="AA1018" t="inlineStr">
        <is>
          <t>Efectivo</t>
        </is>
      </c>
      <c r="AB1018" t="inlineStr"/>
    </row>
    <row r="1019">
      <c r="A1019" t="inlineStr">
        <is>
          <t>F-11255</t>
        </is>
      </c>
      <c r="B1019" s="4" t="n">
        <v>46238</v>
      </c>
      <c r="C1019" t="inlineStr">
        <is>
          <t>factura</t>
        </is>
      </c>
      <c r="D1019" t="inlineStr">
        <is>
          <t>SS01</t>
        </is>
      </c>
      <c r="E1019" t="inlineStr">
        <is>
          <t>S.S. Centro</t>
        </is>
      </c>
      <c r="F1019" t="inlineStr">
        <is>
          <t>4a Calle Poniente #215</t>
        </is>
      </c>
      <c r="G1019" t="inlineStr">
        <is>
          <t>San Salvador</t>
        </is>
      </c>
      <c r="H1019" t="inlineStr">
        <is>
          <t>San Salvador</t>
        </is>
      </c>
      <c r="I1019" t="inlineStr">
        <is>
          <t>Roberto Alfaro</t>
        </is>
      </c>
      <c r="J1019" t="inlineStr">
        <is>
          <t>2221-4580</t>
        </is>
      </c>
      <c r="K1019" t="inlineStr">
        <is>
          <t>Daniela Orellana</t>
        </is>
      </c>
      <c r="L1019" t="inlineStr">
        <is>
          <t>Douglas Hernández García</t>
        </is>
      </c>
      <c r="M1019" t="inlineStr">
        <is>
          <t>02719991-9</t>
        </is>
      </c>
      <c r="N1019" t="inlineStr">
        <is>
          <t>2221-1611</t>
        </is>
      </c>
      <c r="O1019" t="inlineStr">
        <is>
          <t>Consumidor final</t>
        </is>
      </c>
      <c r="P1019" t="inlineStr">
        <is>
          <t>PAN-001</t>
        </is>
      </c>
      <c r="Q1019" t="inlineStr">
        <is>
          <t>Pan francés bolsa 10u</t>
        </is>
      </c>
      <c r="R1019" t="inlineStr">
        <is>
          <t>Panadería</t>
        </is>
      </c>
      <c r="S1019" t="inlineStr">
        <is>
          <t>Panificadora Ilopango</t>
        </is>
      </c>
      <c r="T1019" t="inlineStr">
        <is>
          <t>2295-0081</t>
        </is>
      </c>
      <c r="U1019" t="n">
        <v>1</v>
      </c>
      <c r="V1019" t="n">
        <v>1</v>
      </c>
      <c r="W1019" t="n">
        <v>0</v>
      </c>
      <c r="X1019">
        <f>IFERROR(U1019*V1019*(1-W1019/100),"")</f>
        <v/>
      </c>
      <c r="Y1019">
        <f>IFERROR(ROUND(X1019*0.13,2),"")</f>
        <v/>
      </c>
      <c r="Z1019">
        <f>IFERROR(X1019+Y1019,"")</f>
        <v/>
      </c>
      <c r="AA1019" t="inlineStr">
        <is>
          <t>Efectivo</t>
        </is>
      </c>
      <c r="AB1019" t="inlineStr"/>
    </row>
    <row r="1020">
      <c r="A1020" t="inlineStr">
        <is>
          <t>F-11255</t>
        </is>
      </c>
      <c r="B1020" s="3" t="n">
        <v>46238</v>
      </c>
      <c r="C1020" t="inlineStr">
        <is>
          <t>factura</t>
        </is>
      </c>
      <c r="D1020" t="inlineStr">
        <is>
          <t>SS01</t>
        </is>
      </c>
      <c r="E1020" t="inlineStr">
        <is>
          <t xml:space="preserve">san salvador centro </t>
        </is>
      </c>
      <c r="F1020" t="inlineStr">
        <is>
          <t>4a Calle Poniente #215</t>
        </is>
      </c>
      <c r="G1020" t="inlineStr">
        <is>
          <t>San Salvador</t>
        </is>
      </c>
      <c r="H1020" t="inlineStr">
        <is>
          <t>San Salvador</t>
        </is>
      </c>
      <c r="I1020" t="inlineStr">
        <is>
          <t>Roberto Alfaro</t>
        </is>
      </c>
      <c r="J1020" t="inlineStr">
        <is>
          <t>2221-4580</t>
        </is>
      </c>
      <c r="K1020" t="inlineStr">
        <is>
          <t>Daniela Orellana</t>
        </is>
      </c>
      <c r="L1020" t="inlineStr">
        <is>
          <t>Douglas Hernández García</t>
        </is>
      </c>
      <c r="M1020" t="inlineStr">
        <is>
          <t>02719991-9</t>
        </is>
      </c>
      <c r="N1020" t="inlineStr">
        <is>
          <t>2221-1611</t>
        </is>
      </c>
      <c r="O1020" t="inlineStr">
        <is>
          <t>Consumidor final</t>
        </is>
      </c>
      <c r="P1020" t="inlineStr">
        <is>
          <t>CAF-002</t>
        </is>
      </c>
      <c r="Q1020" t="inlineStr">
        <is>
          <t>Café en grano 1lb</t>
        </is>
      </c>
      <c r="R1020" t="inlineStr">
        <is>
          <t>Abarrotes</t>
        </is>
      </c>
      <c r="S1020" t="inlineStr">
        <is>
          <t>Café Volcán S.A.</t>
        </is>
      </c>
      <c r="T1020" t="inlineStr">
        <is>
          <t>2510-3344</t>
        </is>
      </c>
      <c r="U1020" t="n">
        <v>6.75</v>
      </c>
      <c r="V1020" t="n">
        <v>2</v>
      </c>
      <c r="W1020" t="n">
        <v>0</v>
      </c>
      <c r="X1020">
        <f>IFERROR(U1020*V1020*(1-W1020/100),"")</f>
        <v/>
      </c>
      <c r="Y1020">
        <f>IFERROR(ROUND(X1020*0.13,2),"")</f>
        <v/>
      </c>
      <c r="Z1020">
        <f>IFERROR(X1020+Y1020,"")</f>
        <v/>
      </c>
      <c r="AA1020" t="inlineStr">
        <is>
          <t>Efectivo</t>
        </is>
      </c>
      <c r="AB1020" t="inlineStr"/>
    </row>
    <row r="1021">
      <c r="A1021" t="inlineStr">
        <is>
          <t>F-11258</t>
        </is>
      </c>
      <c r="B1021" s="3" t="n">
        <v>46252</v>
      </c>
      <c r="C1021" t="inlineStr">
        <is>
          <t>CCF</t>
        </is>
      </c>
      <c r="D1021" t="inlineStr">
        <is>
          <t>SS03</t>
        </is>
      </c>
      <c r="E1021" t="inlineStr">
        <is>
          <t>soyapango</t>
        </is>
      </c>
      <c r="F1021" t="inlineStr">
        <is>
          <t>Blvd. del Ejército km 4</t>
        </is>
      </c>
      <c r="G1021" t="inlineStr">
        <is>
          <t>Soyapango</t>
        </is>
      </c>
      <c r="H1021" t="inlineStr">
        <is>
          <t>San Salvador</t>
        </is>
      </c>
      <c r="I1021" t="inlineStr">
        <is>
          <t>Karla Henríquez</t>
        </is>
      </c>
      <c r="J1021" t="inlineStr">
        <is>
          <t>2277-3402</t>
        </is>
      </c>
      <c r="K1021" t="inlineStr">
        <is>
          <t>Carlos Molina</t>
        </is>
      </c>
      <c r="L1021" t="inlineStr">
        <is>
          <t>Hotel Brisas del Mar</t>
        </is>
      </c>
      <c r="M1021" t="inlineStr">
        <is>
          <t>280004-0</t>
        </is>
      </c>
      <c r="N1021" t="inlineStr">
        <is>
          <t>2129-2911</t>
        </is>
      </c>
      <c r="O1021" t="inlineStr">
        <is>
          <t>Contribuyente</t>
        </is>
      </c>
      <c r="P1021" t="inlineStr">
        <is>
          <t>LAC-003</t>
        </is>
      </c>
      <c r="Q1021" t="inlineStr">
        <is>
          <t>Leche entera 1L</t>
        </is>
      </c>
      <c r="R1021" t="inlineStr">
        <is>
          <t>Lácteos</t>
        </is>
      </c>
      <c r="S1021" t="inlineStr">
        <is>
          <t>Lácteos Chalate</t>
        </is>
      </c>
      <c r="T1021" t="inlineStr">
        <is>
          <t>7120-4455</t>
        </is>
      </c>
      <c r="U1021" t="n">
        <v>1.2</v>
      </c>
      <c r="V1021" t="n">
        <v>3</v>
      </c>
      <c r="W1021" t="n">
        <v>0</v>
      </c>
      <c r="X1021">
        <f>IFERROR(U1021*V1021*(1-W1021/100),"")</f>
        <v/>
      </c>
      <c r="Y1021">
        <f>IFERROR(ROUND(X1021*0.13,2),"")</f>
        <v/>
      </c>
      <c r="Z1021">
        <f>IFERROR(X1021+Y1021,"")</f>
        <v/>
      </c>
      <c r="AA1021" t="inlineStr">
        <is>
          <t>Efectivo</t>
        </is>
      </c>
      <c r="AB1021" t="inlineStr"/>
    </row>
    <row r="1022">
      <c r="A1022" t="inlineStr">
        <is>
          <t>F-11258</t>
        </is>
      </c>
      <c r="B1022" s="3" t="n">
        <v>46252</v>
      </c>
      <c r="C1022" t="inlineStr">
        <is>
          <t>CCF</t>
        </is>
      </c>
      <c r="D1022" t="inlineStr">
        <is>
          <t>SS03</t>
        </is>
      </c>
      <c r="E1022" t="inlineStr">
        <is>
          <t xml:space="preserve">SOYAPANGO </t>
        </is>
      </c>
      <c r="F1022" t="inlineStr">
        <is>
          <t>Blvd. del Ejército km 4</t>
        </is>
      </c>
      <c r="G1022" t="inlineStr">
        <is>
          <t>Soyapango</t>
        </is>
      </c>
      <c r="H1022" t="inlineStr">
        <is>
          <t>San Salvador</t>
        </is>
      </c>
      <c r="I1022" t="inlineStr">
        <is>
          <t>Karla Henríquez</t>
        </is>
      </c>
      <c r="J1022" t="inlineStr">
        <is>
          <t>2277-3402</t>
        </is>
      </c>
      <c r="K1022" t="inlineStr">
        <is>
          <t>Carlos Molina</t>
        </is>
      </c>
      <c r="L1022" t="inlineStr">
        <is>
          <t>Hotel Brisas del Mar</t>
        </is>
      </c>
      <c r="M1022" t="inlineStr">
        <is>
          <t>280004-0</t>
        </is>
      </c>
      <c r="N1022" t="inlineStr">
        <is>
          <t>2129-2911</t>
        </is>
      </c>
      <c r="O1022" t="inlineStr">
        <is>
          <t>Contribuyente</t>
        </is>
      </c>
      <c r="P1022" t="inlineStr">
        <is>
          <t>ARR-001</t>
        </is>
      </c>
      <c r="Q1022" t="inlineStr">
        <is>
          <t>Arroz blanco 5lb</t>
        </is>
      </c>
      <c r="R1022" t="inlineStr">
        <is>
          <t>Abarrotes</t>
        </is>
      </c>
      <c r="S1022" t="inlineStr">
        <is>
          <t>Granos del Pacífico</t>
        </is>
      </c>
      <c r="T1022" t="inlineStr">
        <is>
          <t>2234-8890</t>
        </is>
      </c>
      <c r="U1022" t="inlineStr">
        <is>
          <t>$3.95</t>
        </is>
      </c>
      <c r="V1022" t="n">
        <v>6</v>
      </c>
      <c r="W1022" t="n">
        <v>10</v>
      </c>
      <c r="X1022">
        <f>IFERROR(U1022*V1022*(1-W1022/100),"")</f>
        <v/>
      </c>
      <c r="Y1022">
        <f>IFERROR(ROUND(X1022*0.13,2),"")</f>
        <v/>
      </c>
      <c r="Z1022">
        <f>IFERROR(X1022+Y1022,"")</f>
        <v/>
      </c>
      <c r="AA1022" t="inlineStr">
        <is>
          <t>Efectivo</t>
        </is>
      </c>
      <c r="AB1022" t="inlineStr"/>
    </row>
    <row r="1023">
      <c r="A1023" t="inlineStr">
        <is>
          <t>F-11258</t>
        </is>
      </c>
      <c r="B1023" s="3" t="n">
        <v>46252</v>
      </c>
      <c r="C1023" t="inlineStr">
        <is>
          <t>CCF</t>
        </is>
      </c>
      <c r="D1023" t="inlineStr">
        <is>
          <t>SS03</t>
        </is>
      </c>
      <c r="E1023" t="inlineStr">
        <is>
          <t>soyapango</t>
        </is>
      </c>
      <c r="F1023" t="inlineStr">
        <is>
          <t>Blvd. del Ejército km 4</t>
        </is>
      </c>
      <c r="G1023" t="inlineStr">
        <is>
          <t>Soyapango</t>
        </is>
      </c>
      <c r="H1023" t="inlineStr">
        <is>
          <t>San Salvador</t>
        </is>
      </c>
      <c r="I1023" t="inlineStr">
        <is>
          <t>Karla Henríquez</t>
        </is>
      </c>
      <c r="J1023" t="inlineStr">
        <is>
          <t>2277-3402</t>
        </is>
      </c>
      <c r="K1023" t="inlineStr">
        <is>
          <t>Carlos Molina</t>
        </is>
      </c>
      <c r="L1023" t="inlineStr">
        <is>
          <t>Hotel Brisas del Mar</t>
        </is>
      </c>
      <c r="M1023" t="inlineStr">
        <is>
          <t>280004-0</t>
        </is>
      </c>
      <c r="N1023" t="inlineStr">
        <is>
          <t>2129-2911</t>
        </is>
      </c>
      <c r="O1023" t="inlineStr">
        <is>
          <t>Contribuyente</t>
        </is>
      </c>
      <c r="P1023" t="inlineStr">
        <is>
          <t>CAF-002</t>
        </is>
      </c>
      <c r="Q1023" t="inlineStr">
        <is>
          <t>Café en grano 1lb</t>
        </is>
      </c>
      <c r="R1023" t="inlineStr">
        <is>
          <t>Abarrotes</t>
        </is>
      </c>
      <c r="S1023" t="inlineStr">
        <is>
          <t>Café Volcán S.A.</t>
        </is>
      </c>
      <c r="T1023" t="inlineStr">
        <is>
          <t>2510-3344</t>
        </is>
      </c>
      <c r="U1023" t="n">
        <v>6.75</v>
      </c>
      <c r="V1023" t="n">
        <v>1</v>
      </c>
      <c r="W1023" t="n">
        <v>0</v>
      </c>
      <c r="X1023">
        <f>IFERROR(U1023*V1023*(1-W1023/100),"")</f>
        <v/>
      </c>
      <c r="Y1023">
        <f>IFERROR(ROUND(X1023*0.13,2),"")</f>
        <v/>
      </c>
      <c r="Z1023">
        <f>IFERROR(X1023+Y1023,"")</f>
        <v/>
      </c>
      <c r="AA1023" t="inlineStr">
        <is>
          <t>Efectivo</t>
        </is>
      </c>
      <c r="AB1023" t="inlineStr">
        <is>
          <t>Cliente frecuente</t>
        </is>
      </c>
    </row>
    <row r="1024">
      <c r="A1024" t="inlineStr">
        <is>
          <t>F-11258</t>
        </is>
      </c>
      <c r="B1024" s="3" t="n">
        <v>46252</v>
      </c>
      <c r="C1024" t="inlineStr">
        <is>
          <t>CCF</t>
        </is>
      </c>
      <c r="D1024" t="inlineStr">
        <is>
          <t>SS03</t>
        </is>
      </c>
      <c r="E1024" t="inlineStr">
        <is>
          <t xml:space="preserve">SOYAPANGO </t>
        </is>
      </c>
      <c r="F1024" t="inlineStr">
        <is>
          <t>Blvd. del Ejército km 4</t>
        </is>
      </c>
      <c r="G1024" t="inlineStr">
        <is>
          <t>Soyapango</t>
        </is>
      </c>
      <c r="H1024" t="inlineStr">
        <is>
          <t>San Salvador</t>
        </is>
      </c>
      <c r="I1024" t="inlineStr">
        <is>
          <t>Karla Henríquez</t>
        </is>
      </c>
      <c r="J1024" t="inlineStr">
        <is>
          <t>2277-3402</t>
        </is>
      </c>
      <c r="K1024" t="inlineStr">
        <is>
          <t>Carlos Molina</t>
        </is>
      </c>
      <c r="L1024" t="inlineStr">
        <is>
          <t>Hotel Brisas del Mar</t>
        </is>
      </c>
      <c r="M1024" t="inlineStr">
        <is>
          <t>280004-0</t>
        </is>
      </c>
      <c r="N1024" t="inlineStr">
        <is>
          <t>2129-2911</t>
        </is>
      </c>
      <c r="O1024" t="inlineStr">
        <is>
          <t>Contribuyente</t>
        </is>
      </c>
      <c r="P1024" t="inlineStr">
        <is>
          <t>CAF-001</t>
        </is>
      </c>
      <c r="Q1024" t="inlineStr">
        <is>
          <t>Café molido 400g</t>
        </is>
      </c>
      <c r="R1024" t="inlineStr">
        <is>
          <t>abarrotes</t>
        </is>
      </c>
      <c r="S1024" t="inlineStr">
        <is>
          <t>Café Volcán S.A.</t>
        </is>
      </c>
      <c r="T1024" t="inlineStr">
        <is>
          <t>2510-3344</t>
        </is>
      </c>
      <c r="U1024" t="n">
        <v>4.25</v>
      </c>
      <c r="V1024" t="n">
        <v>12</v>
      </c>
      <c r="W1024" t="n">
        <v>0</v>
      </c>
      <c r="X1024">
        <f>IFERROR(U1024*V1024*(1-W1024/100),"")</f>
        <v/>
      </c>
      <c r="Y1024">
        <f>IFERROR(ROUND(X1024*0.13,2),"")</f>
        <v/>
      </c>
      <c r="Z1024">
        <f>IFERROR(X1024+Y1024,"")</f>
        <v/>
      </c>
      <c r="AA1024" t="inlineStr">
        <is>
          <t>Efectivo</t>
        </is>
      </c>
      <c r="AB1024" t="inlineStr">
        <is>
          <t>Llamar al 7788-1234 antes de entregar</t>
        </is>
      </c>
    </row>
    <row r="1025">
      <c r="A1025" t="inlineStr">
        <is>
          <t>F-11259</t>
        </is>
      </c>
      <c r="B1025" s="3" t="n">
        <v>46243</v>
      </c>
      <c r="C1025" t="inlineStr">
        <is>
          <t>factura</t>
        </is>
      </c>
      <c r="D1025" t="inlineStr">
        <is>
          <t>SS03</t>
        </is>
      </c>
      <c r="E1025" t="inlineStr">
        <is>
          <t xml:space="preserve">SOYAPANGO </t>
        </is>
      </c>
      <c r="F1025" t="inlineStr">
        <is>
          <t>Blvd. del Ejército km 4</t>
        </is>
      </c>
      <c r="G1025" t="inlineStr">
        <is>
          <t>Soyapango</t>
        </is>
      </c>
      <c r="H1025" t="inlineStr">
        <is>
          <t>San Salvador</t>
        </is>
      </c>
      <c r="I1025" t="inlineStr">
        <is>
          <t>Karla Henríquez</t>
        </is>
      </c>
      <c r="J1025" t="inlineStr">
        <is>
          <t>2277-3402</t>
        </is>
      </c>
      <c r="K1025" t="inlineStr">
        <is>
          <t>Carlos Molina</t>
        </is>
      </c>
      <c r="L1025" t="inlineStr">
        <is>
          <t>Xiomara Hernández Quintanilla</t>
        </is>
      </c>
      <c r="M1025" t="inlineStr">
        <is>
          <t>06385104-8</t>
        </is>
      </c>
      <c r="N1025" t="inlineStr">
        <is>
          <t>7931-3589</t>
        </is>
      </c>
      <c r="O1025" t="inlineStr">
        <is>
          <t>Consumidor final</t>
        </is>
      </c>
      <c r="P1025" t="inlineStr">
        <is>
          <t>ARR-001</t>
        </is>
      </c>
      <c r="Q1025" t="inlineStr">
        <is>
          <t>Arroz blanco 5lb</t>
        </is>
      </c>
      <c r="R1025" t="inlineStr">
        <is>
          <t>Granos básicos</t>
        </is>
      </c>
      <c r="S1025" t="inlineStr">
        <is>
          <t>Granos del Pacífico</t>
        </is>
      </c>
      <c r="T1025" t="inlineStr">
        <is>
          <t>2234-8890</t>
        </is>
      </c>
      <c r="U1025" t="inlineStr">
        <is>
          <t>3,95</t>
        </is>
      </c>
      <c r="V1025" t="n">
        <v>4</v>
      </c>
      <c r="W1025" t="n">
        <v>0</v>
      </c>
      <c r="X1025">
        <f>IFERROR(U1025*V1025*(1-W1025/100),"")</f>
        <v/>
      </c>
      <c r="Y1025">
        <f>IFERROR(ROUND(X1025*0.13,2),"")</f>
        <v/>
      </c>
      <c r="Z1025">
        <f>IFERROR(X1025+Y1025,"")</f>
        <v/>
      </c>
      <c r="AA1025" t="inlineStr">
        <is>
          <t>Transferencia</t>
        </is>
      </c>
      <c r="AB1025" t="inlineStr">
        <is>
          <t>pagó con billete de $100</t>
        </is>
      </c>
    </row>
    <row r="1026">
      <c r="A1026" t="inlineStr">
        <is>
          <t>F-11259</t>
        </is>
      </c>
      <c r="B1026" t="inlineStr">
        <is>
          <t>09/08/2026</t>
        </is>
      </c>
      <c r="C1026" t="inlineStr">
        <is>
          <t>factura</t>
        </is>
      </c>
      <c r="D1026" t="inlineStr">
        <is>
          <t>SS03</t>
        </is>
      </c>
      <c r="E1026" t="inlineStr">
        <is>
          <t xml:space="preserve">SOYAPANGO </t>
        </is>
      </c>
      <c r="F1026" t="inlineStr">
        <is>
          <t>Blvd. del Ejército km 4</t>
        </is>
      </c>
      <c r="G1026" t="inlineStr">
        <is>
          <t>Soyapango</t>
        </is>
      </c>
      <c r="H1026" t="inlineStr">
        <is>
          <t>San Salvador</t>
        </is>
      </c>
      <c r="I1026" t="inlineStr">
        <is>
          <t>Karla Henríquez</t>
        </is>
      </c>
      <c r="J1026" t="inlineStr">
        <is>
          <t>2277-3402</t>
        </is>
      </c>
      <c r="K1026" t="inlineStr">
        <is>
          <t>Carlos Molina</t>
        </is>
      </c>
      <c r="L1026" t="inlineStr">
        <is>
          <t>Xiomara Hernández Quintanilla</t>
        </is>
      </c>
      <c r="M1026" t="inlineStr">
        <is>
          <t>06385104-8</t>
        </is>
      </c>
      <c r="N1026" t="inlineStr">
        <is>
          <t>7931-3589</t>
        </is>
      </c>
      <c r="O1026" t="inlineStr">
        <is>
          <t>Consumidor final</t>
        </is>
      </c>
      <c r="P1026" t="inlineStr">
        <is>
          <t>BEB-003</t>
        </is>
      </c>
      <c r="Q1026" t="inlineStr">
        <is>
          <t>Horchata en polvo 400g</t>
        </is>
      </c>
      <c r="R1026" t="inlineStr">
        <is>
          <t>Bebidas</t>
        </is>
      </c>
      <c r="S1026" t="inlineStr">
        <is>
          <t>Bebidas Izalco</t>
        </is>
      </c>
      <c r="T1026" t="inlineStr">
        <is>
          <t>2450-7700</t>
        </is>
      </c>
      <c r="U1026" t="inlineStr">
        <is>
          <t>2,60</t>
        </is>
      </c>
      <c r="V1026" t="n">
        <v>1</v>
      </c>
      <c r="W1026" t="n">
        <v>0</v>
      </c>
      <c r="X1026">
        <f>IFERROR(U1026*V1026*(1-W1026/100),"")</f>
        <v/>
      </c>
      <c r="Y1026">
        <f>IFERROR(ROUND(X1026*0.13,2),"")</f>
        <v/>
      </c>
      <c r="Z1026">
        <f>IFERROR(X1026+Y1026,"")</f>
        <v/>
      </c>
      <c r="AA1026" t="inlineStr">
        <is>
          <t>Transferencia</t>
        </is>
      </c>
      <c r="AB1026" t="inlineStr">
        <is>
          <t>precio especial autorizado por gerente</t>
        </is>
      </c>
    </row>
    <row r="1027">
      <c r="A1027" t="inlineStr">
        <is>
          <t>F-11259</t>
        </is>
      </c>
      <c r="B1027" s="3" t="n">
        <v>46243</v>
      </c>
      <c r="C1027" t="inlineStr">
        <is>
          <t>factura</t>
        </is>
      </c>
      <c r="D1027" t="inlineStr">
        <is>
          <t>SS03</t>
        </is>
      </c>
      <c r="E1027" t="inlineStr">
        <is>
          <t>Soyapango</t>
        </is>
      </c>
      <c r="F1027" t="inlineStr">
        <is>
          <t>Blvd. del Ejército km 4</t>
        </is>
      </c>
      <c r="G1027" t="inlineStr">
        <is>
          <t>Soyapango</t>
        </is>
      </c>
      <c r="H1027" t="inlineStr">
        <is>
          <t>San Salvador</t>
        </is>
      </c>
      <c r="I1027" t="inlineStr">
        <is>
          <t>Karla Henríquez</t>
        </is>
      </c>
      <c r="J1027" t="inlineStr">
        <is>
          <t>2277-3402</t>
        </is>
      </c>
      <c r="K1027" t="inlineStr">
        <is>
          <t>Carlos Molina</t>
        </is>
      </c>
      <c r="L1027" t="inlineStr">
        <is>
          <t>Xiomara Hernández Quintanilla</t>
        </is>
      </c>
      <c r="M1027" t="inlineStr">
        <is>
          <t>06385104-8</t>
        </is>
      </c>
      <c r="N1027" t="inlineStr">
        <is>
          <t>7931-3589</t>
        </is>
      </c>
      <c r="O1027" t="inlineStr">
        <is>
          <t>Consumidor final</t>
        </is>
      </c>
      <c r="P1027" t="inlineStr">
        <is>
          <t>PAN-003</t>
        </is>
      </c>
      <c r="Q1027" t="inlineStr">
        <is>
          <t>Quesadilla salvadoreña</t>
        </is>
      </c>
      <c r="R1027" t="inlineStr">
        <is>
          <t>PANADERIA</t>
        </is>
      </c>
      <c r="S1027" t="inlineStr">
        <is>
          <t>Panificadora Ilopango</t>
        </is>
      </c>
      <c r="T1027" t="inlineStr">
        <is>
          <t>2295-0081</t>
        </is>
      </c>
      <c r="U1027" t="n">
        <v>2.5</v>
      </c>
      <c r="V1027" t="n">
        <v>3</v>
      </c>
      <c r="W1027" t="n">
        <v>0</v>
      </c>
      <c r="X1027">
        <f>IFERROR(U1027*V1027*(1-W1027/100),"")</f>
        <v/>
      </c>
      <c r="Y1027">
        <f>IFERROR(ROUND(X1027*0.13,2),"")</f>
        <v/>
      </c>
      <c r="Z1027">
        <f>IFERROR(X1027+Y1027,"")</f>
        <v/>
      </c>
      <c r="AA1027" t="inlineStr">
        <is>
          <t>Transferencia</t>
        </is>
      </c>
      <c r="AB1027" t="inlineStr">
        <is>
          <t>precio especial autorizado por gerente</t>
        </is>
      </c>
    </row>
    <row r="1028">
      <c r="A1028" t="inlineStr">
        <is>
          <t>F-11259</t>
        </is>
      </c>
      <c r="B1028" s="3" t="n">
        <v>46243</v>
      </c>
      <c r="C1028" t="inlineStr">
        <is>
          <t>factura</t>
        </is>
      </c>
      <c r="D1028" t="inlineStr">
        <is>
          <t>SS03</t>
        </is>
      </c>
      <c r="E1028" t="inlineStr">
        <is>
          <t>soyapango</t>
        </is>
      </c>
      <c r="F1028" t="inlineStr">
        <is>
          <t>Blvd. del Ejército km 4</t>
        </is>
      </c>
      <c r="G1028" t="inlineStr">
        <is>
          <t>Soyapango</t>
        </is>
      </c>
      <c r="H1028" t="inlineStr">
        <is>
          <t>San Salvador</t>
        </is>
      </c>
      <c r="I1028" t="inlineStr">
        <is>
          <t>Karla Henríquez</t>
        </is>
      </c>
      <c r="J1028" t="inlineStr">
        <is>
          <t>2277-3402</t>
        </is>
      </c>
      <c r="K1028" t="inlineStr">
        <is>
          <t>Carlos Molina</t>
        </is>
      </c>
      <c r="L1028" t="inlineStr">
        <is>
          <t>Xiomara Hernández Quintanilla</t>
        </is>
      </c>
      <c r="M1028" t="inlineStr">
        <is>
          <t>06385104-8</t>
        </is>
      </c>
      <c r="N1028" t="inlineStr">
        <is>
          <t>7931-3589</t>
        </is>
      </c>
      <c r="O1028" t="inlineStr">
        <is>
          <t>Consumidor final</t>
        </is>
      </c>
      <c r="P1028" t="inlineStr">
        <is>
          <t>LAC-002</t>
        </is>
      </c>
      <c r="Q1028" t="inlineStr">
        <is>
          <t>Crema 500ml</t>
        </is>
      </c>
      <c r="R1028" t="inlineStr">
        <is>
          <t>Lácteos</t>
        </is>
      </c>
      <c r="S1028" t="inlineStr">
        <is>
          <t>Lácteos Chalate</t>
        </is>
      </c>
      <c r="T1028" t="inlineStr">
        <is>
          <t>2335-1020</t>
        </is>
      </c>
      <c r="U1028" t="n">
        <v>2.25</v>
      </c>
      <c r="V1028" t="n">
        <v>3</v>
      </c>
      <c r="W1028" t="n">
        <v>0</v>
      </c>
      <c r="X1028">
        <f>IFERROR(U1028*V1028*(1-W1028/100),"")</f>
        <v/>
      </c>
      <c r="Y1028">
        <f>IFERROR(ROUND(X1028*0.13,2),"")</f>
        <v/>
      </c>
      <c r="Z1028">
        <f>IFERROR(X1028+Y1028,"")</f>
        <v/>
      </c>
      <c r="AA1028" t="inlineStr">
        <is>
          <t>Transferencia</t>
        </is>
      </c>
      <c r="AB1028" t="inlineStr"/>
    </row>
    <row r="1029">
      <c r="A1029" t="inlineStr">
        <is>
          <t>F-11261</t>
        </is>
      </c>
      <c r="B1029" t="inlineStr">
        <is>
          <t>04/07/2026</t>
        </is>
      </c>
      <c r="C1029" t="inlineStr">
        <is>
          <t>factura</t>
        </is>
      </c>
      <c r="D1029" t="inlineStr">
        <is>
          <t>SA01</t>
        </is>
      </c>
      <c r="E1029" t="inlineStr">
        <is>
          <t>Santa Ana</t>
        </is>
      </c>
      <c r="F1029" t="inlineStr">
        <is>
          <t>Av. Independencia Sur #12</t>
        </is>
      </c>
      <c r="G1029" t="inlineStr">
        <is>
          <t>Santa Ana</t>
        </is>
      </c>
      <c r="H1029" t="inlineStr">
        <is>
          <t>Santa Ana</t>
        </is>
      </c>
      <c r="I1029" t="inlineStr">
        <is>
          <t>Mauricio Linares</t>
        </is>
      </c>
      <c r="J1029" t="inlineStr">
        <is>
          <t>2440-9921</t>
        </is>
      </c>
      <c r="K1029" t="inlineStr">
        <is>
          <t>Diego Zelaya</t>
        </is>
      </c>
      <c r="L1029" t="inlineStr">
        <is>
          <t>Héctor Hernández Quintanilla</t>
        </is>
      </c>
      <c r="M1029" t="inlineStr">
        <is>
          <t>05302669-9</t>
        </is>
      </c>
      <c r="N1029" t="inlineStr">
        <is>
          <t>2708-8580</t>
        </is>
      </c>
      <c r="O1029" t="inlineStr">
        <is>
          <t>Consumidor final</t>
        </is>
      </c>
      <c r="P1029" t="inlineStr">
        <is>
          <t>BEB-001</t>
        </is>
      </c>
      <c r="Q1029" t="inlineStr">
        <is>
          <t>Gaseosa 2.5L</t>
        </is>
      </c>
      <c r="R1029" t="inlineStr">
        <is>
          <t>bebidas</t>
        </is>
      </c>
      <c r="S1029" t="inlineStr">
        <is>
          <t>Bebidas Izalco</t>
        </is>
      </c>
      <c r="T1029" t="inlineStr">
        <is>
          <t>2450-7700</t>
        </is>
      </c>
      <c r="U1029" t="n">
        <v>1.95</v>
      </c>
      <c r="V1029" t="n">
        <v>4</v>
      </c>
      <c r="W1029" t="n">
        <v>0</v>
      </c>
      <c r="X1029">
        <f>IFERROR(U1029*V1029*(1-W1029/100),"")</f>
        <v/>
      </c>
      <c r="Y1029">
        <f>IFERROR(ROUND(X1029*0.13,2),"")</f>
        <v/>
      </c>
      <c r="Z1029">
        <f>IFERROR(X1029+Y1029,"")</f>
        <v/>
      </c>
      <c r="AA1029" t="inlineStr">
        <is>
          <t>Efectivo</t>
        </is>
      </c>
      <c r="AB1029" t="inlineStr"/>
    </row>
    <row r="1030">
      <c r="A1030" t="inlineStr">
        <is>
          <t>F-11261</t>
        </is>
      </c>
      <c r="B1030" s="3" t="n">
        <v>46207</v>
      </c>
      <c r="C1030" t="inlineStr">
        <is>
          <t>factura</t>
        </is>
      </c>
      <c r="D1030" t="inlineStr">
        <is>
          <t>SA01</t>
        </is>
      </c>
      <c r="E1030" t="inlineStr">
        <is>
          <t>Santa  Ana</t>
        </is>
      </c>
      <c r="F1030" t="inlineStr">
        <is>
          <t>Av. Independencia Sur #12</t>
        </is>
      </c>
      <c r="G1030" t="inlineStr">
        <is>
          <t>Santa Ana</t>
        </is>
      </c>
      <c r="H1030" t="inlineStr">
        <is>
          <t>Santa Ana</t>
        </is>
      </c>
      <c r="I1030" t="inlineStr">
        <is>
          <t>Mauricio Linares</t>
        </is>
      </c>
      <c r="J1030" t="inlineStr">
        <is>
          <t>2440-9921</t>
        </is>
      </c>
      <c r="K1030" t="inlineStr">
        <is>
          <t>Diego Zelaya</t>
        </is>
      </c>
      <c r="L1030" t="inlineStr">
        <is>
          <t>Héctor Hernández Quintanilla</t>
        </is>
      </c>
      <c r="M1030" t="inlineStr">
        <is>
          <t>05302669-9</t>
        </is>
      </c>
      <c r="N1030" t="inlineStr">
        <is>
          <t>2708-8580</t>
        </is>
      </c>
      <c r="O1030" t="inlineStr">
        <is>
          <t>Consumidor final</t>
        </is>
      </c>
      <c r="P1030" t="inlineStr">
        <is>
          <t>LAC-001</t>
        </is>
      </c>
      <c r="Q1030" t="inlineStr">
        <is>
          <t>Quesillo 1lb</t>
        </is>
      </c>
      <c r="R1030" t="inlineStr">
        <is>
          <t>Lácteos</t>
        </is>
      </c>
      <c r="S1030" t="inlineStr">
        <is>
          <t>Lácteos Chalate</t>
        </is>
      </c>
      <c r="T1030" t="inlineStr">
        <is>
          <t>7120-4455</t>
        </is>
      </c>
      <c r="U1030" t="n">
        <v>3.8</v>
      </c>
      <c r="V1030" t="n">
        <v>4</v>
      </c>
      <c r="W1030" t="n">
        <v>0</v>
      </c>
      <c r="X1030">
        <f>IFERROR(U1030*V1030*(1-W1030/100),"")</f>
        <v/>
      </c>
      <c r="Y1030">
        <f>IFERROR(ROUND(X1030*0.13,2),"")</f>
        <v/>
      </c>
      <c r="Z1030">
        <f>IFERROR(X1030+Y1030,"")</f>
        <v/>
      </c>
      <c r="AA1030" t="inlineStr">
        <is>
          <t>Efectivo</t>
        </is>
      </c>
      <c r="AB1030" t="inlineStr"/>
    </row>
    <row r="1031">
      <c r="A1031" t="inlineStr">
        <is>
          <t>F-11264</t>
        </is>
      </c>
      <c r="B1031" t="inlineStr">
        <is>
          <t>22/08/2026</t>
        </is>
      </c>
      <c r="C1031" t="inlineStr">
        <is>
          <t>factura</t>
        </is>
      </c>
      <c r="D1031" t="inlineStr">
        <is>
          <t>LL02</t>
        </is>
      </c>
      <c r="E1031" t="inlineStr">
        <is>
          <t>Pto. La Libertad</t>
        </is>
      </c>
      <c r="F1031" t="inlineStr">
        <is>
          <t>Calle El Malecón, Local 4</t>
        </is>
      </c>
      <c r="G1031" t="inlineStr">
        <is>
          <t>La Libertad</t>
        </is>
      </c>
      <c r="H1031" t="inlineStr">
        <is>
          <t>La Libertad</t>
        </is>
      </c>
      <c r="I1031" t="inlineStr">
        <is>
          <t>Wendy Aguilar</t>
        </is>
      </c>
      <c r="J1031" t="inlineStr">
        <is>
          <t>2335-6140</t>
        </is>
      </c>
      <c r="K1031" t="inlineStr">
        <is>
          <t>Gabriela Saravia</t>
        </is>
      </c>
      <c r="L1031" t="inlineStr">
        <is>
          <t>Douglas Hernández Argueta</t>
        </is>
      </c>
      <c r="M1031" t="inlineStr">
        <is>
          <t>04449700-5</t>
        </is>
      </c>
      <c r="N1031" t="inlineStr">
        <is>
          <t>7632-6201</t>
        </is>
      </c>
      <c r="O1031" t="inlineStr">
        <is>
          <t>Consumidor final</t>
        </is>
      </c>
      <c r="P1031" t="inlineStr">
        <is>
          <t>CAF-002</t>
        </is>
      </c>
      <c r="Q1031" t="inlineStr">
        <is>
          <t>Café en grano 1lb</t>
        </is>
      </c>
      <c r="R1031" t="inlineStr">
        <is>
          <t>Abarrotes</t>
        </is>
      </c>
      <c r="S1031" t="inlineStr">
        <is>
          <t>Café Volcán S.A.</t>
        </is>
      </c>
      <c r="T1031" t="inlineStr">
        <is>
          <t>2510-3344</t>
        </is>
      </c>
      <c r="U1031" t="inlineStr">
        <is>
          <t>6,75</t>
        </is>
      </c>
      <c r="V1031" t="n">
        <v>24</v>
      </c>
      <c r="W1031" t="n">
        <v>0</v>
      </c>
      <c r="X1031">
        <f>IFERROR(U1031*V1031*(1-W1031/100),"")</f>
        <v/>
      </c>
      <c r="Y1031">
        <f>IFERROR(ROUND(X1031*0.13,2),"")</f>
        <v/>
      </c>
      <c r="Z1031">
        <f>IFERROR(X1031+Y1031,"")</f>
        <v/>
      </c>
      <c r="AA1031" t="inlineStr">
        <is>
          <t>Efectivo</t>
        </is>
      </c>
      <c r="AB1031" t="inlineStr"/>
    </row>
    <row r="1032">
      <c r="A1032" t="inlineStr">
        <is>
          <t>F-11264</t>
        </is>
      </c>
      <c r="B1032" s="3" t="n">
        <v>46256</v>
      </c>
      <c r="C1032" t="inlineStr">
        <is>
          <t>factura</t>
        </is>
      </c>
      <c r="D1032" t="inlineStr">
        <is>
          <t>LL02</t>
        </is>
      </c>
      <c r="E1032" t="inlineStr">
        <is>
          <t>La Libertad Puerto</t>
        </is>
      </c>
      <c r="F1032" t="inlineStr">
        <is>
          <t>Calle El Malecón, Local 4</t>
        </is>
      </c>
      <c r="G1032" t="inlineStr">
        <is>
          <t>La Libertad</t>
        </is>
      </c>
      <c r="H1032" t="inlineStr">
        <is>
          <t>La Libertad</t>
        </is>
      </c>
      <c r="I1032" t="inlineStr">
        <is>
          <t>Wendy Aguilar</t>
        </is>
      </c>
      <c r="J1032" t="inlineStr">
        <is>
          <t>2335-6140</t>
        </is>
      </c>
      <c r="K1032" t="inlineStr">
        <is>
          <t>Gabriela Saravia</t>
        </is>
      </c>
      <c r="L1032" t="inlineStr">
        <is>
          <t>Douglas Hernández Argueta</t>
        </is>
      </c>
      <c r="M1032" t="inlineStr">
        <is>
          <t>04449700-5</t>
        </is>
      </c>
      <c r="N1032" t="inlineStr">
        <is>
          <t>7632-6201</t>
        </is>
      </c>
      <c r="O1032" t="inlineStr">
        <is>
          <t>Consumidor final</t>
        </is>
      </c>
      <c r="P1032" t="inlineStr">
        <is>
          <t>HIG-002</t>
        </is>
      </c>
      <c r="Q1032" t="inlineStr">
        <is>
          <t>Papel higiénico 4 rollos</t>
        </is>
      </c>
      <c r="R1032" t="inlineStr">
        <is>
          <t>Limpieza</t>
        </is>
      </c>
      <c r="S1032" t="inlineStr">
        <is>
          <t>Higiene Total C.A.</t>
        </is>
      </c>
      <c r="T1032" t="inlineStr">
        <is>
          <t>2207-5566</t>
        </is>
      </c>
      <c r="U1032" t="n">
        <v>2.15</v>
      </c>
      <c r="V1032" t="n">
        <v>4</v>
      </c>
      <c r="W1032" t="n">
        <v>0</v>
      </c>
      <c r="X1032">
        <f>IFERROR(U1032*V1032*(1-W1032/100),"")</f>
        <v/>
      </c>
      <c r="Y1032">
        <f>IFERROR(ROUND(X1032*0.13,2),"")</f>
        <v/>
      </c>
      <c r="Z1032">
        <f>IFERROR(X1032+Y1032,"")</f>
        <v/>
      </c>
      <c r="AA1032" t="inlineStr">
        <is>
          <t>Efectivo</t>
        </is>
      </c>
      <c r="AB1032" t="inlineStr">
        <is>
          <t>Llamar al 7788-1234 antes de entregar</t>
        </is>
      </c>
    </row>
    <row r="1033">
      <c r="A1033" t="inlineStr">
        <is>
          <t>F-11264</t>
        </is>
      </c>
      <c r="B1033" s="3" t="n">
        <v>46256</v>
      </c>
      <c r="C1033" t="inlineStr">
        <is>
          <t>factura</t>
        </is>
      </c>
      <c r="D1033" t="inlineStr">
        <is>
          <t>LL02</t>
        </is>
      </c>
      <c r="E1033" t="inlineStr">
        <is>
          <t>La Libertad Puerto</t>
        </is>
      </c>
      <c r="F1033" t="inlineStr">
        <is>
          <t>Calle El Malecón, Local 4</t>
        </is>
      </c>
      <c r="G1033" t="inlineStr">
        <is>
          <t>La Libertad</t>
        </is>
      </c>
      <c r="H1033" t="inlineStr">
        <is>
          <t>La Libertad</t>
        </is>
      </c>
      <c r="I1033" t="inlineStr">
        <is>
          <t>Wendy Aguilar</t>
        </is>
      </c>
      <c r="J1033" t="inlineStr">
        <is>
          <t>2335-6140</t>
        </is>
      </c>
      <c r="K1033" t="inlineStr">
        <is>
          <t>Gabriela Saravia</t>
        </is>
      </c>
      <c r="L1033" t="inlineStr">
        <is>
          <t>Douglas Hernández Argueta</t>
        </is>
      </c>
      <c r="M1033" t="inlineStr">
        <is>
          <t>04449700-5</t>
        </is>
      </c>
      <c r="N1033" t="inlineStr">
        <is>
          <t>7632-6201</t>
        </is>
      </c>
      <c r="O1033" t="inlineStr">
        <is>
          <t>Consumidor final</t>
        </is>
      </c>
      <c r="P1033" t="inlineStr">
        <is>
          <t>PAN-001</t>
        </is>
      </c>
      <c r="Q1033" t="inlineStr">
        <is>
          <t>Pan francés bolsa 10u</t>
        </is>
      </c>
      <c r="R1033" t="inlineStr">
        <is>
          <t>Panadería</t>
        </is>
      </c>
      <c r="S1033" t="inlineStr">
        <is>
          <t>Panificadora Ilopango</t>
        </is>
      </c>
      <c r="T1033" t="inlineStr">
        <is>
          <t>2295-0081</t>
        </is>
      </c>
      <c r="U1033" t="n">
        <v>1</v>
      </c>
      <c r="V1033" t="n">
        <v>24</v>
      </c>
      <c r="W1033" t="n">
        <v>0</v>
      </c>
      <c r="X1033">
        <f>IFERROR(U1033*V1033*(1-W1033/100),"")</f>
        <v/>
      </c>
      <c r="Y1033">
        <f>IFERROR(ROUND(X1033*0.13,2),"")</f>
        <v/>
      </c>
      <c r="Z1033">
        <f>IFERROR(X1033+Y1033,"")</f>
        <v/>
      </c>
      <c r="AA1033" t="inlineStr">
        <is>
          <t>Efectivo</t>
        </is>
      </c>
      <c r="AB1033" t="inlineStr">
        <is>
          <t>Cliente frecuente</t>
        </is>
      </c>
    </row>
    <row r="1034">
      <c r="A1034" t="inlineStr">
        <is>
          <t>F-11264</t>
        </is>
      </c>
      <c r="B1034" s="3" t="n">
        <v>46256</v>
      </c>
      <c r="C1034" t="inlineStr">
        <is>
          <t>factura</t>
        </is>
      </c>
      <c r="D1034" t="inlineStr">
        <is>
          <t>LL02</t>
        </is>
      </c>
      <c r="E1034" t="inlineStr">
        <is>
          <t>Pto. La Libertad</t>
        </is>
      </c>
      <c r="F1034" t="inlineStr">
        <is>
          <t>Calle El Malecón, Local 4</t>
        </is>
      </c>
      <c r="G1034" t="inlineStr">
        <is>
          <t>La Libertad</t>
        </is>
      </c>
      <c r="H1034" t="inlineStr">
        <is>
          <t>La Libertad</t>
        </is>
      </c>
      <c r="I1034" t="inlineStr">
        <is>
          <t>Wendy Aguilar</t>
        </is>
      </c>
      <c r="J1034" t="inlineStr">
        <is>
          <t>2335-6140</t>
        </is>
      </c>
      <c r="K1034" t="inlineStr">
        <is>
          <t>Gabriela Saravia</t>
        </is>
      </c>
      <c r="L1034" t="inlineStr">
        <is>
          <t>Douglas Hernández Argueta</t>
        </is>
      </c>
      <c r="M1034" t="inlineStr">
        <is>
          <t>04449700-5</t>
        </is>
      </c>
      <c r="N1034" t="inlineStr">
        <is>
          <t>7632-6201</t>
        </is>
      </c>
      <c r="O1034" t="inlineStr">
        <is>
          <t>Consumidor final</t>
        </is>
      </c>
      <c r="P1034" t="inlineStr">
        <is>
          <t>FRI-001</t>
        </is>
      </c>
      <c r="Q1034" t="inlineStr">
        <is>
          <t>Frijol rojo de seda 2lb</t>
        </is>
      </c>
      <c r="R1034" t="inlineStr">
        <is>
          <t>Granos básicos</t>
        </is>
      </c>
      <c r="S1034" t="inlineStr">
        <is>
          <t>Granos del Pacífico</t>
        </is>
      </c>
      <c r="T1034" t="inlineStr">
        <is>
          <t>2234-8890</t>
        </is>
      </c>
      <c r="U1034" t="n">
        <v>2.4</v>
      </c>
      <c r="V1034" t="n">
        <v>24</v>
      </c>
      <c r="W1034" t="n">
        <v>0</v>
      </c>
      <c r="X1034">
        <f>IFERROR(U1034*V1034*(1-W1034/100),"")</f>
        <v/>
      </c>
      <c r="Y1034">
        <f>IFERROR(ROUND(X1034*0.13,2),"")</f>
        <v/>
      </c>
      <c r="Z1034">
        <f>IFERROR(X1034+Y1034,"")</f>
        <v/>
      </c>
      <c r="AA1034" t="inlineStr">
        <is>
          <t>Efectivo</t>
        </is>
      </c>
      <c r="AB1034" t="inlineStr"/>
    </row>
    <row r="1035">
      <c r="A1035" t="inlineStr">
        <is>
          <t>F-11267</t>
        </is>
      </c>
      <c r="B1035" t="inlineStr">
        <is>
          <t>17/07/2026</t>
        </is>
      </c>
      <c r="C1035" t="inlineStr">
        <is>
          <t>CCF</t>
        </is>
      </c>
      <c r="D1035" t="inlineStr">
        <is>
          <t>SS01</t>
        </is>
      </c>
      <c r="E1035" t="inlineStr">
        <is>
          <t xml:space="preserve">san salvador centro </t>
        </is>
      </c>
      <c r="F1035" t="inlineStr">
        <is>
          <t>4a Calle Poniente #215</t>
        </is>
      </c>
      <c r="G1035" t="inlineStr">
        <is>
          <t>San Salvador</t>
        </is>
      </c>
      <c r="H1035" t="inlineStr">
        <is>
          <t>San Salvador</t>
        </is>
      </c>
      <c r="I1035" t="inlineStr">
        <is>
          <t>Roberto Alfaro</t>
        </is>
      </c>
      <c r="J1035" t="inlineStr">
        <is>
          <t>2221-4580</t>
        </is>
      </c>
      <c r="K1035" t="inlineStr">
        <is>
          <t>José Martínez</t>
        </is>
      </c>
      <c r="L1035" t="inlineStr">
        <is>
          <t>Pupusería El Comal</t>
        </is>
      </c>
      <c r="M1035" t="inlineStr">
        <is>
          <t>261664-6</t>
        </is>
      </c>
      <c r="N1035" t="inlineStr">
        <is>
          <t>6293-1154</t>
        </is>
      </c>
      <c r="O1035" t="inlineStr">
        <is>
          <t>Contribuyente</t>
        </is>
      </c>
      <c r="P1035" t="inlineStr">
        <is>
          <t>PAN-001</t>
        </is>
      </c>
      <c r="Q1035" t="inlineStr">
        <is>
          <t>Pan francés bolsa 10u</t>
        </is>
      </c>
      <c r="R1035" t="inlineStr">
        <is>
          <t>Panadería</t>
        </is>
      </c>
      <c r="S1035" t="inlineStr">
        <is>
          <t>Panificadora Ilopango</t>
        </is>
      </c>
      <c r="T1035" t="inlineStr">
        <is>
          <t>2295-0081</t>
        </is>
      </c>
      <c r="U1035" t="n">
        <v>1</v>
      </c>
      <c r="V1035" t="n">
        <v>1</v>
      </c>
      <c r="W1035" t="n">
        <v>5</v>
      </c>
      <c r="X1035">
        <f>IFERROR(U1035*V1035*(1-W1035/100),"")</f>
        <v/>
      </c>
      <c r="Y1035">
        <f>IFERROR(ROUND(X1035*0.13,2),"")</f>
        <v/>
      </c>
      <c r="Z1035">
        <f>IFERROR(X1035+Y1035,"")</f>
        <v/>
      </c>
      <c r="AA1035" t="inlineStr">
        <is>
          <t>Tarjeta</t>
        </is>
      </c>
      <c r="AB1035" t="inlineStr"/>
    </row>
    <row r="1036">
      <c r="A1036" t="inlineStr">
        <is>
          <t>F-11267</t>
        </is>
      </c>
      <c r="B1036" s="3" t="n">
        <v>46220</v>
      </c>
      <c r="C1036" t="inlineStr">
        <is>
          <t>CCF</t>
        </is>
      </c>
      <c r="D1036" t="inlineStr">
        <is>
          <t>SS01</t>
        </is>
      </c>
      <c r="E1036" t="inlineStr">
        <is>
          <t>SAN SALVADOR CENTRO</t>
        </is>
      </c>
      <c r="F1036" t="inlineStr">
        <is>
          <t>4a Calle Poniente #215</t>
        </is>
      </c>
      <c r="G1036" t="inlineStr">
        <is>
          <t>San Salvador</t>
        </is>
      </c>
      <c r="H1036" t="inlineStr">
        <is>
          <t>San Salvador</t>
        </is>
      </c>
      <c r="I1036" t="inlineStr">
        <is>
          <t>Roberto Alfaro</t>
        </is>
      </c>
      <c r="J1036" t="inlineStr">
        <is>
          <t>2221-4580</t>
        </is>
      </c>
      <c r="K1036" t="inlineStr">
        <is>
          <t>José Martínez</t>
        </is>
      </c>
      <c r="L1036" t="inlineStr">
        <is>
          <t>Pupusería El Comal</t>
        </is>
      </c>
      <c r="M1036" t="inlineStr">
        <is>
          <t>261664-6</t>
        </is>
      </c>
      <c r="N1036" t="inlineStr">
        <is>
          <t>6293-1154</t>
        </is>
      </c>
      <c r="O1036" t="inlineStr">
        <is>
          <t>Contribuyente</t>
        </is>
      </c>
      <c r="P1036" t="inlineStr">
        <is>
          <t>HIG-002</t>
        </is>
      </c>
      <c r="Q1036" t="inlineStr">
        <is>
          <t>Papel higiénico 4 rollos</t>
        </is>
      </c>
      <c r="R1036" t="inlineStr">
        <is>
          <t>Higiene</t>
        </is>
      </c>
      <c r="S1036" t="inlineStr">
        <is>
          <t>Higiene Total C.A.</t>
        </is>
      </c>
      <c r="T1036" t="inlineStr">
        <is>
          <t>2207-5566</t>
        </is>
      </c>
      <c r="U1036" t="n">
        <v>2.15</v>
      </c>
      <c r="V1036" t="n">
        <v>12</v>
      </c>
      <c r="W1036" t="n">
        <v>10</v>
      </c>
      <c r="X1036">
        <f>IFERROR(U1036*V1036*(1-W1036/100),"")</f>
        <v/>
      </c>
      <c r="Y1036">
        <f>IFERROR(ROUND(X1036*0.13,2),"")</f>
        <v/>
      </c>
      <c r="Z1036">
        <f>IFERROR(X1036+Y1036,"")</f>
        <v/>
      </c>
      <c r="AA1036" t="inlineStr">
        <is>
          <t>Tarjeta</t>
        </is>
      </c>
      <c r="AB1036" t="inlineStr">
        <is>
          <t>pagó con billete de $100</t>
        </is>
      </c>
    </row>
    <row r="1037">
      <c r="A1037" t="inlineStr">
        <is>
          <t>F-11267</t>
        </is>
      </c>
      <c r="B1037" s="3" t="n">
        <v>46220</v>
      </c>
      <c r="C1037" t="inlineStr">
        <is>
          <t>CCF</t>
        </is>
      </c>
      <c r="D1037" t="inlineStr">
        <is>
          <t>SS01</t>
        </is>
      </c>
      <c r="E1037" t="inlineStr">
        <is>
          <t>SAN SALVADOR CENTRO</t>
        </is>
      </c>
      <c r="F1037" t="inlineStr">
        <is>
          <t>4a Calle Poniente #215</t>
        </is>
      </c>
      <c r="G1037" t="inlineStr">
        <is>
          <t>San Salvador</t>
        </is>
      </c>
      <c r="H1037" t="inlineStr">
        <is>
          <t>San Salvador</t>
        </is>
      </c>
      <c r="I1037" t="inlineStr">
        <is>
          <t>Roberto Alfaro</t>
        </is>
      </c>
      <c r="J1037" t="inlineStr">
        <is>
          <t>2221-4580</t>
        </is>
      </c>
      <c r="K1037" t="inlineStr">
        <is>
          <t>José Martínez</t>
        </is>
      </c>
      <c r="L1037" t="inlineStr">
        <is>
          <t>Pupusería El Comal</t>
        </is>
      </c>
      <c r="M1037" t="inlineStr">
        <is>
          <t>261664-6</t>
        </is>
      </c>
      <c r="N1037" t="inlineStr">
        <is>
          <t>6293-1154</t>
        </is>
      </c>
      <c r="O1037" t="inlineStr">
        <is>
          <t>Contribuyente</t>
        </is>
      </c>
      <c r="P1037" t="inlineStr">
        <is>
          <t>CAF-001</t>
        </is>
      </c>
      <c r="Q1037" t="inlineStr">
        <is>
          <t>Café molido 400g</t>
        </is>
      </c>
      <c r="R1037" t="inlineStr">
        <is>
          <t>abarrotes</t>
        </is>
      </c>
      <c r="S1037" t="inlineStr">
        <is>
          <t>Café Volcán S.A.</t>
        </is>
      </c>
      <c r="T1037" t="inlineStr">
        <is>
          <t>2510-3344</t>
        </is>
      </c>
      <c r="U1037" t="n">
        <v>4.25</v>
      </c>
      <c r="V1037" t="n">
        <v>2</v>
      </c>
      <c r="W1037" t="n">
        <v>5</v>
      </c>
      <c r="X1037">
        <f>IFERROR(U1037*V1037*(1-W1037/100),"")</f>
        <v/>
      </c>
      <c r="Y1037">
        <f>IFERROR(ROUND(X1037*0.13,2),"")</f>
        <v/>
      </c>
      <c r="Z1037">
        <f>IFERROR(X1037+Y1037,"")</f>
        <v/>
      </c>
      <c r="AA1037" t="inlineStr">
        <is>
          <t>Tarjeta</t>
        </is>
      </c>
      <c r="AB1037" t="inlineStr">
        <is>
          <t>precio especial autorizado por gerente</t>
        </is>
      </c>
    </row>
    <row r="1038">
      <c r="A1038" t="inlineStr">
        <is>
          <t>F-11267</t>
        </is>
      </c>
      <c r="B1038" s="3" t="n">
        <v>46220</v>
      </c>
      <c r="C1038" t="inlineStr">
        <is>
          <t>CCF</t>
        </is>
      </c>
      <c r="D1038" t="inlineStr">
        <is>
          <t>SS01</t>
        </is>
      </c>
      <c r="E1038" t="inlineStr">
        <is>
          <t>San Salvador Centro</t>
        </is>
      </c>
      <c r="F1038" t="inlineStr">
        <is>
          <t>4a Calle Poniente #215</t>
        </is>
      </c>
      <c r="G1038" t="inlineStr">
        <is>
          <t>San Salvador</t>
        </is>
      </c>
      <c r="H1038" t="inlineStr">
        <is>
          <t>San Salvador</t>
        </is>
      </c>
      <c r="I1038" t="inlineStr">
        <is>
          <t>Roberto Alfaro</t>
        </is>
      </c>
      <c r="J1038" t="inlineStr">
        <is>
          <t>2221-4580</t>
        </is>
      </c>
      <c r="K1038" t="inlineStr">
        <is>
          <t>José Martínez</t>
        </is>
      </c>
      <c r="L1038" t="inlineStr">
        <is>
          <t>Pupusería El Comal</t>
        </is>
      </c>
      <c r="M1038" t="inlineStr">
        <is>
          <t>261664-6</t>
        </is>
      </c>
      <c r="N1038" t="inlineStr">
        <is>
          <t>6293-1154</t>
        </is>
      </c>
      <c r="O1038" t="inlineStr">
        <is>
          <t>Contribuyente</t>
        </is>
      </c>
      <c r="P1038" t="inlineStr">
        <is>
          <t>ARR-001</t>
        </is>
      </c>
      <c r="Q1038" t="inlineStr">
        <is>
          <t>Arroz blanco 5lb</t>
        </is>
      </c>
      <c r="R1038" t="inlineStr">
        <is>
          <t>Abarrotes</t>
        </is>
      </c>
      <c r="S1038" t="inlineStr">
        <is>
          <t>Granos del Pacífico</t>
        </is>
      </c>
      <c r="T1038" t="inlineStr">
        <is>
          <t>2234-8890</t>
        </is>
      </c>
      <c r="U1038" t="n">
        <v>3.95</v>
      </c>
      <c r="V1038" t="n">
        <v>2</v>
      </c>
      <c r="W1038" t="n">
        <v>0</v>
      </c>
      <c r="X1038">
        <f>IFERROR(U1038*V1038*(1-W1038/100),"")</f>
        <v/>
      </c>
      <c r="Y1038">
        <f>IFERROR(ROUND(X1038*0.13,2),"")</f>
        <v/>
      </c>
      <c r="Z1038">
        <f>IFERROR(X1038+Y1038,"")</f>
        <v/>
      </c>
      <c r="AA1038" t="inlineStr">
        <is>
          <t>Tarjeta</t>
        </is>
      </c>
      <c r="AB1038" t="inlineStr"/>
    </row>
    <row r="1039">
      <c r="A1039" t="inlineStr">
        <is>
          <t>F-11270</t>
        </is>
      </c>
      <c r="B1039" s="3" t="n">
        <v>46280</v>
      </c>
      <c r="C1039" t="inlineStr">
        <is>
          <t>CCF</t>
        </is>
      </c>
      <c r="D1039" t="inlineStr">
        <is>
          <t>SA01</t>
        </is>
      </c>
      <c r="E1039" t="inlineStr">
        <is>
          <t>Santa  Ana</t>
        </is>
      </c>
      <c r="F1039" t="inlineStr">
        <is>
          <t>Av. Independencia Sur #12</t>
        </is>
      </c>
      <c r="G1039" t="inlineStr">
        <is>
          <t>Santa Ana</t>
        </is>
      </c>
      <c r="H1039" t="inlineStr">
        <is>
          <t>Santa Ana</t>
        </is>
      </c>
      <c r="I1039" t="inlineStr">
        <is>
          <t>Verónica Sandoval</t>
        </is>
      </c>
      <c r="J1039" t="inlineStr">
        <is>
          <t>2440-9921</t>
        </is>
      </c>
      <c r="K1039" t="inlineStr">
        <is>
          <t>Diego Zelaya</t>
        </is>
      </c>
      <c r="L1039" t="inlineStr">
        <is>
          <t>Pupusería El Comal</t>
        </is>
      </c>
      <c r="M1039" t="inlineStr">
        <is>
          <t>261664-6</t>
        </is>
      </c>
      <c r="N1039" t="inlineStr">
        <is>
          <t>6293-1154</t>
        </is>
      </c>
      <c r="O1039" t="inlineStr">
        <is>
          <t>Contribuyente</t>
        </is>
      </c>
      <c r="P1039" t="inlineStr">
        <is>
          <t>LAC-001</t>
        </is>
      </c>
      <c r="Q1039" t="inlineStr">
        <is>
          <t>Quesillo 1lb</t>
        </is>
      </c>
      <c r="R1039" t="inlineStr">
        <is>
          <t>Lacteos</t>
        </is>
      </c>
      <c r="S1039" t="inlineStr">
        <is>
          <t>Lácteos Chalate</t>
        </is>
      </c>
      <c r="T1039" t="inlineStr">
        <is>
          <t>2335-1020</t>
        </is>
      </c>
      <c r="U1039" t="inlineStr">
        <is>
          <t>$3.80</t>
        </is>
      </c>
      <c r="V1039" t="n">
        <v>2</v>
      </c>
      <c r="W1039" t="n">
        <v>0</v>
      </c>
      <c r="X1039">
        <f>IFERROR(U1039*V1039*(1-W1039/100),"")</f>
        <v/>
      </c>
      <c r="Y1039">
        <f>IFERROR(ROUND(X1039*0.13,2),"")</f>
        <v/>
      </c>
      <c r="Z1039">
        <f>IFERROR(X1039+Y1039,"")</f>
        <v/>
      </c>
      <c r="AA1039" t="inlineStr">
        <is>
          <t>Efectivo</t>
        </is>
      </c>
      <c r="AB1039" t="inlineStr"/>
    </row>
    <row r="1040">
      <c r="A1040" t="inlineStr">
        <is>
          <t>F-11270</t>
        </is>
      </c>
      <c r="B1040" s="3" t="n">
        <v>46280</v>
      </c>
      <c r="C1040" t="inlineStr">
        <is>
          <t>CCF</t>
        </is>
      </c>
      <c r="D1040" t="inlineStr">
        <is>
          <t>SA01</t>
        </is>
      </c>
      <c r="E1040" t="inlineStr">
        <is>
          <t>Santa Ana</t>
        </is>
      </c>
      <c r="F1040" t="inlineStr">
        <is>
          <t>Av. Independencia Sur #12</t>
        </is>
      </c>
      <c r="G1040" t="inlineStr">
        <is>
          <t>Santa Ana</t>
        </is>
      </c>
      <c r="H1040" t="inlineStr">
        <is>
          <t>Santa Ana</t>
        </is>
      </c>
      <c r="I1040" t="inlineStr">
        <is>
          <t>Mauricio Linares</t>
        </is>
      </c>
      <c r="J1040" t="inlineStr">
        <is>
          <t>2440-9921</t>
        </is>
      </c>
      <c r="K1040" t="inlineStr">
        <is>
          <t>Diego Zelaya</t>
        </is>
      </c>
      <c r="L1040" t="inlineStr">
        <is>
          <t>Pupusería El Comal</t>
        </is>
      </c>
      <c r="M1040" t="inlineStr">
        <is>
          <t>261664-6</t>
        </is>
      </c>
      <c r="N1040" t="inlineStr">
        <is>
          <t>6293-1154</t>
        </is>
      </c>
      <c r="O1040" t="inlineStr">
        <is>
          <t>Contribuyente</t>
        </is>
      </c>
      <c r="P1040" t="inlineStr">
        <is>
          <t>HIG-003</t>
        </is>
      </c>
      <c r="Q1040" t="inlineStr">
        <is>
          <t>Jabón de lavar barra</t>
        </is>
      </c>
      <c r="R1040" t="inlineStr">
        <is>
          <t>Limpieza</t>
        </is>
      </c>
      <c r="S1040" t="inlineStr">
        <is>
          <t>Higiene Total C.A.</t>
        </is>
      </c>
      <c r="T1040" t="inlineStr">
        <is>
          <t>2207-5566</t>
        </is>
      </c>
      <c r="U1040" t="n">
        <v>0.75</v>
      </c>
      <c r="V1040" t="n">
        <v>4</v>
      </c>
      <c r="W1040" t="n">
        <v>0</v>
      </c>
      <c r="X1040">
        <f>IFERROR(U1040*V1040*(1-W1040/100),"")</f>
        <v/>
      </c>
      <c r="Y1040">
        <f>IFERROR(ROUND(X1040*0.13,2),"")</f>
        <v/>
      </c>
      <c r="Z1040">
        <f>IFERROR(X1040+Y1040,"")</f>
        <v/>
      </c>
      <c r="AA1040" t="inlineStr">
        <is>
          <t>Efectivo</t>
        </is>
      </c>
      <c r="AB1040" t="inlineStr"/>
    </row>
    <row r="1041">
      <c r="A1041" t="inlineStr">
        <is>
          <t>F-11270</t>
        </is>
      </c>
      <c r="B1041" s="3" t="n">
        <v>46280</v>
      </c>
      <c r="C1041" t="inlineStr">
        <is>
          <t>CCF</t>
        </is>
      </c>
      <c r="D1041" t="inlineStr">
        <is>
          <t>SA01</t>
        </is>
      </c>
      <c r="E1041" t="inlineStr">
        <is>
          <t>STA ANA</t>
        </is>
      </c>
      <c r="F1041" t="inlineStr">
        <is>
          <t>Av. Independencia Sur #12</t>
        </is>
      </c>
      <c r="G1041" t="inlineStr">
        <is>
          <t>Santa Ana</t>
        </is>
      </c>
      <c r="H1041" t="inlineStr">
        <is>
          <t>Santa Ana</t>
        </is>
      </c>
      <c r="I1041" t="inlineStr">
        <is>
          <t>Verónica Sandoval</t>
        </is>
      </c>
      <c r="J1041" t="inlineStr">
        <is>
          <t>2440-9921</t>
        </is>
      </c>
      <c r="K1041" t="inlineStr">
        <is>
          <t>Diego Zelaya</t>
        </is>
      </c>
      <c r="L1041" t="inlineStr">
        <is>
          <t>Pupusería El Comal</t>
        </is>
      </c>
      <c r="M1041" t="inlineStr">
        <is>
          <t>261664-6</t>
        </is>
      </c>
      <c r="N1041" t="inlineStr">
        <is>
          <t>6293-1154</t>
        </is>
      </c>
      <c r="O1041" t="inlineStr">
        <is>
          <t>Contribuyente</t>
        </is>
      </c>
      <c r="P1041" t="inlineStr">
        <is>
          <t>HIG-002</t>
        </is>
      </c>
      <c r="Q1041" t="inlineStr">
        <is>
          <t>Papel higiénico 4 rollos</t>
        </is>
      </c>
      <c r="R1041" t="inlineStr">
        <is>
          <t>Limpieza</t>
        </is>
      </c>
      <c r="S1041" t="inlineStr">
        <is>
          <t>Higiene Total C.A.</t>
        </is>
      </c>
      <c r="T1041" t="inlineStr">
        <is>
          <t>2207-5566</t>
        </is>
      </c>
      <c r="U1041" t="n">
        <v>2.15</v>
      </c>
      <c r="V1041" t="n">
        <v>1</v>
      </c>
      <c r="W1041" t="n">
        <v>0</v>
      </c>
      <c r="X1041">
        <f>IFERROR(U1041*V1041*(1-W1041/100),"")</f>
        <v/>
      </c>
      <c r="Y1041">
        <f>IFERROR(ROUND(X1041*0.13,2),"")</f>
        <v/>
      </c>
      <c r="Z1041">
        <f>IFERROR(X1041+Y1041,"")</f>
        <v/>
      </c>
      <c r="AA1041" t="inlineStr">
        <is>
          <t>Efectivo</t>
        </is>
      </c>
      <c r="AB1041" t="inlineStr"/>
    </row>
    <row r="1042">
      <c r="A1042" t="inlineStr">
        <is>
          <t>F-11270</t>
        </is>
      </c>
      <c r="B1042" t="inlineStr">
        <is>
          <t>2026-09-15</t>
        </is>
      </c>
      <c r="C1042" t="inlineStr">
        <is>
          <t>CCF</t>
        </is>
      </c>
      <c r="D1042" t="inlineStr">
        <is>
          <t>SA01</t>
        </is>
      </c>
      <c r="E1042" t="inlineStr">
        <is>
          <t>Santa Ana</t>
        </is>
      </c>
      <c r="F1042" t="inlineStr">
        <is>
          <t>Av. Independencia Sur #12</t>
        </is>
      </c>
      <c r="G1042" t="inlineStr">
        <is>
          <t>Santa Ana</t>
        </is>
      </c>
      <c r="H1042" t="inlineStr">
        <is>
          <t>Santa Ana</t>
        </is>
      </c>
      <c r="I1042" t="inlineStr">
        <is>
          <t>Mauricio Linares</t>
        </is>
      </c>
      <c r="J1042" t="inlineStr">
        <is>
          <t>2440-9921</t>
        </is>
      </c>
      <c r="K1042" t="inlineStr">
        <is>
          <t>Diego Zelaya</t>
        </is>
      </c>
      <c r="L1042" t="inlineStr">
        <is>
          <t>Pupusería El Comal</t>
        </is>
      </c>
      <c r="M1042" t="inlineStr">
        <is>
          <t>261664-6</t>
        </is>
      </c>
      <c r="N1042" t="inlineStr">
        <is>
          <t>6293-1154</t>
        </is>
      </c>
      <c r="O1042" t="inlineStr">
        <is>
          <t>Contribuyente</t>
        </is>
      </c>
      <c r="P1042" t="inlineStr">
        <is>
          <t>LAC-002</t>
        </is>
      </c>
      <c r="Q1042" t="inlineStr">
        <is>
          <t>Crema 500ml</t>
        </is>
      </c>
      <c r="R1042" t="inlineStr">
        <is>
          <t>Lácteos</t>
        </is>
      </c>
      <c r="S1042" t="inlineStr">
        <is>
          <t>Lácteos Chalate</t>
        </is>
      </c>
      <c r="T1042" t="inlineStr">
        <is>
          <t>2335-1020</t>
        </is>
      </c>
      <c r="U1042" t="inlineStr">
        <is>
          <t>2,25</t>
        </is>
      </c>
      <c r="V1042" t="n">
        <v>4</v>
      </c>
      <c r="W1042" t="n">
        <v>0</v>
      </c>
      <c r="X1042">
        <f>IFERROR(U1042*V1042*(1-W1042/100),"")</f>
        <v/>
      </c>
      <c r="Y1042">
        <f>IFERROR(ROUND(X1042*0.13,2),"")</f>
        <v/>
      </c>
      <c r="Z1042">
        <f>IFERROR(X1042+Y1042,"")</f>
        <v/>
      </c>
      <c r="AA1042" t="inlineStr">
        <is>
          <t>Efectivo</t>
        </is>
      </c>
      <c r="AB1042" t="inlineStr"/>
    </row>
    <row r="1043">
      <c r="A1043" t="inlineStr">
        <is>
          <t>F-11271</t>
        </is>
      </c>
      <c r="B1043" s="3" t="n">
        <v>46260</v>
      </c>
      <c r="C1043" t="inlineStr">
        <is>
          <t>CCF</t>
        </is>
      </c>
      <c r="D1043" t="inlineStr">
        <is>
          <t>SA01</t>
        </is>
      </c>
      <c r="E1043" t="inlineStr">
        <is>
          <t>Santa Ana</t>
        </is>
      </c>
      <c r="F1043" t="inlineStr">
        <is>
          <t>Av. Independencia Sur #12</t>
        </is>
      </c>
      <c r="G1043" t="inlineStr">
        <is>
          <t>Santa Ana</t>
        </is>
      </c>
      <c r="H1043" t="inlineStr">
        <is>
          <t>Santa Ana</t>
        </is>
      </c>
      <c r="I1043" t="inlineStr">
        <is>
          <t>Mauricio Linares</t>
        </is>
      </c>
      <c r="J1043" t="inlineStr">
        <is>
          <t>2440-9921</t>
        </is>
      </c>
      <c r="K1043" t="inlineStr">
        <is>
          <t>Sofía Cáceres</t>
        </is>
      </c>
      <c r="L1043" t="inlineStr">
        <is>
          <t>Restaurante El Guanaco</t>
        </is>
      </c>
      <c r="M1043" t="inlineStr">
        <is>
          <t>168675-3</t>
        </is>
      </c>
      <c r="N1043" t="inlineStr">
        <is>
          <t>6165-7029</t>
        </is>
      </c>
      <c r="O1043" t="inlineStr">
        <is>
          <t>Contribuyente</t>
        </is>
      </c>
      <c r="P1043" t="inlineStr">
        <is>
          <t>HAR-001</t>
        </is>
      </c>
      <c r="Q1043" t="inlineStr">
        <is>
          <t>Harina de maíz 2lb</t>
        </is>
      </c>
      <c r="R1043" t="inlineStr">
        <is>
          <t>Abarrotes</t>
        </is>
      </c>
      <c r="S1043" t="inlineStr">
        <is>
          <t>Granos del Pacífico</t>
        </is>
      </c>
      <c r="T1043" t="inlineStr">
        <is>
          <t>2234-8890</t>
        </is>
      </c>
      <c r="U1043" t="n">
        <v>1.35</v>
      </c>
      <c r="V1043" t="n">
        <v>2</v>
      </c>
      <c r="W1043" t="n">
        <v>5</v>
      </c>
      <c r="X1043">
        <f>IFERROR(U1043*V1043*(1-W1043/100),"")</f>
        <v/>
      </c>
      <c r="Y1043">
        <f>IFERROR(ROUND(X1043*0.13,2),"")</f>
        <v/>
      </c>
      <c r="Z1043">
        <f>IFERROR(X1043+Y1043,"")</f>
        <v/>
      </c>
      <c r="AA1043" t="inlineStr">
        <is>
          <t>Efectivo</t>
        </is>
      </c>
      <c r="AB1043" t="inlineStr">
        <is>
          <t>Cliente frecuente</t>
        </is>
      </c>
    </row>
    <row r="1044">
      <c r="A1044" t="inlineStr">
        <is>
          <t>F-11271</t>
        </is>
      </c>
      <c r="B1044" s="3" t="n">
        <v>46260</v>
      </c>
      <c r="C1044" t="inlineStr">
        <is>
          <t>CCF</t>
        </is>
      </c>
      <c r="D1044" t="inlineStr">
        <is>
          <t>SA01</t>
        </is>
      </c>
      <c r="E1044" t="inlineStr">
        <is>
          <t>STA ANA</t>
        </is>
      </c>
      <c r="F1044" t="inlineStr">
        <is>
          <t>Av. Independencia Sur #12</t>
        </is>
      </c>
      <c r="G1044" t="inlineStr">
        <is>
          <t>Santa Ana</t>
        </is>
      </c>
      <c r="H1044" t="inlineStr">
        <is>
          <t>Santa Ana</t>
        </is>
      </c>
      <c r="I1044" t="inlineStr">
        <is>
          <t>Mauricio Linares</t>
        </is>
      </c>
      <c r="J1044" t="inlineStr">
        <is>
          <t>2440-9921</t>
        </is>
      </c>
      <c r="K1044" t="inlineStr">
        <is>
          <t>Sofía Cáceres</t>
        </is>
      </c>
      <c r="L1044" t="inlineStr">
        <is>
          <t>Restaurante El Guanaco</t>
        </is>
      </c>
      <c r="M1044" t="inlineStr">
        <is>
          <t>168675-3</t>
        </is>
      </c>
      <c r="N1044" t="inlineStr">
        <is>
          <t>6165-7029</t>
        </is>
      </c>
      <c r="O1044" t="inlineStr">
        <is>
          <t>Contribuyente</t>
        </is>
      </c>
      <c r="P1044" t="inlineStr">
        <is>
          <t>PAN-001</t>
        </is>
      </c>
      <c r="Q1044" t="inlineStr">
        <is>
          <t>Pan francés bolsa 10u</t>
        </is>
      </c>
      <c r="R1044" t="inlineStr">
        <is>
          <t>Panadería</t>
        </is>
      </c>
      <c r="S1044" t="inlineStr">
        <is>
          <t>Panificadora Ilopango</t>
        </is>
      </c>
      <c r="T1044" t="inlineStr">
        <is>
          <t>2295-0081</t>
        </is>
      </c>
      <c r="U1044" t="n">
        <v>1</v>
      </c>
      <c r="V1044" t="n">
        <v>2</v>
      </c>
      <c r="W1044" t="n">
        <v>10</v>
      </c>
      <c r="X1044">
        <f>IFERROR(U1044*V1044*(1-W1044/100),"")</f>
        <v/>
      </c>
      <c r="Y1044">
        <f>IFERROR(ROUND(X1044*0.13,2),"")</f>
        <v/>
      </c>
      <c r="Z1044">
        <f>IFERROR(X1044+Y1044,"")</f>
        <v/>
      </c>
      <c r="AA1044" t="inlineStr">
        <is>
          <t>Efectivo</t>
        </is>
      </c>
      <c r="AB1044" t="inlineStr"/>
    </row>
    <row r="1045">
      <c r="A1045" t="inlineStr">
        <is>
          <t>F-11271</t>
        </is>
      </c>
      <c r="B1045" s="3" t="n">
        <v>46260</v>
      </c>
      <c r="C1045" t="inlineStr">
        <is>
          <t>CCF</t>
        </is>
      </c>
      <c r="D1045" t="inlineStr">
        <is>
          <t>SA01</t>
        </is>
      </c>
      <c r="E1045" t="inlineStr">
        <is>
          <t>STA ANA</t>
        </is>
      </c>
      <c r="F1045" t="inlineStr">
        <is>
          <t>Av. Independencia Sur #12</t>
        </is>
      </c>
      <c r="G1045" t="inlineStr">
        <is>
          <t>Santa Ana</t>
        </is>
      </c>
      <c r="H1045" t="inlineStr">
        <is>
          <t>Santa Ana</t>
        </is>
      </c>
      <c r="I1045" t="inlineStr">
        <is>
          <t>Mauricio Linares</t>
        </is>
      </c>
      <c r="J1045" t="inlineStr">
        <is>
          <t>2440-9921</t>
        </is>
      </c>
      <c r="K1045" t="inlineStr">
        <is>
          <t>Sofía Cáceres</t>
        </is>
      </c>
      <c r="L1045" t="inlineStr">
        <is>
          <t>Restaurante El Guanaco</t>
        </is>
      </c>
      <c r="M1045" t="inlineStr">
        <is>
          <t>168675-3</t>
        </is>
      </c>
      <c r="N1045" t="inlineStr">
        <is>
          <t>6165-7029</t>
        </is>
      </c>
      <c r="O1045" t="inlineStr">
        <is>
          <t>Contribuyente</t>
        </is>
      </c>
      <c r="P1045" t="inlineStr">
        <is>
          <t>PAN-002</t>
        </is>
      </c>
      <c r="Q1045" t="inlineStr">
        <is>
          <t>Semita alta</t>
        </is>
      </c>
      <c r="R1045" t="inlineStr">
        <is>
          <t>Panadería</t>
        </is>
      </c>
      <c r="S1045" t="inlineStr">
        <is>
          <t>Panificadora Ilopango</t>
        </is>
      </c>
      <c r="T1045" t="inlineStr">
        <is>
          <t>2295-0081</t>
        </is>
      </c>
      <c r="U1045" t="n">
        <v>1.75</v>
      </c>
      <c r="V1045" t="n">
        <v>2</v>
      </c>
      <c r="W1045" t="n">
        <v>5</v>
      </c>
      <c r="X1045">
        <f>IFERROR(U1045*V1045*(1-W1045/100),"")</f>
        <v/>
      </c>
      <c r="Y1045">
        <f>IFERROR(ROUND(X1045*0.13,2),"")</f>
        <v/>
      </c>
      <c r="Z1045">
        <f>IFERROR(X1045+Y1045,"")</f>
        <v/>
      </c>
      <c r="AA1045" t="inlineStr">
        <is>
          <t>Efectivo</t>
        </is>
      </c>
      <c r="AB1045" t="inlineStr">
        <is>
          <t>precio especial autorizado por gerente</t>
        </is>
      </c>
    </row>
    <row r="1046">
      <c r="A1046" t="inlineStr">
        <is>
          <t>F-11272</t>
        </is>
      </c>
      <c r="B1046" s="3" t="n">
        <v>46209</v>
      </c>
      <c r="C1046" t="inlineStr">
        <is>
          <t>Factura</t>
        </is>
      </c>
      <c r="D1046" t="inlineStr">
        <is>
          <t>SS03</t>
        </is>
      </c>
      <c r="E1046" t="inlineStr">
        <is>
          <t xml:space="preserve">SOYAPANGO </t>
        </is>
      </c>
      <c r="F1046" t="inlineStr">
        <is>
          <t>Blvd. del Ejército km 4</t>
        </is>
      </c>
      <c r="G1046" t="inlineStr">
        <is>
          <t>Soyapango</t>
        </is>
      </c>
      <c r="H1046" t="inlineStr">
        <is>
          <t>San Salvador</t>
        </is>
      </c>
      <c r="I1046" t="inlineStr">
        <is>
          <t>Karla Henríquez</t>
        </is>
      </c>
      <c r="J1046" t="inlineStr">
        <is>
          <t>2277-3402</t>
        </is>
      </c>
      <c r="K1046" t="inlineStr">
        <is>
          <t>Marta Gómez</t>
        </is>
      </c>
      <c r="L1046" t="inlineStr">
        <is>
          <t>Silvia Martínez Hernández</t>
        </is>
      </c>
      <c r="M1046" t="inlineStr">
        <is>
          <t>05821993-5</t>
        </is>
      </c>
      <c r="N1046" t="inlineStr">
        <is>
          <t>2126-9362</t>
        </is>
      </c>
      <c r="O1046" t="inlineStr">
        <is>
          <t>Consumidor final</t>
        </is>
      </c>
      <c r="P1046" t="inlineStr">
        <is>
          <t>CAF-001</t>
        </is>
      </c>
      <c r="Q1046" t="inlineStr">
        <is>
          <t>Café molido 400g</t>
        </is>
      </c>
      <c r="R1046" t="inlineStr">
        <is>
          <t>Abarrotes</t>
        </is>
      </c>
      <c r="S1046" t="inlineStr">
        <is>
          <t>Café Volcán S.A.</t>
        </is>
      </c>
      <c r="T1046" t="inlineStr">
        <is>
          <t>2510-3344</t>
        </is>
      </c>
      <c r="U1046" t="inlineStr">
        <is>
          <t>4,25</t>
        </is>
      </c>
      <c r="V1046" t="n">
        <v>1</v>
      </c>
      <c r="W1046" t="n">
        <v>0</v>
      </c>
      <c r="X1046">
        <f>IFERROR(U1046*V1046*(1-W1046/100),"")</f>
        <v/>
      </c>
      <c r="Y1046">
        <f>IFERROR(ROUND(X1046*0.13,2),"")</f>
        <v/>
      </c>
      <c r="Z1046">
        <f>IFERROR(X1046+Y1046,"")</f>
        <v/>
      </c>
      <c r="AA1046" t="inlineStr">
        <is>
          <t>Transferencia</t>
        </is>
      </c>
      <c r="AB1046" t="inlineStr">
        <is>
          <t>entregar en bodega</t>
        </is>
      </c>
    </row>
    <row r="1047">
      <c r="A1047" t="inlineStr">
        <is>
          <t>F-11273</t>
        </is>
      </c>
      <c r="B1047" t="inlineStr">
        <is>
          <t>2026-09-25</t>
        </is>
      </c>
      <c r="C1047" t="inlineStr">
        <is>
          <t>CCF</t>
        </is>
      </c>
      <c r="D1047" t="inlineStr">
        <is>
          <t>SS02</t>
        </is>
      </c>
      <c r="E1047" t="inlineStr">
        <is>
          <t>ESCALON</t>
        </is>
      </c>
      <c r="F1047" t="inlineStr">
        <is>
          <t>Paseo General Escalón #3910</t>
        </is>
      </c>
      <c r="G1047" t="inlineStr">
        <is>
          <t>San Salvador</t>
        </is>
      </c>
      <c r="H1047" t="inlineStr">
        <is>
          <t>San Salvador</t>
        </is>
      </c>
      <c r="I1047" t="inlineStr">
        <is>
          <t>Claudia Menjívar</t>
        </is>
      </c>
      <c r="J1047" t="inlineStr">
        <is>
          <t>2264-1190</t>
        </is>
      </c>
      <c r="K1047" t="inlineStr">
        <is>
          <t>Fátima Rosales</t>
        </is>
      </c>
      <c r="L1047" t="inlineStr">
        <is>
          <t>Minisúper San José</t>
        </is>
      </c>
      <c r="M1047" t="inlineStr">
        <is>
          <t>99593-8</t>
        </is>
      </c>
      <c r="N1047" t="inlineStr">
        <is>
          <t>6931-9804</t>
        </is>
      </c>
      <c r="O1047" t="inlineStr">
        <is>
          <t>Contribuyente</t>
        </is>
      </c>
      <c r="P1047" t="inlineStr">
        <is>
          <t>BEB-003</t>
        </is>
      </c>
      <c r="Q1047" t="inlineStr">
        <is>
          <t>Horchata en polvo 400g</t>
        </is>
      </c>
      <c r="R1047" t="inlineStr">
        <is>
          <t>Abarrotes</t>
        </is>
      </c>
      <c r="S1047" t="inlineStr">
        <is>
          <t>Bebidas Izalco</t>
        </is>
      </c>
      <c r="T1047" t="inlineStr">
        <is>
          <t>2450-7700</t>
        </is>
      </c>
      <c r="U1047" t="n">
        <v>2.6</v>
      </c>
      <c r="V1047" t="n">
        <v>12</v>
      </c>
      <c r="W1047" t="n">
        <v>0</v>
      </c>
      <c r="X1047">
        <f>IFERROR(U1047*V1047*(1-W1047/100),"")</f>
        <v/>
      </c>
      <c r="Y1047">
        <f>IFERROR(ROUND(X1047*0.13,2),"")</f>
        <v/>
      </c>
      <c r="Z1047">
        <f>IFERROR(X1047+Y1047,"")</f>
        <v/>
      </c>
      <c r="AA1047" t="inlineStr">
        <is>
          <t>Efectivo</t>
        </is>
      </c>
      <c r="AB1047" t="inlineStr"/>
    </row>
    <row r="1048">
      <c r="A1048" t="inlineStr">
        <is>
          <t>F-11273</t>
        </is>
      </c>
      <c r="B1048" s="3" t="n">
        <v>46290</v>
      </c>
      <c r="C1048" t="inlineStr">
        <is>
          <t>CCF</t>
        </is>
      </c>
      <c r="D1048" t="inlineStr">
        <is>
          <t>SS02</t>
        </is>
      </c>
      <c r="E1048" t="inlineStr">
        <is>
          <t>Col. Escalón</t>
        </is>
      </c>
      <c r="F1048" t="inlineStr">
        <is>
          <t>Paseo General Escalón #3910</t>
        </is>
      </c>
      <c r="G1048" t="inlineStr">
        <is>
          <t>San Salvador</t>
        </is>
      </c>
      <c r="H1048" t="inlineStr">
        <is>
          <t>San Salvador</t>
        </is>
      </c>
      <c r="I1048" t="inlineStr">
        <is>
          <t>Claudia Menjívar</t>
        </is>
      </c>
      <c r="J1048" t="inlineStr">
        <is>
          <t>2264-1190</t>
        </is>
      </c>
      <c r="K1048" t="inlineStr">
        <is>
          <t>Fátima Rosales</t>
        </is>
      </c>
      <c r="L1048" t="inlineStr">
        <is>
          <t>Minisúper San José</t>
        </is>
      </c>
      <c r="M1048" t="inlineStr">
        <is>
          <t>99593-8</t>
        </is>
      </c>
      <c r="N1048" t="inlineStr">
        <is>
          <t>6931-9804</t>
        </is>
      </c>
      <c r="O1048" t="inlineStr">
        <is>
          <t>Contribuyente</t>
        </is>
      </c>
      <c r="P1048" t="inlineStr">
        <is>
          <t>HIG-001</t>
        </is>
      </c>
      <c r="Q1048" t="inlineStr">
        <is>
          <t>Detergente 1kg</t>
        </is>
      </c>
      <c r="R1048" t="inlineStr">
        <is>
          <t>Higiene</t>
        </is>
      </c>
      <c r="S1048" t="inlineStr">
        <is>
          <t>Higiene Total C.A.</t>
        </is>
      </c>
      <c r="T1048" t="inlineStr">
        <is>
          <t>2207-5566</t>
        </is>
      </c>
      <c r="U1048" t="n">
        <v>3.45</v>
      </c>
      <c r="V1048" t="n">
        <v>3</v>
      </c>
      <c r="W1048" t="n">
        <v>10</v>
      </c>
      <c r="X1048">
        <f>IFERROR(U1048*V1048*(1-W1048/100),"")</f>
        <v/>
      </c>
      <c r="Y1048">
        <f>IFERROR(ROUND(X1048*0.13,2),"")</f>
        <v/>
      </c>
      <c r="Z1048">
        <f>IFERROR(X1048+Y1048,"")</f>
        <v/>
      </c>
      <c r="AA1048" t="inlineStr">
        <is>
          <t>Efectivo</t>
        </is>
      </c>
      <c r="AB1048" t="inlineStr"/>
    </row>
    <row r="1049">
      <c r="A1049" t="inlineStr">
        <is>
          <t>F-11273</t>
        </is>
      </c>
      <c r="B1049" s="3" t="n">
        <v>46290</v>
      </c>
      <c r="C1049" t="inlineStr">
        <is>
          <t>CCF</t>
        </is>
      </c>
      <c r="D1049" t="inlineStr">
        <is>
          <t>SS02</t>
        </is>
      </c>
      <c r="E1049" t="inlineStr">
        <is>
          <t>Escalón</t>
        </is>
      </c>
      <c r="F1049" t="inlineStr">
        <is>
          <t>Paseo General Escalón #3910</t>
        </is>
      </c>
      <c r="G1049" t="inlineStr">
        <is>
          <t>San Salvador</t>
        </is>
      </c>
      <c r="H1049" t="inlineStr">
        <is>
          <t>San Salvador</t>
        </is>
      </c>
      <c r="I1049" t="inlineStr">
        <is>
          <t>Claudia Menjívar</t>
        </is>
      </c>
      <c r="J1049" t="inlineStr">
        <is>
          <t>2264-1190</t>
        </is>
      </c>
      <c r="K1049" t="inlineStr">
        <is>
          <t>Fátima Rosales</t>
        </is>
      </c>
      <c r="L1049" t="inlineStr">
        <is>
          <t>Minisúper San José</t>
        </is>
      </c>
      <c r="M1049" t="inlineStr">
        <is>
          <t>99593-8</t>
        </is>
      </c>
      <c r="N1049" t="inlineStr">
        <is>
          <t>6931-9804</t>
        </is>
      </c>
      <c r="O1049" t="inlineStr">
        <is>
          <t>Contribuyente</t>
        </is>
      </c>
      <c r="P1049" t="inlineStr">
        <is>
          <t>LAC-002</t>
        </is>
      </c>
      <c r="Q1049" t="inlineStr">
        <is>
          <t>Crema 500ml</t>
        </is>
      </c>
      <c r="R1049" t="inlineStr">
        <is>
          <t>Lácteos</t>
        </is>
      </c>
      <c r="S1049" t="inlineStr">
        <is>
          <t>Lácteos Chalate</t>
        </is>
      </c>
      <c r="T1049" t="inlineStr">
        <is>
          <t>2335-1020</t>
        </is>
      </c>
      <c r="U1049" t="inlineStr">
        <is>
          <t>$2.25</t>
        </is>
      </c>
      <c r="V1049" t="n">
        <v>1</v>
      </c>
      <c r="W1049" t="n">
        <v>0</v>
      </c>
      <c r="X1049">
        <f>IFERROR(U1049*V1049*(1-W1049/100),"")</f>
        <v/>
      </c>
      <c r="Y1049">
        <f>IFERROR(ROUND(X1049*0.13,2),"")</f>
        <v/>
      </c>
      <c r="Z1049">
        <f>IFERROR(X1049+Y1049,"")</f>
        <v/>
      </c>
      <c r="AA1049" t="inlineStr">
        <is>
          <t>Efectivo</t>
        </is>
      </c>
      <c r="AB1049" t="inlineStr">
        <is>
          <t>pagó con billete de $100</t>
        </is>
      </c>
    </row>
    <row r="1050">
      <c r="A1050" t="inlineStr">
        <is>
          <t>F-11276</t>
        </is>
      </c>
      <c r="B1050" t="inlineStr">
        <is>
          <t>2026-07-17</t>
        </is>
      </c>
      <c r="C1050" t="inlineStr">
        <is>
          <t>Factura</t>
        </is>
      </c>
      <c r="D1050" t="inlineStr">
        <is>
          <t>SS01</t>
        </is>
      </c>
      <c r="E1050" t="inlineStr">
        <is>
          <t>SAN SALVADOR CENTRO</t>
        </is>
      </c>
      <c r="F1050" t="inlineStr">
        <is>
          <t>4a Calle Poniente #215</t>
        </is>
      </c>
      <c r="G1050" t="inlineStr">
        <is>
          <t>San Salvador</t>
        </is>
      </c>
      <c r="H1050" t="inlineStr">
        <is>
          <t>San Salvador</t>
        </is>
      </c>
      <c r="I1050" t="inlineStr">
        <is>
          <t>Roberto Alfaro</t>
        </is>
      </c>
      <c r="J1050" t="inlineStr">
        <is>
          <t>2221-4580</t>
        </is>
      </c>
      <c r="K1050" t="inlineStr">
        <is>
          <t>José Martínez</t>
        </is>
      </c>
      <c r="L1050" t="inlineStr">
        <is>
          <t>Xiomara Cornejo Guevara</t>
        </is>
      </c>
      <c r="M1050" t="inlineStr">
        <is>
          <t>09840186-7</t>
        </is>
      </c>
      <c r="N1050" t="inlineStr">
        <is>
          <t>2102-2322</t>
        </is>
      </c>
      <c r="O1050" t="inlineStr">
        <is>
          <t>Consumidor final</t>
        </is>
      </c>
      <c r="P1050" t="inlineStr">
        <is>
          <t>BEB-003</t>
        </is>
      </c>
      <c r="Q1050" t="inlineStr">
        <is>
          <t>Horchata en polvo 400g</t>
        </is>
      </c>
      <c r="R1050" t="inlineStr">
        <is>
          <t>Abarrotes</t>
        </is>
      </c>
      <c r="S1050" t="inlineStr">
        <is>
          <t>Bebidas Izalco</t>
        </is>
      </c>
      <c r="T1050" t="inlineStr">
        <is>
          <t>2450-7700</t>
        </is>
      </c>
      <c r="U1050" t="n">
        <v>2.6</v>
      </c>
      <c r="V1050" t="n">
        <v>2</v>
      </c>
      <c r="W1050" t="n">
        <v>0</v>
      </c>
      <c r="X1050">
        <f>IFERROR(U1050*V1050*(1-W1050/100),"")</f>
        <v/>
      </c>
      <c r="Y1050">
        <f>IFERROR(ROUND(X1050*0.13,2),"")</f>
        <v/>
      </c>
      <c r="Z1050">
        <f>IFERROR(X1050+Y1050,"")</f>
        <v/>
      </c>
      <c r="AA1050" t="inlineStr">
        <is>
          <t>Transferencia</t>
        </is>
      </c>
      <c r="AB1050" t="inlineStr">
        <is>
          <t>Llamar al 7788-1234 antes de entregar</t>
        </is>
      </c>
    </row>
    <row r="1051">
      <c r="A1051" t="inlineStr">
        <is>
          <t>F-11276</t>
        </is>
      </c>
      <c r="B1051" s="3" t="n">
        <v>46220</v>
      </c>
      <c r="C1051" t="inlineStr">
        <is>
          <t>Factura</t>
        </is>
      </c>
      <c r="D1051" t="inlineStr">
        <is>
          <t>SS01</t>
        </is>
      </c>
      <c r="E1051" t="inlineStr">
        <is>
          <t>S.S. Centro</t>
        </is>
      </c>
      <c r="F1051" t="inlineStr">
        <is>
          <t>4a Calle Poniente #215</t>
        </is>
      </c>
      <c r="G1051" t="inlineStr">
        <is>
          <t>San Salvador</t>
        </is>
      </c>
      <c r="H1051" t="inlineStr">
        <is>
          <t>San Salvador</t>
        </is>
      </c>
      <c r="I1051" t="inlineStr">
        <is>
          <t>Roberto Alfaro</t>
        </is>
      </c>
      <c r="J1051" t="inlineStr">
        <is>
          <t>2221-4580</t>
        </is>
      </c>
      <c r="K1051" t="inlineStr">
        <is>
          <t>José Martínez</t>
        </is>
      </c>
      <c r="L1051" t="inlineStr">
        <is>
          <t>Xiomara Cornejo Guevara</t>
        </is>
      </c>
      <c r="M1051" t="inlineStr">
        <is>
          <t>09840186-7</t>
        </is>
      </c>
      <c r="N1051" t="inlineStr">
        <is>
          <t>2102-2322</t>
        </is>
      </c>
      <c r="O1051" t="inlineStr">
        <is>
          <t>Consumidor final</t>
        </is>
      </c>
      <c r="P1051" t="inlineStr">
        <is>
          <t>CAF-002</t>
        </is>
      </c>
      <c r="Q1051" t="inlineStr">
        <is>
          <t>Café en grano 1lb</t>
        </is>
      </c>
      <c r="R1051" t="inlineStr">
        <is>
          <t>Abarrotes</t>
        </is>
      </c>
      <c r="S1051" t="inlineStr">
        <is>
          <t>Café Volcán S.A.</t>
        </is>
      </c>
      <c r="T1051" t="inlineStr">
        <is>
          <t>2510-3344</t>
        </is>
      </c>
      <c r="U1051" t="n">
        <v>6.75</v>
      </c>
      <c r="V1051" t="n">
        <v>4</v>
      </c>
      <c r="W1051" t="n">
        <v>0</v>
      </c>
      <c r="X1051">
        <f>IFERROR(U1051*V1051*(1-W1051/100),"")</f>
        <v/>
      </c>
      <c r="Y1051">
        <f>IFERROR(ROUND(X1051*0.13,2),"")</f>
        <v/>
      </c>
      <c r="Z1051">
        <f>IFERROR(X1051+Y1051,"")</f>
        <v/>
      </c>
      <c r="AA1051" t="inlineStr">
        <is>
          <t>Transferencia</t>
        </is>
      </c>
      <c r="AB1051" t="inlineStr">
        <is>
          <t>precio especial autorizado por gerente</t>
        </is>
      </c>
    </row>
    <row r="1052">
      <c r="A1052" t="inlineStr">
        <is>
          <t>F-11277</t>
        </is>
      </c>
      <c r="B1052" s="3" t="n">
        <v>46259</v>
      </c>
      <c r="C1052" t="inlineStr">
        <is>
          <t>Factura</t>
        </is>
      </c>
      <c r="D1052" t="inlineStr">
        <is>
          <t>SM01</t>
        </is>
      </c>
      <c r="E1052" t="inlineStr">
        <is>
          <t>SAN MIGUEL</t>
        </is>
      </c>
      <c r="F1052" t="inlineStr">
        <is>
          <t>Av. Roosevelt Sur #7</t>
        </is>
      </c>
      <c r="G1052" t="inlineStr">
        <is>
          <t>San Miguel</t>
        </is>
      </c>
      <c r="H1052" t="inlineStr">
        <is>
          <t>San Miguel</t>
        </is>
      </c>
      <c r="I1052" t="inlineStr">
        <is>
          <t>Iris Portillo</t>
        </is>
      </c>
      <c r="J1052" t="inlineStr">
        <is>
          <t>2661-5076</t>
        </is>
      </c>
      <c r="K1052" t="inlineStr">
        <is>
          <t>Jorge Villalta</t>
        </is>
      </c>
      <c r="L1052" t="inlineStr">
        <is>
          <t>Mario Lemus Flores</t>
        </is>
      </c>
      <c r="M1052" t="inlineStr">
        <is>
          <t>05465836-8</t>
        </is>
      </c>
      <c r="N1052" t="inlineStr">
        <is>
          <t>6555-2967</t>
        </is>
      </c>
      <c r="O1052" t="inlineStr">
        <is>
          <t>Consumidor final</t>
        </is>
      </c>
      <c r="P1052" t="inlineStr">
        <is>
          <t>BEB-001</t>
        </is>
      </c>
      <c r="Q1052" t="inlineStr">
        <is>
          <t>Gaseosa 2.5L</t>
        </is>
      </c>
      <c r="R1052" t="inlineStr">
        <is>
          <t>bebidas</t>
        </is>
      </c>
      <c r="S1052" t="inlineStr">
        <is>
          <t>Bebidas Izalco</t>
        </is>
      </c>
      <c r="T1052" t="inlineStr">
        <is>
          <t>2450-7700</t>
        </is>
      </c>
      <c r="U1052" t="inlineStr">
        <is>
          <t>$1.95</t>
        </is>
      </c>
      <c r="V1052" t="n">
        <v>3</v>
      </c>
      <c r="W1052" t="n">
        <v>0</v>
      </c>
      <c r="X1052">
        <f>IFERROR(U1052*V1052*(1-W1052/100),"")</f>
        <v/>
      </c>
      <c r="Y1052">
        <f>IFERROR(ROUND(X1052*0.13,2),"")</f>
        <v/>
      </c>
      <c r="Z1052">
        <f>IFERROR(X1052+Y1052,"")</f>
        <v/>
      </c>
      <c r="AA1052" t="inlineStr">
        <is>
          <t>Tarjeta</t>
        </is>
      </c>
      <c r="AB1052" t="inlineStr">
        <is>
          <t>Cliente frecuente</t>
        </is>
      </c>
    </row>
    <row r="1053">
      <c r="A1053" t="inlineStr">
        <is>
          <t>F-11277</t>
        </is>
      </c>
      <c r="B1053" s="3" t="n">
        <v>46259</v>
      </c>
      <c r="C1053" t="inlineStr">
        <is>
          <t>Factura</t>
        </is>
      </c>
      <c r="D1053" t="inlineStr">
        <is>
          <t>SM01</t>
        </is>
      </c>
      <c r="E1053" t="inlineStr">
        <is>
          <t>S. Miguel</t>
        </is>
      </c>
      <c r="F1053" t="inlineStr">
        <is>
          <t>Av. Roosevelt Sur #7</t>
        </is>
      </c>
      <c r="G1053" t="inlineStr">
        <is>
          <t>San Miguel</t>
        </is>
      </c>
      <c r="H1053" t="inlineStr">
        <is>
          <t>San Miguel</t>
        </is>
      </c>
      <c r="I1053" t="inlineStr">
        <is>
          <t>Iris Portillo</t>
        </is>
      </c>
      <c r="J1053" t="inlineStr">
        <is>
          <t>2661-5076</t>
        </is>
      </c>
      <c r="K1053" t="inlineStr">
        <is>
          <t>Jorge Villalta</t>
        </is>
      </c>
      <c r="L1053" t="inlineStr">
        <is>
          <t>Mario Lemus Flores</t>
        </is>
      </c>
      <c r="M1053" t="inlineStr"/>
      <c r="N1053" t="inlineStr">
        <is>
          <t>6555-2967</t>
        </is>
      </c>
      <c r="O1053" t="inlineStr">
        <is>
          <t>Consumidor final</t>
        </is>
      </c>
      <c r="P1053" t="inlineStr">
        <is>
          <t>AZU-001</t>
        </is>
      </c>
      <c r="Q1053" t="inlineStr">
        <is>
          <t>Azúcar blanca 2.5kg</t>
        </is>
      </c>
      <c r="R1053" t="inlineStr">
        <is>
          <t>Abarrotes</t>
        </is>
      </c>
      <c r="S1053" t="inlineStr">
        <is>
          <t>Granos del Pacífico</t>
        </is>
      </c>
      <c r="T1053" t="inlineStr">
        <is>
          <t>2234-8890</t>
        </is>
      </c>
      <c r="U1053" t="inlineStr">
        <is>
          <t>$3.10</t>
        </is>
      </c>
      <c r="V1053" t="n">
        <v>-24</v>
      </c>
      <c r="W1053" t="n">
        <v>0</v>
      </c>
      <c r="X1053">
        <f>IFERROR(U1053*V1053*(1-W1053/100),"")</f>
        <v/>
      </c>
      <c r="Y1053">
        <f>IFERROR(ROUND(X1053*0.13,2),"")</f>
        <v/>
      </c>
      <c r="Z1053">
        <f>IFERROR(X1053+Y1053,"")</f>
        <v/>
      </c>
      <c r="AA1053" t="inlineStr">
        <is>
          <t>Tarjeta</t>
        </is>
      </c>
      <c r="AB1053" t="inlineStr"/>
    </row>
    <row r="1054">
      <c r="A1054" t="inlineStr">
        <is>
          <t>F-11277</t>
        </is>
      </c>
      <c r="B1054" s="3" t="n">
        <v>46259</v>
      </c>
      <c r="C1054" t="inlineStr">
        <is>
          <t>Factura</t>
        </is>
      </c>
      <c r="D1054" t="inlineStr">
        <is>
          <t>SM01</t>
        </is>
      </c>
      <c r="E1054" t="inlineStr">
        <is>
          <t>SAN MIGUEL</t>
        </is>
      </c>
      <c r="F1054" t="inlineStr">
        <is>
          <t>Av. Roosevelt Sur #7</t>
        </is>
      </c>
      <c r="G1054" t="inlineStr">
        <is>
          <t>San Miguel</t>
        </is>
      </c>
      <c r="H1054" t="inlineStr">
        <is>
          <t>San Miguel</t>
        </is>
      </c>
      <c r="I1054" t="inlineStr">
        <is>
          <t>Iris Portillo</t>
        </is>
      </c>
      <c r="J1054" t="inlineStr">
        <is>
          <t>2661-5076</t>
        </is>
      </c>
      <c r="K1054" t="inlineStr">
        <is>
          <t>Jorge Villalta</t>
        </is>
      </c>
      <c r="L1054" t="inlineStr">
        <is>
          <t>Mario Lemus Flores</t>
        </is>
      </c>
      <c r="M1054" t="inlineStr">
        <is>
          <t>05465836-8</t>
        </is>
      </c>
      <c r="N1054" t="inlineStr">
        <is>
          <t>6555-2967</t>
        </is>
      </c>
      <c r="O1054" t="inlineStr">
        <is>
          <t>Consumidor final</t>
        </is>
      </c>
      <c r="P1054" t="inlineStr">
        <is>
          <t>ARR-001</t>
        </is>
      </c>
      <c r="Q1054" t="inlineStr">
        <is>
          <t>Arroz blanco 5lb</t>
        </is>
      </c>
      <c r="R1054" t="inlineStr">
        <is>
          <t>Granos básicos</t>
        </is>
      </c>
      <c r="S1054" t="inlineStr">
        <is>
          <t>Granos del Pacífico</t>
        </is>
      </c>
      <c r="T1054" t="inlineStr">
        <is>
          <t>2234-8890</t>
        </is>
      </c>
      <c r="U1054" t="inlineStr">
        <is>
          <t>$3.95</t>
        </is>
      </c>
      <c r="V1054" t="n">
        <v>6</v>
      </c>
      <c r="W1054" t="n">
        <v>0</v>
      </c>
      <c r="X1054">
        <f>IFERROR(U1054*V1054*(1-W1054/100),"")</f>
        <v/>
      </c>
      <c r="Y1054">
        <f>IFERROR(ROUND(X1054*0.13,2),"")</f>
        <v/>
      </c>
      <c r="Z1054">
        <f>IFERROR(X1054+Y1054,"")</f>
        <v/>
      </c>
      <c r="AA1054" t="inlineStr">
        <is>
          <t>Tarjeta</t>
        </is>
      </c>
      <c r="AB1054" t="inlineStr"/>
    </row>
    <row r="1055">
      <c r="A1055" t="inlineStr">
        <is>
          <t>F-11277</t>
        </is>
      </c>
      <c r="B1055" s="3" t="n">
        <v>46259</v>
      </c>
      <c r="C1055" t="inlineStr">
        <is>
          <t>Factura</t>
        </is>
      </c>
      <c r="D1055" t="inlineStr">
        <is>
          <t>SM01</t>
        </is>
      </c>
      <c r="E1055" t="inlineStr">
        <is>
          <t>SAN MIGUEL</t>
        </is>
      </c>
      <c r="F1055" t="inlineStr">
        <is>
          <t>Av. Roosevelt Sur #7</t>
        </is>
      </c>
      <c r="G1055" t="inlineStr">
        <is>
          <t>San Miguel</t>
        </is>
      </c>
      <c r="H1055" t="inlineStr">
        <is>
          <t>San Miguel</t>
        </is>
      </c>
      <c r="I1055" t="inlineStr">
        <is>
          <t>Iris Portillo</t>
        </is>
      </c>
      <c r="J1055" t="inlineStr">
        <is>
          <t>2661-5076</t>
        </is>
      </c>
      <c r="K1055" t="inlineStr">
        <is>
          <t>Jorge Villalta</t>
        </is>
      </c>
      <c r="L1055" t="inlineStr">
        <is>
          <t>Mario Lemus Flores</t>
        </is>
      </c>
      <c r="M1055" t="inlineStr">
        <is>
          <t>05465836-8</t>
        </is>
      </c>
      <c r="N1055" t="inlineStr">
        <is>
          <t>6555-2967</t>
        </is>
      </c>
      <c r="O1055" t="inlineStr">
        <is>
          <t>Consumidor final</t>
        </is>
      </c>
      <c r="P1055" t="inlineStr">
        <is>
          <t>CAF-002</t>
        </is>
      </c>
      <c r="Q1055" t="inlineStr">
        <is>
          <t>Café en grano 1lb</t>
        </is>
      </c>
      <c r="R1055" t="inlineStr">
        <is>
          <t>Abarrotes</t>
        </is>
      </c>
      <c r="S1055" t="inlineStr">
        <is>
          <t>Café Volcán S.A.</t>
        </is>
      </c>
      <c r="T1055" t="inlineStr">
        <is>
          <t>2510-3344</t>
        </is>
      </c>
      <c r="U1055" t="inlineStr">
        <is>
          <t>6,75</t>
        </is>
      </c>
      <c r="V1055" t="n">
        <v>6</v>
      </c>
      <c r="W1055" t="n">
        <v>0</v>
      </c>
      <c r="X1055">
        <f>IFERROR(U1055*V1055*(1-W1055/100),"")</f>
        <v/>
      </c>
      <c r="Y1055">
        <f>IFERROR(ROUND(X1055*0.13,2),"")</f>
        <v/>
      </c>
      <c r="Z1055">
        <f>IFERROR(X1055+Y1055,"")</f>
        <v/>
      </c>
      <c r="AA1055" t="inlineStr">
        <is>
          <t>Tarjeta</t>
        </is>
      </c>
      <c r="AB1055" t="inlineStr">
        <is>
          <t>Llamar al 7788-1234 antes de entregar</t>
        </is>
      </c>
    </row>
    <row r="1056">
      <c r="A1056" t="inlineStr">
        <is>
          <t>F-11279</t>
        </is>
      </c>
      <c r="B1056" s="3" t="n">
        <v>46222</v>
      </c>
      <c r="C1056" t="inlineStr">
        <is>
          <t>Factura</t>
        </is>
      </c>
      <c r="D1056" t="inlineStr">
        <is>
          <t>US01</t>
        </is>
      </c>
      <c r="E1056" t="inlineStr">
        <is>
          <t>Usulutan</t>
        </is>
      </c>
      <c r="F1056" t="inlineStr">
        <is>
          <t>2a Av. Norte #9</t>
        </is>
      </c>
      <c r="G1056" t="inlineStr">
        <is>
          <t>Usulután</t>
        </is>
      </c>
      <c r="H1056" t="inlineStr">
        <is>
          <t>Usulután</t>
        </is>
      </c>
      <c r="I1056" t="inlineStr">
        <is>
          <t>Nelson Fuentes</t>
        </is>
      </c>
      <c r="J1056" t="inlineStr">
        <is>
          <t>2662-8810</t>
        </is>
      </c>
      <c r="K1056" t="inlineStr">
        <is>
          <t>Miguel Bonilla</t>
        </is>
      </c>
      <c r="L1056" t="inlineStr">
        <is>
          <t>Luis Alvarado Flores</t>
        </is>
      </c>
      <c r="M1056" t="inlineStr">
        <is>
          <t>04419851-7</t>
        </is>
      </c>
      <c r="N1056" t="inlineStr">
        <is>
          <t>6898-7811</t>
        </is>
      </c>
      <c r="O1056" t="inlineStr">
        <is>
          <t>Consumidor final</t>
        </is>
      </c>
      <c r="P1056" t="inlineStr">
        <is>
          <t>ARR-001</t>
        </is>
      </c>
      <c r="Q1056" t="inlineStr">
        <is>
          <t>Arroz blanco 5lb</t>
        </is>
      </c>
      <c r="R1056" t="inlineStr">
        <is>
          <t>Granos básicos</t>
        </is>
      </c>
      <c r="S1056" t="inlineStr">
        <is>
          <t>Granos del Pacífico</t>
        </is>
      </c>
      <c r="T1056" t="inlineStr">
        <is>
          <t>2234-8890</t>
        </is>
      </c>
      <c r="U1056" t="n">
        <v>3.95</v>
      </c>
      <c r="V1056" t="n">
        <v>1</v>
      </c>
      <c r="W1056" t="n">
        <v>0</v>
      </c>
      <c r="X1056">
        <f>IFERROR(U1056*V1056*(1-W1056/100),"")</f>
        <v/>
      </c>
      <c r="Y1056">
        <f>IFERROR(ROUND(X1056*0.13,2),"")</f>
        <v/>
      </c>
      <c r="Z1056">
        <f>IFERROR(X1056+Y1056,"")</f>
        <v/>
      </c>
      <c r="AA1056" t="inlineStr">
        <is>
          <t>Transferencia</t>
        </is>
      </c>
      <c r="AB1056" t="inlineStr"/>
    </row>
    <row r="1057">
      <c r="A1057" t="inlineStr">
        <is>
          <t>F-11279</t>
        </is>
      </c>
      <c r="B1057" s="3" t="n">
        <v>46222</v>
      </c>
      <c r="C1057" t="inlineStr">
        <is>
          <t>Factura</t>
        </is>
      </c>
      <c r="D1057" t="inlineStr">
        <is>
          <t>US01</t>
        </is>
      </c>
      <c r="E1057" t="inlineStr">
        <is>
          <t>Usulutan</t>
        </is>
      </c>
      <c r="F1057" t="inlineStr">
        <is>
          <t>2a Av. Norte #9</t>
        </is>
      </c>
      <c r="G1057" t="inlineStr">
        <is>
          <t>Usulután</t>
        </is>
      </c>
      <c r="H1057" t="inlineStr">
        <is>
          <t>Usulután</t>
        </is>
      </c>
      <c r="I1057" t="inlineStr">
        <is>
          <t>Nelson Fuentes</t>
        </is>
      </c>
      <c r="J1057" t="inlineStr">
        <is>
          <t>2662-8810</t>
        </is>
      </c>
      <c r="K1057" t="inlineStr">
        <is>
          <t>Miguel Bonilla</t>
        </is>
      </c>
      <c r="L1057" t="inlineStr">
        <is>
          <t>Luis Alvarado Flores</t>
        </is>
      </c>
      <c r="M1057" t="inlineStr">
        <is>
          <t>04419851-7</t>
        </is>
      </c>
      <c r="N1057" t="inlineStr">
        <is>
          <t>6898-7811</t>
        </is>
      </c>
      <c r="O1057" t="inlineStr">
        <is>
          <t>Consumidor final</t>
        </is>
      </c>
      <c r="P1057" t="inlineStr">
        <is>
          <t>CAF-002</t>
        </is>
      </c>
      <c r="Q1057" t="inlineStr">
        <is>
          <t>Café en grano 1lb</t>
        </is>
      </c>
      <c r="R1057" t="inlineStr">
        <is>
          <t>Abarrotes</t>
        </is>
      </c>
      <c r="S1057" t="inlineStr">
        <is>
          <t>Café Volcán S.A.</t>
        </is>
      </c>
      <c r="T1057" t="inlineStr">
        <is>
          <t>2510-3344</t>
        </is>
      </c>
      <c r="U1057" t="n">
        <v>6.75</v>
      </c>
      <c r="V1057" t="n">
        <v>3</v>
      </c>
      <c r="W1057" t="n">
        <v>0</v>
      </c>
      <c r="X1057">
        <f>IFERROR(U1057*V1057*(1-W1057/100),"")</f>
        <v/>
      </c>
      <c r="Y1057">
        <f>IFERROR(ROUND(X1057*0.13,2),"")</f>
        <v/>
      </c>
      <c r="Z1057">
        <f>IFERROR(X1057+Y1057,"")</f>
        <v/>
      </c>
      <c r="AA1057" t="inlineStr">
        <is>
          <t>Transferencia</t>
        </is>
      </c>
      <c r="AB1057" t="inlineStr">
        <is>
          <t>pagó con billete de $100</t>
        </is>
      </c>
    </row>
    <row r="1058">
      <c r="A1058" t="inlineStr">
        <is>
          <t>F-11281</t>
        </is>
      </c>
      <c r="B1058" s="3" t="n">
        <v>46278</v>
      </c>
      <c r="C1058" t="inlineStr">
        <is>
          <t>Factura</t>
        </is>
      </c>
      <c r="D1058" t="inlineStr">
        <is>
          <t>LL02</t>
        </is>
      </c>
      <c r="E1058" t="inlineStr">
        <is>
          <t>La Libertad Puerto</t>
        </is>
      </c>
      <c r="F1058" t="inlineStr">
        <is>
          <t>Calle El Malecón, Local 4</t>
        </is>
      </c>
      <c r="G1058" t="inlineStr">
        <is>
          <t>La Libertad</t>
        </is>
      </c>
      <c r="H1058" t="inlineStr">
        <is>
          <t>La Libertad</t>
        </is>
      </c>
      <c r="I1058" t="inlineStr">
        <is>
          <t>Wendy Aguilar</t>
        </is>
      </c>
      <c r="J1058" t="inlineStr">
        <is>
          <t>2335-6140</t>
        </is>
      </c>
      <c r="K1058" t="inlineStr">
        <is>
          <t>Gabriela Saravia</t>
        </is>
      </c>
      <c r="L1058" t="inlineStr">
        <is>
          <t>René Cornejo Cornejo</t>
        </is>
      </c>
      <c r="M1058" t="inlineStr">
        <is>
          <t>03632979-1</t>
        </is>
      </c>
      <c r="N1058" t="inlineStr">
        <is>
          <t>7833-5595</t>
        </is>
      </c>
      <c r="O1058" t="inlineStr">
        <is>
          <t>Consumidor final</t>
        </is>
      </c>
      <c r="P1058" t="inlineStr">
        <is>
          <t>AZU-001</t>
        </is>
      </c>
      <c r="Q1058" t="inlineStr">
        <is>
          <t>Azúcar blanca 2.5kg</t>
        </is>
      </c>
      <c r="R1058" t="inlineStr">
        <is>
          <t>Abarrotes</t>
        </is>
      </c>
      <c r="S1058" t="inlineStr">
        <is>
          <t>Granos del Pacífico</t>
        </is>
      </c>
      <c r="T1058" t="inlineStr">
        <is>
          <t>2234-8890</t>
        </is>
      </c>
      <c r="U1058" t="n">
        <v>3.1</v>
      </c>
      <c r="V1058" t="n">
        <v>1</v>
      </c>
      <c r="W1058" t="n">
        <v>0</v>
      </c>
      <c r="X1058">
        <f>IFERROR(U1058*V1058*(1-W1058/100),"")</f>
        <v/>
      </c>
      <c r="Y1058">
        <f>IFERROR(ROUND(X1058*0.13,2),"")</f>
        <v/>
      </c>
      <c r="Z1058">
        <f>IFERROR(X1058+Y1058,"")</f>
        <v/>
      </c>
      <c r="AA1058" t="inlineStr">
        <is>
          <t>Efectivo</t>
        </is>
      </c>
      <c r="AB1058" t="inlineStr">
        <is>
          <t>entregar en bodega</t>
        </is>
      </c>
    </row>
    <row r="1059">
      <c r="A1059" t="inlineStr">
        <is>
          <t>F-11281</t>
        </is>
      </c>
      <c r="B1059" s="3" t="n">
        <v>46278</v>
      </c>
      <c r="C1059" t="inlineStr">
        <is>
          <t>Factura</t>
        </is>
      </c>
      <c r="D1059" t="inlineStr">
        <is>
          <t>LL02</t>
        </is>
      </c>
      <c r="E1059" t="inlineStr">
        <is>
          <t>Puerto de La Libertad</t>
        </is>
      </c>
      <c r="F1059" t="inlineStr">
        <is>
          <t>Calle El Malecón, Local 4</t>
        </is>
      </c>
      <c r="G1059" t="inlineStr">
        <is>
          <t>La Libertad</t>
        </is>
      </c>
      <c r="H1059" t="inlineStr">
        <is>
          <t>La Libertad</t>
        </is>
      </c>
      <c r="I1059" t="inlineStr">
        <is>
          <t>Wendy Aguilar</t>
        </is>
      </c>
      <c r="J1059" t="inlineStr">
        <is>
          <t>2335-6140</t>
        </is>
      </c>
      <c r="K1059" t="inlineStr">
        <is>
          <t>Gabriela Saravia</t>
        </is>
      </c>
      <c r="L1059" t="inlineStr">
        <is>
          <t>René Cornejo Cornejo</t>
        </is>
      </c>
      <c r="M1059" t="inlineStr">
        <is>
          <t>03632979-1</t>
        </is>
      </c>
      <c r="N1059" t="inlineStr">
        <is>
          <t>7833-5595</t>
        </is>
      </c>
      <c r="O1059" t="inlineStr">
        <is>
          <t>Consumidor final</t>
        </is>
      </c>
      <c r="P1059" t="inlineStr">
        <is>
          <t>CAF-002</t>
        </is>
      </c>
      <c r="Q1059" t="inlineStr">
        <is>
          <t>Café en grano 1lb</t>
        </is>
      </c>
      <c r="R1059" t="inlineStr">
        <is>
          <t>Abarrotes</t>
        </is>
      </c>
      <c r="S1059" t="inlineStr">
        <is>
          <t>Café Volcán S.A.</t>
        </is>
      </c>
      <c r="T1059" t="inlineStr">
        <is>
          <t>2510-3344</t>
        </is>
      </c>
      <c r="U1059" t="n">
        <v>6.75</v>
      </c>
      <c r="V1059" t="n">
        <v>1</v>
      </c>
      <c r="W1059" t="n">
        <v>0</v>
      </c>
      <c r="X1059">
        <f>IFERROR(U1059*V1059*(1-W1059/100),"")</f>
        <v/>
      </c>
      <c r="Y1059">
        <f>IFERROR(ROUND(X1059*0.13,2),"")</f>
        <v/>
      </c>
      <c r="Z1059">
        <f>IFERROR(X1059+Y1059,"")</f>
        <v/>
      </c>
      <c r="AA1059" t="inlineStr">
        <is>
          <t>Efectivo</t>
        </is>
      </c>
      <c r="AB1059" t="inlineStr">
        <is>
          <t>pagó con billete de $100</t>
        </is>
      </c>
    </row>
    <row r="1060">
      <c r="A1060" t="inlineStr">
        <is>
          <t>F-11281</t>
        </is>
      </c>
      <c r="B1060" s="3" t="n">
        <v>46278</v>
      </c>
      <c r="C1060" t="inlineStr">
        <is>
          <t>Factura</t>
        </is>
      </c>
      <c r="D1060" t="inlineStr">
        <is>
          <t>LL02</t>
        </is>
      </c>
      <c r="E1060" t="inlineStr">
        <is>
          <t>La Libertad Puerto</t>
        </is>
      </c>
      <c r="F1060" t="inlineStr">
        <is>
          <t>Calle El Malecón, Local 4</t>
        </is>
      </c>
      <c r="G1060" t="inlineStr">
        <is>
          <t>La Libertad</t>
        </is>
      </c>
      <c r="H1060" t="inlineStr">
        <is>
          <t>La Libertad</t>
        </is>
      </c>
      <c r="I1060" t="inlineStr">
        <is>
          <t>Wendy Aguilar</t>
        </is>
      </c>
      <c r="J1060" t="inlineStr">
        <is>
          <t>2335-6140</t>
        </is>
      </c>
      <c r="K1060" t="inlineStr">
        <is>
          <t>Gabriela Saravia</t>
        </is>
      </c>
      <c r="L1060" t="inlineStr">
        <is>
          <t>René Cornejo Cornejo</t>
        </is>
      </c>
      <c r="M1060" t="inlineStr">
        <is>
          <t>03632979-1</t>
        </is>
      </c>
      <c r="N1060" t="inlineStr">
        <is>
          <t>7833-5595</t>
        </is>
      </c>
      <c r="O1060" t="inlineStr">
        <is>
          <t>Consumidor final</t>
        </is>
      </c>
      <c r="P1060" t="inlineStr">
        <is>
          <t>HIG-001</t>
        </is>
      </c>
      <c r="Q1060" t="inlineStr">
        <is>
          <t>Detergente 1kg</t>
        </is>
      </c>
      <c r="R1060" t="inlineStr">
        <is>
          <t>Higiene</t>
        </is>
      </c>
      <c r="S1060" t="inlineStr">
        <is>
          <t>Higiene Total C.A.</t>
        </is>
      </c>
      <c r="T1060" t="inlineStr">
        <is>
          <t>2207-5566</t>
        </is>
      </c>
      <c r="U1060" t="n">
        <v>3.45</v>
      </c>
      <c r="V1060" t="n">
        <v>2</v>
      </c>
      <c r="W1060" t="n">
        <v>0</v>
      </c>
      <c r="X1060">
        <f>IFERROR(U1060*V1060*(1-W1060/100),"")</f>
        <v/>
      </c>
      <c r="Y1060">
        <f>IFERROR(ROUND(X1060*0.13,2),"")</f>
        <v/>
      </c>
      <c r="Z1060">
        <f>IFERROR(X1060+Y1060,"")</f>
        <v/>
      </c>
      <c r="AA1060" t="inlineStr">
        <is>
          <t>Efectivo</t>
        </is>
      </c>
      <c r="AB1060" t="inlineStr">
        <is>
          <t>pagó con billete de $100</t>
        </is>
      </c>
    </row>
    <row r="1061">
      <c r="A1061" t="inlineStr">
        <is>
          <t>F-11282</t>
        </is>
      </c>
      <c r="B1061" t="inlineStr">
        <is>
          <t>2026-08-26</t>
        </is>
      </c>
      <c r="C1061" t="inlineStr">
        <is>
          <t>Factura</t>
        </is>
      </c>
      <c r="D1061" t="inlineStr">
        <is>
          <t>LL01</t>
        </is>
      </c>
      <c r="E1061" t="inlineStr">
        <is>
          <t>Santa Tecla</t>
        </is>
      </c>
      <c r="F1061" t="inlineStr">
        <is>
          <t>Calle Daniel Hernández #18</t>
        </is>
      </c>
      <c r="G1061" t="inlineStr">
        <is>
          <t>Santa Tecla</t>
        </is>
      </c>
      <c r="H1061" t="inlineStr">
        <is>
          <t>La Libertad</t>
        </is>
      </c>
      <c r="I1061" t="inlineStr">
        <is>
          <t>Óscar Rivas</t>
        </is>
      </c>
      <c r="J1061" t="inlineStr">
        <is>
          <t>2228-7731</t>
        </is>
      </c>
      <c r="K1061" t="inlineStr">
        <is>
          <t>Andrea Pineda</t>
        </is>
      </c>
      <c r="L1061" t="inlineStr">
        <is>
          <t>Patricia García Martínez</t>
        </is>
      </c>
      <c r="M1061" t="inlineStr">
        <is>
          <t>02380558-6</t>
        </is>
      </c>
      <c r="N1061" t="inlineStr">
        <is>
          <t>6660-5283</t>
        </is>
      </c>
      <c r="O1061" t="inlineStr">
        <is>
          <t>Consumidor final</t>
        </is>
      </c>
      <c r="P1061" t="inlineStr">
        <is>
          <t>CAF-002</t>
        </is>
      </c>
      <c r="Q1061" t="inlineStr">
        <is>
          <t>Café en grano 1lb</t>
        </is>
      </c>
      <c r="R1061" t="inlineStr">
        <is>
          <t>Abarrotes</t>
        </is>
      </c>
      <c r="S1061" t="inlineStr">
        <is>
          <t>Café Volcán S.A.</t>
        </is>
      </c>
      <c r="T1061" t="inlineStr">
        <is>
          <t>2510-3344</t>
        </is>
      </c>
      <c r="U1061" t="n">
        <v>6.75</v>
      </c>
      <c r="V1061" t="n">
        <v>1</v>
      </c>
      <c r="W1061" t="n">
        <v>0</v>
      </c>
      <c r="X1061">
        <f>IFERROR(U1061*V1061*(1-W1061/100),"")</f>
        <v/>
      </c>
      <c r="Y1061">
        <f>IFERROR(ROUND(X1061*0.13,2),"")</f>
        <v/>
      </c>
      <c r="Z1061">
        <f>IFERROR(X1061+Y1061,"")</f>
        <v/>
      </c>
      <c r="AA1061" t="inlineStr">
        <is>
          <t>Transferencia</t>
        </is>
      </c>
      <c r="AB1061" t="inlineStr">
        <is>
          <t>Cliente frecuente</t>
        </is>
      </c>
    </row>
    <row r="1062">
      <c r="A1062" t="inlineStr">
        <is>
          <t>F-11282</t>
        </is>
      </c>
      <c r="B1062" t="inlineStr">
        <is>
          <t>2026-08-26</t>
        </is>
      </c>
      <c r="C1062" t="inlineStr">
        <is>
          <t>Factura</t>
        </is>
      </c>
      <c r="D1062" t="inlineStr">
        <is>
          <t>LL01</t>
        </is>
      </c>
      <c r="E1062" t="inlineStr">
        <is>
          <t>Santa Tecla</t>
        </is>
      </c>
      <c r="F1062" t="inlineStr">
        <is>
          <t>Calle Daniel Hernández #18</t>
        </is>
      </c>
      <c r="G1062" t="inlineStr">
        <is>
          <t>Santa Tecla</t>
        </is>
      </c>
      <c r="H1062" t="inlineStr">
        <is>
          <t>La Libertad</t>
        </is>
      </c>
      <c r="I1062" t="inlineStr">
        <is>
          <t>Óscar Rivas</t>
        </is>
      </c>
      <c r="J1062" t="inlineStr">
        <is>
          <t>2228-7731</t>
        </is>
      </c>
      <c r="K1062" t="inlineStr">
        <is>
          <t>Andrea Pineda</t>
        </is>
      </c>
      <c r="L1062" t="inlineStr">
        <is>
          <t>Patricia García Martínez</t>
        </is>
      </c>
      <c r="M1062" t="inlineStr">
        <is>
          <t>02380558-6</t>
        </is>
      </c>
      <c r="N1062" t="inlineStr">
        <is>
          <t>6660-5283</t>
        </is>
      </c>
      <c r="O1062" t="inlineStr">
        <is>
          <t>Consumidor final</t>
        </is>
      </c>
      <c r="P1062" t="inlineStr">
        <is>
          <t>CAF-002</t>
        </is>
      </c>
      <c r="Q1062" t="inlineStr">
        <is>
          <t>Café en grano 1lb</t>
        </is>
      </c>
      <c r="R1062" t="inlineStr">
        <is>
          <t>Abarrotes</t>
        </is>
      </c>
      <c r="S1062" t="inlineStr">
        <is>
          <t>Café Volcán S.A.</t>
        </is>
      </c>
      <c r="T1062" t="inlineStr">
        <is>
          <t>2510-3344</t>
        </is>
      </c>
      <c r="U1062" t="n">
        <v>6.75</v>
      </c>
      <c r="V1062" t="n">
        <v>1</v>
      </c>
      <c r="W1062" t="n">
        <v>0</v>
      </c>
      <c r="X1062">
        <f>IFERROR(U1062*V1062*(1-W1062/100),"")</f>
        <v/>
      </c>
      <c r="Y1062">
        <f>IFERROR(ROUND(X1062*0.13,2),"")</f>
        <v/>
      </c>
      <c r="Z1062">
        <f>IFERROR(X1062+Y1062,"")</f>
        <v/>
      </c>
      <c r="AA1062" t="inlineStr">
        <is>
          <t>Transferencia</t>
        </is>
      </c>
      <c r="AB1062" t="inlineStr">
        <is>
          <t>Cliente frecuente</t>
        </is>
      </c>
    </row>
    <row r="1063">
      <c r="A1063" t="inlineStr">
        <is>
          <t>F-11282</t>
        </is>
      </c>
      <c r="B1063" t="inlineStr">
        <is>
          <t>26/08/2026</t>
        </is>
      </c>
      <c r="C1063" t="inlineStr">
        <is>
          <t>Factura</t>
        </is>
      </c>
      <c r="D1063" t="inlineStr">
        <is>
          <t>LL01</t>
        </is>
      </c>
      <c r="E1063" t="inlineStr">
        <is>
          <t>SANTA TECLA</t>
        </is>
      </c>
      <c r="F1063" t="inlineStr">
        <is>
          <t>Calle Daniel Hernández #18</t>
        </is>
      </c>
      <c r="G1063" t="inlineStr">
        <is>
          <t>Santa Tecla</t>
        </is>
      </c>
      <c r="H1063" t="inlineStr">
        <is>
          <t>La Libertad</t>
        </is>
      </c>
      <c r="I1063" t="inlineStr">
        <is>
          <t>Óscar Rivas</t>
        </is>
      </c>
      <c r="J1063" t="inlineStr">
        <is>
          <t>2228-7731</t>
        </is>
      </c>
      <c r="K1063" t="inlineStr">
        <is>
          <t>Andrea Pineda</t>
        </is>
      </c>
      <c r="L1063" t="inlineStr">
        <is>
          <t>Patricia García Martínez</t>
        </is>
      </c>
      <c r="M1063" t="inlineStr"/>
      <c r="N1063" t="inlineStr">
        <is>
          <t>6660-5283</t>
        </is>
      </c>
      <c r="O1063" t="inlineStr">
        <is>
          <t>Consumidor final</t>
        </is>
      </c>
      <c r="P1063" t="inlineStr">
        <is>
          <t>HIG-002</t>
        </is>
      </c>
      <c r="Q1063" t="inlineStr">
        <is>
          <t>Papel higiénico 4 rollos</t>
        </is>
      </c>
      <c r="R1063" t="inlineStr">
        <is>
          <t>Higiene</t>
        </is>
      </c>
      <c r="S1063" t="inlineStr">
        <is>
          <t>Higiene Total C.A.</t>
        </is>
      </c>
      <c r="T1063" t="inlineStr">
        <is>
          <t>2207-5566</t>
        </is>
      </c>
      <c r="U1063" t="inlineStr">
        <is>
          <t>$2.15</t>
        </is>
      </c>
      <c r="V1063" t="n">
        <v>1</v>
      </c>
      <c r="W1063" t="n">
        <v>0</v>
      </c>
      <c r="X1063">
        <f>IFERROR(U1063*V1063*(1-W1063/100),"")</f>
        <v/>
      </c>
      <c r="Y1063">
        <f>IFERROR(ROUND(X1063*0.13,2),"")</f>
        <v/>
      </c>
      <c r="Z1063">
        <f>IFERROR(X1063+Y1063,"")</f>
        <v/>
      </c>
      <c r="AA1063" t="inlineStr">
        <is>
          <t>Transferencia</t>
        </is>
      </c>
      <c r="AB1063" t="inlineStr"/>
    </row>
    <row r="1064">
      <c r="A1064" t="inlineStr">
        <is>
          <t>F-11282</t>
        </is>
      </c>
      <c r="B1064" s="3" t="n">
        <v>46260</v>
      </c>
      <c r="C1064" t="inlineStr">
        <is>
          <t>Factura</t>
        </is>
      </c>
      <c r="D1064" t="inlineStr">
        <is>
          <t>LL01</t>
        </is>
      </c>
      <c r="E1064" t="inlineStr">
        <is>
          <t>Santa Tecla</t>
        </is>
      </c>
      <c r="F1064" t="inlineStr">
        <is>
          <t>Calle Daniel Hernández #18</t>
        </is>
      </c>
      <c r="G1064" t="inlineStr">
        <is>
          <t>Santa Tecla</t>
        </is>
      </c>
      <c r="H1064" t="inlineStr">
        <is>
          <t>La Libertad</t>
        </is>
      </c>
      <c r="I1064" t="inlineStr">
        <is>
          <t>Óscar Rivas</t>
        </is>
      </c>
      <c r="J1064" t="inlineStr">
        <is>
          <t>2228-7731</t>
        </is>
      </c>
      <c r="K1064" t="inlineStr">
        <is>
          <t>Andrea Pineda</t>
        </is>
      </c>
      <c r="L1064" t="inlineStr">
        <is>
          <t>Patricia García Martínez</t>
        </is>
      </c>
      <c r="M1064" t="inlineStr">
        <is>
          <t>02380558-6</t>
        </is>
      </c>
      <c r="N1064" t="inlineStr">
        <is>
          <t>6660-5283</t>
        </is>
      </c>
      <c r="O1064" t="inlineStr">
        <is>
          <t>Consumidor final</t>
        </is>
      </c>
      <c r="P1064" t="inlineStr">
        <is>
          <t>ARR-001</t>
        </is>
      </c>
      <c r="Q1064" t="inlineStr">
        <is>
          <t>Arroz blanco 5lb</t>
        </is>
      </c>
      <c r="R1064" t="inlineStr">
        <is>
          <t>Abarrotes</t>
        </is>
      </c>
      <c r="S1064" t="inlineStr">
        <is>
          <t>Granos del Pacífico</t>
        </is>
      </c>
      <c r="T1064" t="inlineStr">
        <is>
          <t>2234-8890</t>
        </is>
      </c>
      <c r="U1064" t="n">
        <v>3.95</v>
      </c>
      <c r="V1064" t="n">
        <v>4</v>
      </c>
      <c r="W1064" t="n">
        <v>0</v>
      </c>
      <c r="X1064">
        <f>IFERROR(U1064*V1064*(1-W1064/100),"")</f>
        <v/>
      </c>
      <c r="Y1064">
        <f>IFERROR(ROUND(X1064*0.13,2),"")</f>
        <v/>
      </c>
      <c r="Z1064">
        <f>IFERROR(X1064+Y1064,"")</f>
        <v/>
      </c>
      <c r="AA1064" t="inlineStr">
        <is>
          <t>Transferencia</t>
        </is>
      </c>
      <c r="AB1064" t="inlineStr"/>
    </row>
    <row r="1065">
      <c r="A1065" t="inlineStr">
        <is>
          <t>F-11284</t>
        </is>
      </c>
      <c r="B1065" s="3" t="n">
        <v>46288</v>
      </c>
      <c r="C1065" t="inlineStr">
        <is>
          <t>Factura</t>
        </is>
      </c>
      <c r="D1065" t="inlineStr">
        <is>
          <t>LL01</t>
        </is>
      </c>
      <c r="E1065" t="inlineStr">
        <is>
          <t>Santa Tecla</t>
        </is>
      </c>
      <c r="F1065" t="inlineStr">
        <is>
          <t>Calle Daniel Hernández #18</t>
        </is>
      </c>
      <c r="G1065" t="inlineStr">
        <is>
          <t>Santa Tecla</t>
        </is>
      </c>
      <c r="H1065" t="inlineStr">
        <is>
          <t>La Libertad</t>
        </is>
      </c>
      <c r="I1065" t="inlineStr">
        <is>
          <t>Óscar Rivas</t>
        </is>
      </c>
      <c r="J1065" t="inlineStr">
        <is>
          <t>2228-7731</t>
        </is>
      </c>
      <c r="K1065" t="inlineStr">
        <is>
          <t>Luis Escobar</t>
        </is>
      </c>
      <c r="L1065" t="inlineStr">
        <is>
          <t>Edwin Rivera Guevara</t>
        </is>
      </c>
      <c r="M1065" t="inlineStr">
        <is>
          <t>03840762-1</t>
        </is>
      </c>
      <c r="N1065" t="inlineStr">
        <is>
          <t>7817-8484</t>
        </is>
      </c>
      <c r="O1065" t="inlineStr">
        <is>
          <t>Consumidor final</t>
        </is>
      </c>
      <c r="P1065" t="inlineStr">
        <is>
          <t>LAC-002</t>
        </is>
      </c>
      <c r="Q1065" t="inlineStr">
        <is>
          <t>Crema 500ml</t>
        </is>
      </c>
      <c r="R1065" t="inlineStr">
        <is>
          <t>Lácteos</t>
        </is>
      </c>
      <c r="S1065" t="inlineStr">
        <is>
          <t>Lácteos Chalate</t>
        </is>
      </c>
      <c r="T1065" t="inlineStr">
        <is>
          <t>2335-1020</t>
        </is>
      </c>
      <c r="U1065" t="inlineStr">
        <is>
          <t>$2.25</t>
        </is>
      </c>
      <c r="V1065" t="n">
        <v>24</v>
      </c>
      <c r="W1065" t="n">
        <v>0</v>
      </c>
      <c r="X1065">
        <f>IFERROR(U1065*V1065*(1-W1065/100),"")</f>
        <v/>
      </c>
      <c r="Y1065">
        <f>IFERROR(ROUND(X1065*0.13,2),"")</f>
        <v/>
      </c>
      <c r="Z1065">
        <f>IFERROR(X1065+Y1065,"")</f>
        <v/>
      </c>
      <c r="AA1065" t="inlineStr">
        <is>
          <t>Tarjeta</t>
        </is>
      </c>
      <c r="AB1065" t="inlineStr">
        <is>
          <t>pagó con billete de $100</t>
        </is>
      </c>
    </row>
    <row r="1066">
      <c r="A1066" t="inlineStr">
        <is>
          <t>F-11284</t>
        </is>
      </c>
      <c r="B1066" s="3" t="n">
        <v>46288</v>
      </c>
      <c r="C1066" t="inlineStr">
        <is>
          <t>Factura</t>
        </is>
      </c>
      <c r="D1066" t="inlineStr">
        <is>
          <t>LL01</t>
        </is>
      </c>
      <c r="E1066" t="inlineStr">
        <is>
          <t>Santa Tecla</t>
        </is>
      </c>
      <c r="F1066" t="inlineStr">
        <is>
          <t>Calle Daniel Hernández #18</t>
        </is>
      </c>
      <c r="G1066" t="inlineStr">
        <is>
          <t>Santa Tecla</t>
        </is>
      </c>
      <c r="H1066" t="inlineStr">
        <is>
          <t>La Libertad</t>
        </is>
      </c>
      <c r="I1066" t="inlineStr">
        <is>
          <t>Óscar Rivas</t>
        </is>
      </c>
      <c r="J1066" t="inlineStr">
        <is>
          <t>2228-7731</t>
        </is>
      </c>
      <c r="K1066" t="inlineStr">
        <is>
          <t>Luis Escobar</t>
        </is>
      </c>
      <c r="L1066" t="inlineStr">
        <is>
          <t>EDWIN RIVERA GUEVARA</t>
        </is>
      </c>
      <c r="M1066" t="inlineStr">
        <is>
          <t>03840762-1</t>
        </is>
      </c>
      <c r="N1066" t="inlineStr">
        <is>
          <t>7817-8484</t>
        </is>
      </c>
      <c r="O1066" t="inlineStr">
        <is>
          <t>Consumidor final</t>
        </is>
      </c>
      <c r="P1066" t="inlineStr">
        <is>
          <t>ARR-001</t>
        </is>
      </c>
      <c r="Q1066" t="inlineStr">
        <is>
          <t>Arroz blanco 5lb</t>
        </is>
      </c>
      <c r="R1066" t="inlineStr">
        <is>
          <t>Abarrotes</t>
        </is>
      </c>
      <c r="S1066" t="inlineStr">
        <is>
          <t>Granos del Pacífico</t>
        </is>
      </c>
      <c r="T1066" t="inlineStr">
        <is>
          <t>2234-8890</t>
        </is>
      </c>
      <c r="U1066" t="inlineStr">
        <is>
          <t>$3.95</t>
        </is>
      </c>
      <c r="V1066" t="n">
        <v>6</v>
      </c>
      <c r="W1066" t="n">
        <v>0</v>
      </c>
      <c r="X1066">
        <f>IFERROR(U1066*V1066*(1-W1066/100),"")</f>
        <v/>
      </c>
      <c r="Y1066">
        <f>IFERROR(ROUND(X1066*0.13,2),"")</f>
        <v/>
      </c>
      <c r="Z1066">
        <f>IFERROR(X1066+Y1066,"")</f>
        <v/>
      </c>
      <c r="AA1066" t="inlineStr">
        <is>
          <t>Tarjeta</t>
        </is>
      </c>
      <c r="AB1066" t="inlineStr">
        <is>
          <t>Cliente frecuente</t>
        </is>
      </c>
    </row>
    <row r="1067">
      <c r="A1067" t="inlineStr">
        <is>
          <t>11284</t>
        </is>
      </c>
      <c r="B1067" s="3" t="n">
        <v>46288</v>
      </c>
      <c r="C1067" t="inlineStr">
        <is>
          <t>Factura</t>
        </is>
      </c>
      <c r="D1067" t="inlineStr">
        <is>
          <t>LL01</t>
        </is>
      </c>
      <c r="E1067" t="inlineStr">
        <is>
          <t>SANTA TECLA</t>
        </is>
      </c>
      <c r="F1067" t="inlineStr">
        <is>
          <t>Calle Daniel Hernández #18</t>
        </is>
      </c>
      <c r="G1067" t="inlineStr">
        <is>
          <t>Santa Tecla</t>
        </is>
      </c>
      <c r="H1067" t="inlineStr">
        <is>
          <t>La Libertad</t>
        </is>
      </c>
      <c r="I1067" t="inlineStr">
        <is>
          <t>Óscar Rivas</t>
        </is>
      </c>
      <c r="J1067" t="inlineStr">
        <is>
          <t>2228-7731</t>
        </is>
      </c>
      <c r="K1067" t="inlineStr">
        <is>
          <t>Luis Escobar</t>
        </is>
      </c>
      <c r="L1067" t="inlineStr">
        <is>
          <t>Edwin Rivera Guevara</t>
        </is>
      </c>
      <c r="M1067" t="inlineStr">
        <is>
          <t>03840762-1</t>
        </is>
      </c>
      <c r="N1067" t="inlineStr">
        <is>
          <t>7817-8484</t>
        </is>
      </c>
      <c r="O1067" t="inlineStr">
        <is>
          <t>Consumidor final</t>
        </is>
      </c>
      <c r="P1067" t="inlineStr">
        <is>
          <t>PAN-002</t>
        </is>
      </c>
      <c r="Q1067" t="inlineStr">
        <is>
          <t>Semita alta</t>
        </is>
      </c>
      <c r="R1067" t="inlineStr">
        <is>
          <t>Panadería</t>
        </is>
      </c>
      <c r="S1067" t="inlineStr">
        <is>
          <t>Panificadora Ilopango</t>
        </is>
      </c>
      <c r="T1067" t="inlineStr">
        <is>
          <t>2295-0081</t>
        </is>
      </c>
      <c r="U1067" t="n">
        <v>1.75</v>
      </c>
      <c r="V1067" t="n">
        <v>6</v>
      </c>
      <c r="W1067" t="n">
        <v>0</v>
      </c>
      <c r="X1067">
        <f>IFERROR(U1067*V1067*(1-W1067/100),"")</f>
        <v/>
      </c>
      <c r="Y1067">
        <f>IFERROR(ROUND(X1067*0.13,2),"")</f>
        <v/>
      </c>
      <c r="Z1067">
        <f>IFERROR(X1067+Y1067,"")</f>
        <v/>
      </c>
      <c r="AA1067" t="inlineStr">
        <is>
          <t>Tarjeta</t>
        </is>
      </c>
      <c r="AB1067" t="inlineStr"/>
    </row>
    <row r="1068">
      <c r="A1068" t="inlineStr">
        <is>
          <t>F-11284</t>
        </is>
      </c>
      <c r="B1068" s="3" t="n">
        <v>46288</v>
      </c>
      <c r="C1068" t="inlineStr">
        <is>
          <t>Factura</t>
        </is>
      </c>
      <c r="D1068" t="inlineStr">
        <is>
          <t>LL01</t>
        </is>
      </c>
      <c r="E1068" t="inlineStr">
        <is>
          <t>Sta. Tecla</t>
        </is>
      </c>
      <c r="F1068" t="inlineStr">
        <is>
          <t>Calle Daniel Hernández #18</t>
        </is>
      </c>
      <c r="G1068" t="inlineStr">
        <is>
          <t>Santa Tecla</t>
        </is>
      </c>
      <c r="H1068" t="inlineStr">
        <is>
          <t>La Libertad</t>
        </is>
      </c>
      <c r="I1068" t="inlineStr">
        <is>
          <t>Óscar Rivas</t>
        </is>
      </c>
      <c r="J1068" t="inlineStr">
        <is>
          <t>2228-7731</t>
        </is>
      </c>
      <c r="K1068" t="inlineStr">
        <is>
          <t>Luis Escobar</t>
        </is>
      </c>
      <c r="L1068" t="inlineStr">
        <is>
          <t>Edwin Rivera Guevara</t>
        </is>
      </c>
      <c r="M1068" t="inlineStr">
        <is>
          <t>03840762-1</t>
        </is>
      </c>
      <c r="N1068" t="inlineStr">
        <is>
          <t>7817-8484</t>
        </is>
      </c>
      <c r="O1068" t="inlineStr">
        <is>
          <t>Consumidor final</t>
        </is>
      </c>
      <c r="P1068" t="inlineStr">
        <is>
          <t>HIG-001</t>
        </is>
      </c>
      <c r="Q1068" t="inlineStr">
        <is>
          <t>Detergente 1kg</t>
        </is>
      </c>
      <c r="R1068" t="inlineStr">
        <is>
          <t>limpieza</t>
        </is>
      </c>
      <c r="S1068" t="inlineStr">
        <is>
          <t>Higiene Total C.A.</t>
        </is>
      </c>
      <c r="T1068" t="inlineStr">
        <is>
          <t>2207-5566</t>
        </is>
      </c>
      <c r="U1068" t="inlineStr">
        <is>
          <t>3,45</t>
        </is>
      </c>
      <c r="V1068" t="n">
        <v>4</v>
      </c>
      <c r="W1068" t="n">
        <v>0</v>
      </c>
      <c r="X1068">
        <f>IFERROR(U1068*V1068*(1-W1068/100),"")</f>
        <v/>
      </c>
      <c r="Y1068">
        <f>IFERROR(ROUND(X1068*0.13,2),"")</f>
        <v/>
      </c>
      <c r="Z1068">
        <f>IFERROR(X1068+Y1068,"")</f>
        <v/>
      </c>
      <c r="AA1068" t="inlineStr">
        <is>
          <t>Tarjeta</t>
        </is>
      </c>
      <c r="AB1068" t="inlineStr"/>
    </row>
    <row r="1069">
      <c r="A1069" t="inlineStr">
        <is>
          <t>F-11286</t>
        </is>
      </c>
      <c r="B1069" s="3" t="n">
        <v>46249</v>
      </c>
      <c r="C1069" t="inlineStr">
        <is>
          <t>factura</t>
        </is>
      </c>
      <c r="D1069" t="inlineStr">
        <is>
          <t>SA01</t>
        </is>
      </c>
      <c r="E1069" t="inlineStr">
        <is>
          <t>Santa Ana</t>
        </is>
      </c>
      <c r="F1069" t="inlineStr">
        <is>
          <t>Av. Independencia Sur #12</t>
        </is>
      </c>
      <c r="G1069" t="inlineStr">
        <is>
          <t>Santa Ana</t>
        </is>
      </c>
      <c r="H1069" t="inlineStr">
        <is>
          <t>Santa Ana</t>
        </is>
      </c>
      <c r="I1069" t="inlineStr">
        <is>
          <t>Mauricio Linares</t>
        </is>
      </c>
      <c r="J1069" t="inlineStr">
        <is>
          <t>2440-9921</t>
        </is>
      </c>
      <c r="K1069" t="inlineStr">
        <is>
          <t>Diego Zelaya</t>
        </is>
      </c>
      <c r="L1069" t="inlineStr">
        <is>
          <t>Jorge García Hernández</t>
        </is>
      </c>
      <c r="M1069" t="inlineStr">
        <is>
          <t>09167886-4</t>
        </is>
      </c>
      <c r="N1069" t="inlineStr">
        <is>
          <t>7875-6853</t>
        </is>
      </c>
      <c r="O1069" t="inlineStr">
        <is>
          <t>Consumidor final</t>
        </is>
      </c>
      <c r="P1069" t="inlineStr">
        <is>
          <t>HIG-002</t>
        </is>
      </c>
      <c r="Q1069" t="inlineStr">
        <is>
          <t>Papel higiénico 4 rollos</t>
        </is>
      </c>
      <c r="R1069" t="inlineStr">
        <is>
          <t>Limpieza</t>
        </is>
      </c>
      <c r="S1069" t="inlineStr">
        <is>
          <t>Higiene Total C.A.</t>
        </is>
      </c>
      <c r="T1069" t="inlineStr">
        <is>
          <t>2207-5566</t>
        </is>
      </c>
      <c r="U1069" t="n">
        <v>2.15</v>
      </c>
      <c r="V1069" t="n">
        <v>24</v>
      </c>
      <c r="W1069" t="n">
        <v>0</v>
      </c>
      <c r="X1069">
        <f>IFERROR(U1069*V1069*(1-W1069/100),"")</f>
        <v/>
      </c>
      <c r="Y1069">
        <f>IFERROR(ROUND(X1069*0.13,2),"")</f>
        <v/>
      </c>
      <c r="Z1069">
        <f>IFERROR(X1069+Y1069,"")</f>
        <v/>
      </c>
      <c r="AA1069" t="inlineStr">
        <is>
          <t>efectivo</t>
        </is>
      </c>
      <c r="AB1069" t="inlineStr">
        <is>
          <t>Llamar al 7788-1234 antes de entregar</t>
        </is>
      </c>
    </row>
    <row r="1070">
      <c r="A1070" t="inlineStr">
        <is>
          <t>F-11286</t>
        </is>
      </c>
      <c r="B1070" s="3" t="n">
        <v>46249</v>
      </c>
      <c r="C1070" t="inlineStr">
        <is>
          <t>factura</t>
        </is>
      </c>
      <c r="D1070" t="inlineStr">
        <is>
          <t>SA01</t>
        </is>
      </c>
      <c r="E1070" t="inlineStr">
        <is>
          <t>Santa  Ana</t>
        </is>
      </c>
      <c r="F1070" t="inlineStr">
        <is>
          <t>Av. Independencia Sur #12</t>
        </is>
      </c>
      <c r="G1070" t="inlineStr">
        <is>
          <t>Santa Ana</t>
        </is>
      </c>
      <c r="H1070" t="inlineStr">
        <is>
          <t>Santa Ana</t>
        </is>
      </c>
      <c r="I1070" t="inlineStr">
        <is>
          <t>Mauricio Linares</t>
        </is>
      </c>
      <c r="J1070" t="inlineStr">
        <is>
          <t>2440-9921</t>
        </is>
      </c>
      <c r="K1070" t="inlineStr">
        <is>
          <t>Diego Zelaya</t>
        </is>
      </c>
      <c r="L1070" t="inlineStr">
        <is>
          <t>Jorge García Hernández</t>
        </is>
      </c>
      <c r="M1070" t="inlineStr">
        <is>
          <t>09167886-4</t>
        </is>
      </c>
      <c r="N1070" t="inlineStr">
        <is>
          <t>7875-6853</t>
        </is>
      </c>
      <c r="O1070" t="inlineStr">
        <is>
          <t>Consumidor final</t>
        </is>
      </c>
      <c r="P1070" t="inlineStr">
        <is>
          <t>BEB-002</t>
        </is>
      </c>
      <c r="Q1070" t="inlineStr">
        <is>
          <t>Agua purificada 1 galón</t>
        </is>
      </c>
      <c r="R1070" t="inlineStr">
        <is>
          <t>Bebidas</t>
        </is>
      </c>
      <c r="S1070" t="inlineStr">
        <is>
          <t>Bebidas Izalco</t>
        </is>
      </c>
      <c r="T1070" t="inlineStr">
        <is>
          <t>2450-7700</t>
        </is>
      </c>
      <c r="U1070" t="n">
        <v>1.1</v>
      </c>
      <c r="V1070" t="n">
        <v>4</v>
      </c>
      <c r="W1070" t="n">
        <v>0</v>
      </c>
      <c r="X1070">
        <f>IFERROR(U1070*V1070*(1-W1070/100),"")</f>
        <v/>
      </c>
      <c r="Y1070">
        <f>IFERROR(ROUND(X1070*0.13,2),"")</f>
        <v/>
      </c>
      <c r="Z1070">
        <f>IFERROR(X1070+Y1070,"")</f>
        <v/>
      </c>
      <c r="AA1070" t="inlineStr">
        <is>
          <t>efectivo</t>
        </is>
      </c>
      <c r="AB1070" t="inlineStr"/>
    </row>
    <row r="1071">
      <c r="A1071" t="inlineStr">
        <is>
          <t>F-11286</t>
        </is>
      </c>
      <c r="B1071" t="inlineStr">
        <is>
          <t>15/08/2026</t>
        </is>
      </c>
      <c r="C1071" t="inlineStr">
        <is>
          <t>factura</t>
        </is>
      </c>
      <c r="D1071" t="inlineStr">
        <is>
          <t>SA01</t>
        </is>
      </c>
      <c r="E1071" t="inlineStr">
        <is>
          <t>Santa  Ana</t>
        </is>
      </c>
      <c r="F1071" t="inlineStr">
        <is>
          <t>Av. Independencia Sur #12</t>
        </is>
      </c>
      <c r="G1071" t="inlineStr">
        <is>
          <t>Santa Ana</t>
        </is>
      </c>
      <c r="H1071" t="inlineStr">
        <is>
          <t>Santa Ana</t>
        </is>
      </c>
      <c r="I1071" t="inlineStr">
        <is>
          <t>Mauricio Linares</t>
        </is>
      </c>
      <c r="J1071" t="inlineStr">
        <is>
          <t>2440-9921</t>
        </is>
      </c>
      <c r="K1071" t="inlineStr">
        <is>
          <t>Diego Zelaya</t>
        </is>
      </c>
      <c r="L1071" t="inlineStr">
        <is>
          <t>Jorge García Hernández</t>
        </is>
      </c>
      <c r="M1071" t="inlineStr"/>
      <c r="N1071" t="inlineStr">
        <is>
          <t>7875-6853</t>
        </is>
      </c>
      <c r="O1071" t="inlineStr">
        <is>
          <t>Consumidor final</t>
        </is>
      </c>
      <c r="P1071" t="inlineStr">
        <is>
          <t>LAC-002</t>
        </is>
      </c>
      <c r="Q1071" t="inlineStr">
        <is>
          <t>Crema 500ml</t>
        </is>
      </c>
      <c r="R1071" t="inlineStr">
        <is>
          <t>Lacteos</t>
        </is>
      </c>
      <c r="S1071" t="inlineStr">
        <is>
          <t>Lácteos Chalate</t>
        </is>
      </c>
      <c r="T1071" t="inlineStr">
        <is>
          <t>2335-1020</t>
        </is>
      </c>
      <c r="U1071" t="n">
        <v>2.25</v>
      </c>
      <c r="V1071" t="n">
        <v>1</v>
      </c>
      <c r="W1071" t="n">
        <v>0</v>
      </c>
      <c r="X1071">
        <f>IFERROR(U1071*V1071*(1-W1071/100),"")</f>
        <v/>
      </c>
      <c r="Y1071">
        <f>IFERROR(ROUND(X1071*0.13,2),"")</f>
        <v/>
      </c>
      <c r="Z1071">
        <f>IFERROR(X1071+Y1071,"")</f>
        <v/>
      </c>
      <c r="AA1071" t="inlineStr">
        <is>
          <t>efectivo</t>
        </is>
      </c>
      <c r="AB1071" t="inlineStr"/>
    </row>
    <row r="1072">
      <c r="A1072" t="inlineStr">
        <is>
          <t>F-11286</t>
        </is>
      </c>
      <c r="B1072" t="inlineStr">
        <is>
          <t>15/08/2026</t>
        </is>
      </c>
      <c r="C1072" t="inlineStr">
        <is>
          <t>factura</t>
        </is>
      </c>
      <c r="D1072" t="inlineStr">
        <is>
          <t>SA01</t>
        </is>
      </c>
      <c r="E1072" t="inlineStr">
        <is>
          <t>Santa  Ana</t>
        </is>
      </c>
      <c r="F1072" t="inlineStr">
        <is>
          <t>Av. Independencia Sur #12</t>
        </is>
      </c>
      <c r="G1072" t="inlineStr">
        <is>
          <t>Santa Ana</t>
        </is>
      </c>
      <c r="H1072" t="inlineStr">
        <is>
          <t>Santa Ana</t>
        </is>
      </c>
      <c r="I1072" t="inlineStr">
        <is>
          <t>Mauricio Linares</t>
        </is>
      </c>
      <c r="J1072" t="inlineStr">
        <is>
          <t>2440-9921</t>
        </is>
      </c>
      <c r="K1072" t="inlineStr">
        <is>
          <t>Diego Zelaya</t>
        </is>
      </c>
      <c r="L1072" t="inlineStr">
        <is>
          <t>Jorge García Hernández</t>
        </is>
      </c>
      <c r="M1072" t="inlineStr"/>
      <c r="N1072" t="inlineStr">
        <is>
          <t>7875-6853</t>
        </is>
      </c>
      <c r="O1072" t="inlineStr">
        <is>
          <t>Consumidor final</t>
        </is>
      </c>
      <c r="P1072" t="inlineStr">
        <is>
          <t>LAC-002</t>
        </is>
      </c>
      <c r="Q1072" t="inlineStr">
        <is>
          <t>Crema 500ml</t>
        </is>
      </c>
      <c r="R1072" t="inlineStr">
        <is>
          <t>Lacteos</t>
        </is>
      </c>
      <c r="S1072" t="inlineStr">
        <is>
          <t>Lácteos Chalate</t>
        </is>
      </c>
      <c r="T1072" t="inlineStr">
        <is>
          <t>2335-1020</t>
        </is>
      </c>
      <c r="U1072" t="n">
        <v>2.25</v>
      </c>
      <c r="V1072" t="n">
        <v>1</v>
      </c>
      <c r="W1072" t="n">
        <v>0</v>
      </c>
      <c r="X1072">
        <f>IFERROR(U1072*V1072*(1-W1072/100),"")</f>
        <v/>
      </c>
      <c r="Y1072">
        <f>IFERROR(ROUND(X1072*0.13,2),"")</f>
        <v/>
      </c>
      <c r="Z1072">
        <f>IFERROR(X1072+Y1072,"")</f>
        <v/>
      </c>
      <c r="AA1072" t="inlineStr">
        <is>
          <t>efectivo</t>
        </is>
      </c>
      <c r="AB1072" t="inlineStr"/>
    </row>
    <row r="1073">
      <c r="A1073" t="inlineStr">
        <is>
          <t>F-11287</t>
        </is>
      </c>
      <c r="B1073" s="3" t="n">
        <v>46273</v>
      </c>
      <c r="C1073" t="inlineStr">
        <is>
          <t>Factura</t>
        </is>
      </c>
      <c r="D1073" t="inlineStr">
        <is>
          <t>SA01</t>
        </is>
      </c>
      <c r="E1073" t="inlineStr">
        <is>
          <t>STA ANA</t>
        </is>
      </c>
      <c r="F1073" t="inlineStr">
        <is>
          <t>Av. Independencia Sur #12</t>
        </is>
      </c>
      <c r="G1073" t="inlineStr">
        <is>
          <t>Santa Ana</t>
        </is>
      </c>
      <c r="H1073" t="inlineStr">
        <is>
          <t>Santa Ana</t>
        </is>
      </c>
      <c r="I1073" t="inlineStr">
        <is>
          <t>Verónica Sandoval</t>
        </is>
      </c>
      <c r="J1073" t="inlineStr">
        <is>
          <t>2440-9921</t>
        </is>
      </c>
      <c r="K1073" t="inlineStr">
        <is>
          <t>Diego Zelaya</t>
        </is>
      </c>
      <c r="L1073" t="inlineStr">
        <is>
          <t>Mario Sorto Castillo</t>
        </is>
      </c>
      <c r="M1073" t="inlineStr">
        <is>
          <t>09824839-0</t>
        </is>
      </c>
      <c r="N1073" t="inlineStr">
        <is>
          <t>7450-4234</t>
        </is>
      </c>
      <c r="O1073" t="inlineStr">
        <is>
          <t>Consumidor final</t>
        </is>
      </c>
      <c r="P1073" t="inlineStr">
        <is>
          <t>PAN-001</t>
        </is>
      </c>
      <c r="Q1073" t="inlineStr">
        <is>
          <t>Pan francés bolsa 10u</t>
        </is>
      </c>
      <c r="R1073" t="inlineStr">
        <is>
          <t>Panadería</t>
        </is>
      </c>
      <c r="S1073" t="inlineStr">
        <is>
          <t>Panificadora Ilopango</t>
        </is>
      </c>
      <c r="T1073" t="inlineStr">
        <is>
          <t>2295-0081</t>
        </is>
      </c>
      <c r="U1073" t="n">
        <v>1</v>
      </c>
      <c r="V1073" t="n">
        <v>6</v>
      </c>
      <c r="W1073" t="n">
        <v>0</v>
      </c>
      <c r="X1073">
        <f>IFERROR(U1073*V1073*(1-W1073/100),"")</f>
        <v/>
      </c>
      <c r="Y1073">
        <f>IFERROR(ROUND(X1073*0.13,2),"")</f>
        <v/>
      </c>
      <c r="Z1073">
        <f>IFERROR(X1073+Y1073,"")</f>
        <v/>
      </c>
      <c r="AA1073" t="inlineStr">
        <is>
          <t>Tarjeta</t>
        </is>
      </c>
      <c r="AB1073" t="inlineStr">
        <is>
          <t>entregar en bodega</t>
        </is>
      </c>
    </row>
    <row r="1074">
      <c r="A1074" t="inlineStr">
        <is>
          <t>F-11289</t>
        </is>
      </c>
      <c r="B1074" s="3" t="n">
        <v>46265</v>
      </c>
      <c r="C1074" t="inlineStr">
        <is>
          <t>FCF</t>
        </is>
      </c>
      <c r="D1074" t="inlineStr">
        <is>
          <t>SM01</t>
        </is>
      </c>
      <c r="E1074" t="inlineStr">
        <is>
          <t>SAN MIGUEL</t>
        </is>
      </c>
      <c r="F1074" t="inlineStr">
        <is>
          <t>Av. Roosevelt Sur #7</t>
        </is>
      </c>
      <c r="G1074" t="inlineStr">
        <is>
          <t>San Miguel</t>
        </is>
      </c>
      <c r="H1074" t="inlineStr">
        <is>
          <t>San Miguel</t>
        </is>
      </c>
      <c r="I1074" t="inlineStr">
        <is>
          <t>Iris Portillo</t>
        </is>
      </c>
      <c r="J1074" t="inlineStr">
        <is>
          <t>2661-5076</t>
        </is>
      </c>
      <c r="K1074" t="inlineStr">
        <is>
          <t>Paola Cruz</t>
        </is>
      </c>
      <c r="L1074" t="inlineStr">
        <is>
          <t>Edwin Alvarado García</t>
        </is>
      </c>
      <c r="M1074" t="inlineStr">
        <is>
          <t>03264621-6</t>
        </is>
      </c>
      <c r="N1074" t="inlineStr">
        <is>
          <t>2560-1229</t>
        </is>
      </c>
      <c r="O1074" t="inlineStr">
        <is>
          <t>Consumidor final</t>
        </is>
      </c>
      <c r="P1074" t="inlineStr">
        <is>
          <t>HAR-001</t>
        </is>
      </c>
      <c r="Q1074" t="inlineStr">
        <is>
          <t>Harina de maíz 2lb</t>
        </is>
      </c>
      <c r="R1074" t="inlineStr">
        <is>
          <t>Abarrotes</t>
        </is>
      </c>
      <c r="S1074" t="inlineStr">
        <is>
          <t>Granos del Pacífico</t>
        </is>
      </c>
      <c r="T1074" t="inlineStr">
        <is>
          <t>2234-8890</t>
        </is>
      </c>
      <c r="U1074" t="inlineStr">
        <is>
          <t>$1.35</t>
        </is>
      </c>
      <c r="V1074" t="n">
        <v>6</v>
      </c>
      <c r="W1074" t="n">
        <v>0</v>
      </c>
      <c r="X1074">
        <f>IFERROR(U1074*V1074*(1-W1074/100),"")</f>
        <v/>
      </c>
      <c r="Y1074">
        <f>IFERROR(ROUND(X1074*0.13,2),"")</f>
        <v/>
      </c>
      <c r="Z1074">
        <f>IFERROR(X1074+Y1074,"")</f>
        <v/>
      </c>
      <c r="AA1074" t="inlineStr">
        <is>
          <t>Efectivo</t>
        </is>
      </c>
      <c r="AB1074" t="inlineStr"/>
    </row>
    <row r="1075">
      <c r="A1075" t="inlineStr">
        <is>
          <t>F-11289</t>
        </is>
      </c>
      <c r="B1075" s="3" t="n">
        <v>46265</v>
      </c>
      <c r="C1075" t="inlineStr">
        <is>
          <t>FCF</t>
        </is>
      </c>
      <c r="D1075" t="inlineStr">
        <is>
          <t>SM01</t>
        </is>
      </c>
      <c r="E1075" t="inlineStr">
        <is>
          <t>SAN MIGUEL</t>
        </is>
      </c>
      <c r="F1075" t="inlineStr">
        <is>
          <t>Av. Roosevelt Sur #7</t>
        </is>
      </c>
      <c r="G1075" t="inlineStr">
        <is>
          <t>San Miguel</t>
        </is>
      </c>
      <c r="H1075" t="inlineStr">
        <is>
          <t>San Miguel</t>
        </is>
      </c>
      <c r="I1075" t="inlineStr">
        <is>
          <t>Iris Portillo</t>
        </is>
      </c>
      <c r="J1075" t="inlineStr">
        <is>
          <t>2661-5076</t>
        </is>
      </c>
      <c r="K1075" t="inlineStr">
        <is>
          <t>Paola Cruz</t>
        </is>
      </c>
      <c r="L1075" t="inlineStr">
        <is>
          <t>Edwin Alvarado García</t>
        </is>
      </c>
      <c r="M1075" t="inlineStr">
        <is>
          <t>03264621-6</t>
        </is>
      </c>
      <c r="N1075" t="inlineStr">
        <is>
          <t>2560-1229</t>
        </is>
      </c>
      <c r="O1075" t="inlineStr">
        <is>
          <t>Consumidor final</t>
        </is>
      </c>
      <c r="P1075" t="inlineStr">
        <is>
          <t>CAF-002</t>
        </is>
      </c>
      <c r="Q1075" t="inlineStr">
        <is>
          <t>Café en grano 1lb</t>
        </is>
      </c>
      <c r="R1075" t="inlineStr">
        <is>
          <t>Abarrotes</t>
        </is>
      </c>
      <c r="S1075" t="inlineStr">
        <is>
          <t>Café Volcán S.A.</t>
        </is>
      </c>
      <c r="T1075" t="inlineStr">
        <is>
          <t>2510-3344</t>
        </is>
      </c>
      <c r="U1075" t="n">
        <v>6.75</v>
      </c>
      <c r="V1075" t="n">
        <v>2</v>
      </c>
      <c r="W1075" t="n">
        <v>0</v>
      </c>
      <c r="X1075">
        <f>IFERROR(U1075*V1075*(1-W1075/100),"")</f>
        <v/>
      </c>
      <c r="Y1075">
        <f>IFERROR(ROUND(X1075*0.13,2),"")</f>
        <v/>
      </c>
      <c r="Z1075">
        <f>IFERROR(X1075+Y1075,"")</f>
        <v/>
      </c>
      <c r="AA1075" t="inlineStr">
        <is>
          <t>Efectivo</t>
        </is>
      </c>
      <c r="AB1075" t="inlineStr"/>
    </row>
    <row r="1076">
      <c r="A1076" t="inlineStr">
        <is>
          <t>F-11289</t>
        </is>
      </c>
      <c r="B1076" s="3" t="n">
        <v>46265</v>
      </c>
      <c r="C1076" t="inlineStr">
        <is>
          <t>FCF</t>
        </is>
      </c>
      <c r="D1076" t="inlineStr">
        <is>
          <t>SM01</t>
        </is>
      </c>
      <c r="E1076" t="inlineStr">
        <is>
          <t>S. Miguel</t>
        </is>
      </c>
      <c r="F1076" t="inlineStr">
        <is>
          <t>Av. Roosevelt Sur #7</t>
        </is>
      </c>
      <c r="G1076" t="inlineStr">
        <is>
          <t>San Miguel</t>
        </is>
      </c>
      <c r="H1076" t="inlineStr">
        <is>
          <t>San Miguel</t>
        </is>
      </c>
      <c r="I1076" t="inlineStr">
        <is>
          <t>Iris Portillo</t>
        </is>
      </c>
      <c r="J1076" t="inlineStr">
        <is>
          <t>2661-5076</t>
        </is>
      </c>
      <c r="K1076" t="inlineStr">
        <is>
          <t>Paola Cruz</t>
        </is>
      </c>
      <c r="L1076" t="inlineStr">
        <is>
          <t>Edwin Alvarado García</t>
        </is>
      </c>
      <c r="M1076" t="inlineStr">
        <is>
          <t>03264621-6</t>
        </is>
      </c>
      <c r="N1076" t="inlineStr">
        <is>
          <t>2560-1229</t>
        </is>
      </c>
      <c r="O1076" t="inlineStr">
        <is>
          <t>Consumidor final</t>
        </is>
      </c>
      <c r="P1076" t="inlineStr">
        <is>
          <t>BEB-002</t>
        </is>
      </c>
      <c r="Q1076" t="inlineStr">
        <is>
          <t>Agua purificada 1 galón</t>
        </is>
      </c>
      <c r="R1076" t="inlineStr">
        <is>
          <t>Bebidas</t>
        </is>
      </c>
      <c r="S1076" t="inlineStr">
        <is>
          <t>Bebidas Izalco</t>
        </is>
      </c>
      <c r="T1076" t="inlineStr">
        <is>
          <t>2450-7700</t>
        </is>
      </c>
      <c r="U1076" t="inlineStr">
        <is>
          <t>$1.10</t>
        </is>
      </c>
      <c r="V1076" t="n">
        <v>1</v>
      </c>
      <c r="W1076" t="n">
        <v>0</v>
      </c>
      <c r="X1076">
        <f>IFERROR(U1076*V1076*(1-W1076/100),"")</f>
        <v/>
      </c>
      <c r="Y1076">
        <f>IFERROR(ROUND(X1076*0.13,2),"")</f>
        <v/>
      </c>
      <c r="Z1076">
        <f>IFERROR(X1076+Y1076,"")</f>
        <v/>
      </c>
      <c r="AA1076" t="inlineStr">
        <is>
          <t>Efectivo</t>
        </is>
      </c>
      <c r="AB1076" t="inlineStr">
        <is>
          <t>Llamar al 7788-1234 antes de entregar</t>
        </is>
      </c>
    </row>
    <row r="1077">
      <c r="A1077" t="inlineStr">
        <is>
          <t>F-11289</t>
        </is>
      </c>
      <c r="B1077" t="inlineStr">
        <is>
          <t>2026-08-31</t>
        </is>
      </c>
      <c r="C1077" t="inlineStr">
        <is>
          <t>FCF</t>
        </is>
      </c>
      <c r="D1077" t="inlineStr">
        <is>
          <t>SM01</t>
        </is>
      </c>
      <c r="E1077" t="inlineStr">
        <is>
          <t>SAN MIGUEL</t>
        </is>
      </c>
      <c r="F1077" t="inlineStr">
        <is>
          <t>Av. Roosevelt Sur #7</t>
        </is>
      </c>
      <c r="G1077" t="inlineStr">
        <is>
          <t>San Miguel</t>
        </is>
      </c>
      <c r="H1077" t="inlineStr">
        <is>
          <t>San Miguel</t>
        </is>
      </c>
      <c r="I1077" t="inlineStr">
        <is>
          <t>Iris Portillo</t>
        </is>
      </c>
      <c r="J1077" t="inlineStr">
        <is>
          <t>2661-5076</t>
        </is>
      </c>
      <c r="K1077" t="inlineStr">
        <is>
          <t>Paola Cruz</t>
        </is>
      </c>
      <c r="L1077" t="inlineStr">
        <is>
          <t>Edwin Alvarado García</t>
        </is>
      </c>
      <c r="M1077" t="inlineStr">
        <is>
          <t>03264621-6</t>
        </is>
      </c>
      <c r="N1077" t="inlineStr">
        <is>
          <t>2560-1229</t>
        </is>
      </c>
      <c r="O1077" t="inlineStr">
        <is>
          <t>Consumidor final</t>
        </is>
      </c>
      <c r="P1077" t="inlineStr">
        <is>
          <t>ARR-001</t>
        </is>
      </c>
      <c r="Q1077" t="inlineStr">
        <is>
          <t>Arroz blanco 5lb</t>
        </is>
      </c>
      <c r="R1077" t="inlineStr">
        <is>
          <t>Abarrotes</t>
        </is>
      </c>
      <c r="S1077" t="inlineStr">
        <is>
          <t>Granos del Pacífico</t>
        </is>
      </c>
      <c r="T1077" t="inlineStr">
        <is>
          <t>2234-8890</t>
        </is>
      </c>
      <c r="U1077" t="n">
        <v>3.95</v>
      </c>
      <c r="V1077" t="n">
        <v>1</v>
      </c>
      <c r="W1077" t="n">
        <v>0</v>
      </c>
      <c r="X1077">
        <f>IFERROR(U1077*V1077*(1-W1077/100),"")</f>
        <v/>
      </c>
      <c r="Y1077">
        <f>IFERROR(ROUND(X1077*0.13,2),"")</f>
        <v/>
      </c>
      <c r="Z1077">
        <f>IFERROR(X1077+Y1077,"")</f>
        <v/>
      </c>
      <c r="AA1077" t="inlineStr">
        <is>
          <t>Efectivo</t>
        </is>
      </c>
      <c r="AB1077" t="inlineStr"/>
    </row>
    <row r="1078">
      <c r="A1078" t="inlineStr">
        <is>
          <t>F-11291</t>
        </is>
      </c>
      <c r="B1078" t="inlineStr">
        <is>
          <t>2026-08-13</t>
        </is>
      </c>
      <c r="C1078" t="inlineStr">
        <is>
          <t>Factura</t>
        </is>
      </c>
      <c r="D1078" t="inlineStr">
        <is>
          <t>SO01</t>
        </is>
      </c>
      <c r="E1078" t="inlineStr">
        <is>
          <t>SONSONATE</t>
        </is>
      </c>
      <c r="F1078" t="inlineStr">
        <is>
          <t>Calle Obispo Marroquín #3</t>
        </is>
      </c>
      <c r="G1078" t="inlineStr">
        <is>
          <t>Sonsonate</t>
        </is>
      </c>
      <c r="H1078" t="inlineStr">
        <is>
          <t>Sonsonate</t>
        </is>
      </c>
      <c r="I1078" t="inlineStr">
        <is>
          <t>Ernesto Chávez</t>
        </is>
      </c>
      <c r="J1078" t="inlineStr">
        <is>
          <t>2451-2288</t>
        </is>
      </c>
      <c r="K1078" t="inlineStr">
        <is>
          <t>Ricardo Funes</t>
        </is>
      </c>
      <c r="L1078" t="inlineStr">
        <is>
          <t>Xiomara Hernández Quintanilla</t>
        </is>
      </c>
      <c r="M1078" t="inlineStr">
        <is>
          <t>06385104-8</t>
        </is>
      </c>
      <c r="N1078" t="inlineStr">
        <is>
          <t>7931-3589</t>
        </is>
      </c>
      <c r="O1078" t="inlineStr">
        <is>
          <t>Consumidor final</t>
        </is>
      </c>
      <c r="P1078" t="inlineStr">
        <is>
          <t>HAR-001</t>
        </is>
      </c>
      <c r="Q1078" t="inlineStr">
        <is>
          <t>Harina de maíz 2lb</t>
        </is>
      </c>
      <c r="R1078" t="inlineStr">
        <is>
          <t>Abarrotes</t>
        </is>
      </c>
      <c r="S1078" t="inlineStr">
        <is>
          <t>Granos del Pacífico</t>
        </is>
      </c>
      <c r="T1078" t="inlineStr">
        <is>
          <t>2234-8890</t>
        </is>
      </c>
      <c r="U1078" t="n">
        <v>1.35</v>
      </c>
      <c r="V1078" t="n">
        <v>12</v>
      </c>
      <c r="W1078" t="n">
        <v>0</v>
      </c>
      <c r="X1078">
        <f>IFERROR(U1078*V1078*(1-W1078/100),"")</f>
        <v/>
      </c>
      <c r="Y1078">
        <f>IFERROR(ROUND(X1078*0.13,2),"")</f>
        <v/>
      </c>
      <c r="Z1078">
        <f>IFERROR(X1078+Y1078,"")</f>
        <v/>
      </c>
      <c r="AA1078" t="inlineStr">
        <is>
          <t>Efectivo</t>
        </is>
      </c>
      <c r="AB1078" t="inlineStr">
        <is>
          <t>precio especial autorizado por gerente</t>
        </is>
      </c>
    </row>
    <row r="1079">
      <c r="A1079" t="inlineStr">
        <is>
          <t>F-11293</t>
        </is>
      </c>
      <c r="B1079" t="inlineStr">
        <is>
          <t>2026-08-26</t>
        </is>
      </c>
      <c r="C1079" t="inlineStr">
        <is>
          <t>Factura</t>
        </is>
      </c>
      <c r="D1079" t="inlineStr">
        <is>
          <t>SS02</t>
        </is>
      </c>
      <c r="E1079" t="inlineStr">
        <is>
          <t>Escalon</t>
        </is>
      </c>
      <c r="F1079" t="inlineStr">
        <is>
          <t>Paseo General Escalón #3910</t>
        </is>
      </c>
      <c r="G1079" t="inlineStr">
        <is>
          <t>San Salvador</t>
        </is>
      </c>
      <c r="H1079" t="inlineStr">
        <is>
          <t>San Salvador</t>
        </is>
      </c>
      <c r="I1079" t="inlineStr">
        <is>
          <t>Claudia Menjívar</t>
        </is>
      </c>
      <c r="J1079" t="inlineStr">
        <is>
          <t>2264-1190</t>
        </is>
      </c>
      <c r="K1079" t="inlineStr">
        <is>
          <t>Kevin Benítez</t>
        </is>
      </c>
      <c r="L1079" t="inlineStr">
        <is>
          <t>Rosa Flores Cornejo</t>
        </is>
      </c>
      <c r="M1079" t="inlineStr">
        <is>
          <t>00476760-8</t>
        </is>
      </c>
      <c r="N1079" t="inlineStr">
        <is>
          <t>7668-7502</t>
        </is>
      </c>
      <c r="O1079" t="inlineStr">
        <is>
          <t>Consumidor final</t>
        </is>
      </c>
      <c r="P1079" t="inlineStr">
        <is>
          <t>BEB-001</t>
        </is>
      </c>
      <c r="Q1079" t="inlineStr">
        <is>
          <t>Gaseosa 2.5L</t>
        </is>
      </c>
      <c r="R1079" t="inlineStr">
        <is>
          <t>bebidas</t>
        </is>
      </c>
      <c r="S1079" t="inlineStr">
        <is>
          <t>Bebidas Izalco</t>
        </is>
      </c>
      <c r="T1079" t="inlineStr">
        <is>
          <t>2450-7700</t>
        </is>
      </c>
      <c r="U1079" t="n">
        <v>1.95</v>
      </c>
      <c r="V1079" t="n">
        <v>1</v>
      </c>
      <c r="W1079" t="n">
        <v>0</v>
      </c>
      <c r="X1079">
        <f>IFERROR(U1079*V1079*(1-W1079/100),"")</f>
        <v/>
      </c>
      <c r="Y1079">
        <f>IFERROR(ROUND(X1079*0.13,2),"")</f>
        <v/>
      </c>
      <c r="Z1079">
        <f>IFERROR(X1079+Y1079,"")</f>
        <v/>
      </c>
      <c r="AA1079" t="inlineStr">
        <is>
          <t>Transferencia</t>
        </is>
      </c>
      <c r="AB1079" t="inlineStr">
        <is>
          <t>precio especial autorizado por gerente</t>
        </is>
      </c>
    </row>
    <row r="1080">
      <c r="A1080" t="inlineStr">
        <is>
          <t>F-11293</t>
        </is>
      </c>
      <c r="B1080" s="3" t="n">
        <v>46260</v>
      </c>
      <c r="C1080" t="inlineStr">
        <is>
          <t>Factura</t>
        </is>
      </c>
      <c r="D1080" t="inlineStr">
        <is>
          <t>SS02</t>
        </is>
      </c>
      <c r="E1080" t="inlineStr">
        <is>
          <t>Col. Escalón</t>
        </is>
      </c>
      <c r="F1080" t="inlineStr">
        <is>
          <t>Paseo General Escalón #3910</t>
        </is>
      </c>
      <c r="G1080" t="inlineStr">
        <is>
          <t>San Salvador</t>
        </is>
      </c>
      <c r="H1080" t="inlineStr">
        <is>
          <t>San Salvador</t>
        </is>
      </c>
      <c r="I1080" t="inlineStr">
        <is>
          <t>Claudia Menjívar</t>
        </is>
      </c>
      <c r="J1080" t="inlineStr">
        <is>
          <t>2264-1190</t>
        </is>
      </c>
      <c r="K1080" t="inlineStr">
        <is>
          <t>Kevin Benítez</t>
        </is>
      </c>
      <c r="L1080" t="inlineStr">
        <is>
          <t>Rosa Flores Cornejo</t>
        </is>
      </c>
      <c r="M1080" t="inlineStr">
        <is>
          <t>00476760-8</t>
        </is>
      </c>
      <c r="N1080" t="inlineStr">
        <is>
          <t>7668-7502</t>
        </is>
      </c>
      <c r="O1080" t="inlineStr">
        <is>
          <t>Consumidor final</t>
        </is>
      </c>
      <c r="P1080" t="inlineStr">
        <is>
          <t>HAR-001</t>
        </is>
      </c>
      <c r="Q1080" t="inlineStr">
        <is>
          <t>Harina de maíz 2lb</t>
        </is>
      </c>
      <c r="R1080" t="inlineStr">
        <is>
          <t>Abarrotes</t>
        </is>
      </c>
      <c r="S1080" t="inlineStr">
        <is>
          <t>Granos del Pacífico</t>
        </is>
      </c>
      <c r="T1080" t="inlineStr">
        <is>
          <t>2234-8890</t>
        </is>
      </c>
      <c r="U1080" t="n">
        <v>1.35</v>
      </c>
      <c r="V1080" t="n">
        <v>1</v>
      </c>
      <c r="W1080" t="n">
        <v>0</v>
      </c>
      <c r="X1080">
        <f>IFERROR(U1080*V1080*(1-W1080/100),"")</f>
        <v/>
      </c>
      <c r="Y1080">
        <f>IFERROR(ROUND(X1080*0.13,2),"")</f>
        <v/>
      </c>
      <c r="Z1080">
        <f>IFERROR(X1080+Y1080,"")</f>
        <v/>
      </c>
      <c r="AA1080" t="inlineStr">
        <is>
          <t>Transferencia</t>
        </is>
      </c>
      <c r="AB1080" t="inlineStr">
        <is>
          <t>Llamar al 7788-1234 antes de entregar</t>
        </is>
      </c>
    </row>
    <row r="1081">
      <c r="A1081" t="inlineStr">
        <is>
          <t>F-11293</t>
        </is>
      </c>
      <c r="B1081" t="inlineStr">
        <is>
          <t>26/08/2026</t>
        </is>
      </c>
      <c r="C1081" t="inlineStr">
        <is>
          <t>Factura</t>
        </is>
      </c>
      <c r="D1081" t="inlineStr">
        <is>
          <t>SS02</t>
        </is>
      </c>
      <c r="E1081" t="inlineStr">
        <is>
          <t>ESCALON</t>
        </is>
      </c>
      <c r="F1081" t="inlineStr">
        <is>
          <t>Paseo General Escalón #3910</t>
        </is>
      </c>
      <c r="G1081" t="inlineStr">
        <is>
          <t>San Salvador</t>
        </is>
      </c>
      <c r="H1081" t="inlineStr">
        <is>
          <t>San Salvador</t>
        </is>
      </c>
      <c r="I1081" t="inlineStr">
        <is>
          <t>Claudia Menjívar</t>
        </is>
      </c>
      <c r="J1081" t="inlineStr">
        <is>
          <t>2264-1190</t>
        </is>
      </c>
      <c r="K1081" t="inlineStr">
        <is>
          <t>Kevin Benítez</t>
        </is>
      </c>
      <c r="L1081" t="inlineStr">
        <is>
          <t>Rosa Flores Cornejo</t>
        </is>
      </c>
      <c r="M1081" t="inlineStr">
        <is>
          <t>00476760-8</t>
        </is>
      </c>
      <c r="N1081" t="inlineStr">
        <is>
          <t>7668-7502</t>
        </is>
      </c>
      <c r="O1081" t="inlineStr">
        <is>
          <t>Consumidor final</t>
        </is>
      </c>
      <c r="P1081" t="inlineStr">
        <is>
          <t>FRI-001</t>
        </is>
      </c>
      <c r="Q1081" t="inlineStr">
        <is>
          <t>Frijol rojo de seda 2lb</t>
        </is>
      </c>
      <c r="R1081" t="inlineStr">
        <is>
          <t>Granos básicos</t>
        </is>
      </c>
      <c r="S1081" t="inlineStr">
        <is>
          <t>Granos del Pacífico</t>
        </is>
      </c>
      <c r="T1081" t="inlineStr">
        <is>
          <t>2234-8890</t>
        </is>
      </c>
      <c r="U1081" t="n">
        <v>2.4</v>
      </c>
      <c r="V1081" t="n">
        <v>1</v>
      </c>
      <c r="W1081" t="n">
        <v>0</v>
      </c>
      <c r="X1081">
        <f>IFERROR(U1081*V1081*(1-W1081/100),"")</f>
        <v/>
      </c>
      <c r="Y1081">
        <f>IFERROR(ROUND(X1081*0.13,2),"")</f>
        <v/>
      </c>
      <c r="Z1081">
        <f>IFERROR(X1081+Y1081,"")</f>
        <v/>
      </c>
      <c r="AA1081" t="inlineStr">
        <is>
          <t>Transferencia</t>
        </is>
      </c>
      <c r="AB1081" t="inlineStr">
        <is>
          <t>pagó con billete de $100</t>
        </is>
      </c>
    </row>
    <row r="1082">
      <c r="A1082" t="inlineStr">
        <is>
          <t>F-11294</t>
        </is>
      </c>
      <c r="B1082" t="inlineStr">
        <is>
          <t>02/07/2026</t>
        </is>
      </c>
      <c r="C1082" t="inlineStr">
        <is>
          <t>Factura</t>
        </is>
      </c>
      <c r="D1082" t="inlineStr">
        <is>
          <t>SS03</t>
        </is>
      </c>
      <c r="E1082" t="inlineStr">
        <is>
          <t>Soyapango</t>
        </is>
      </c>
      <c r="F1082" t="inlineStr">
        <is>
          <t>Blvd. del Ejército km 4</t>
        </is>
      </c>
      <c r="G1082" t="inlineStr">
        <is>
          <t>Soyapango</t>
        </is>
      </c>
      <c r="H1082" t="inlineStr">
        <is>
          <t>San Salvador</t>
        </is>
      </c>
      <c r="I1082" t="inlineStr">
        <is>
          <t>Karla Henríquez</t>
        </is>
      </c>
      <c r="J1082" t="inlineStr">
        <is>
          <t>2277-3402</t>
        </is>
      </c>
      <c r="K1082" t="inlineStr">
        <is>
          <t>Carlos Molina</t>
        </is>
      </c>
      <c r="L1082" t="inlineStr">
        <is>
          <t>Brenda Pérez Martínez</t>
        </is>
      </c>
      <c r="M1082" t="inlineStr">
        <is>
          <t>09183075-6</t>
        </is>
      </c>
      <c r="N1082" t="inlineStr">
        <is>
          <t>2300-3840</t>
        </is>
      </c>
      <c r="O1082" t="inlineStr">
        <is>
          <t>Consumidor final</t>
        </is>
      </c>
      <c r="P1082" t="inlineStr">
        <is>
          <t>FRI-001</t>
        </is>
      </c>
      <c r="Q1082" t="inlineStr">
        <is>
          <t>Frijol rojo de seda 2lb</t>
        </is>
      </c>
      <c r="R1082" t="inlineStr">
        <is>
          <t>Granos básicos</t>
        </is>
      </c>
      <c r="S1082" t="inlineStr">
        <is>
          <t>Granos del Pacífico</t>
        </is>
      </c>
      <c r="T1082" t="inlineStr">
        <is>
          <t>2234-8890</t>
        </is>
      </c>
      <c r="U1082" t="n">
        <v>2.4</v>
      </c>
      <c r="V1082" t="n">
        <v>12</v>
      </c>
      <c r="W1082" t="n">
        <v>0</v>
      </c>
      <c r="X1082">
        <f>IFERROR(U1082*V1082*(1-W1082/100),"")</f>
        <v/>
      </c>
      <c r="Y1082">
        <f>IFERROR(ROUND(X1082*0.13,2),"")</f>
        <v/>
      </c>
      <c r="Z1082">
        <f>IFERROR(X1082+Y1082,"")</f>
        <v/>
      </c>
      <c r="AA1082" t="inlineStr">
        <is>
          <t>TARJETA</t>
        </is>
      </c>
      <c r="AB1082" t="inlineStr">
        <is>
          <t>entregar en bodega</t>
        </is>
      </c>
    </row>
    <row r="1083">
      <c r="A1083" t="inlineStr">
        <is>
          <t>F-11294</t>
        </is>
      </c>
      <c r="B1083" s="3" t="n">
        <v>46205</v>
      </c>
      <c r="C1083" t="inlineStr">
        <is>
          <t>Factura</t>
        </is>
      </c>
      <c r="D1083" t="inlineStr">
        <is>
          <t>SS03</t>
        </is>
      </c>
      <c r="E1083" t="inlineStr">
        <is>
          <t>soyapango</t>
        </is>
      </c>
      <c r="F1083" t="inlineStr">
        <is>
          <t>Blvd. del Ejército km 4</t>
        </is>
      </c>
      <c r="G1083" t="inlineStr">
        <is>
          <t>Soyapango</t>
        </is>
      </c>
      <c r="H1083" t="inlineStr">
        <is>
          <t>San Salvador</t>
        </is>
      </c>
      <c r="I1083" t="inlineStr">
        <is>
          <t>Karla Henríquez</t>
        </is>
      </c>
      <c r="J1083" t="inlineStr">
        <is>
          <t>2277-3402</t>
        </is>
      </c>
      <c r="K1083" t="inlineStr">
        <is>
          <t>Carlos Molina</t>
        </is>
      </c>
      <c r="L1083" t="inlineStr">
        <is>
          <t>Brenda Pérez Martínez</t>
        </is>
      </c>
      <c r="M1083" t="inlineStr">
        <is>
          <t>09183075-6</t>
        </is>
      </c>
      <c r="N1083" t="inlineStr">
        <is>
          <t>2300-3840</t>
        </is>
      </c>
      <c r="O1083" t="inlineStr">
        <is>
          <t>Consumidor final</t>
        </is>
      </c>
      <c r="P1083" t="inlineStr">
        <is>
          <t>HIG-001</t>
        </is>
      </c>
      <c r="Q1083" t="inlineStr">
        <is>
          <t>Detergente 1kg</t>
        </is>
      </c>
      <c r="R1083" t="inlineStr">
        <is>
          <t>Higiene</t>
        </is>
      </c>
      <c r="S1083" t="inlineStr">
        <is>
          <t>Higiene Total C.A.</t>
        </is>
      </c>
      <c r="T1083" t="inlineStr">
        <is>
          <t>2207-5566</t>
        </is>
      </c>
      <c r="U1083" t="n">
        <v>3.45</v>
      </c>
      <c r="V1083" t="n">
        <v>3</v>
      </c>
      <c r="W1083" t="n">
        <v>0</v>
      </c>
      <c r="X1083">
        <f>IFERROR(U1083*V1083*(1-W1083/100),"")</f>
        <v/>
      </c>
      <c r="Y1083">
        <f>IFERROR(ROUND(X1083*0.13,2),"")</f>
        <v/>
      </c>
      <c r="Z1083">
        <f>IFERROR(X1083+Y1083,"")</f>
        <v/>
      </c>
      <c r="AA1083" t="inlineStr">
        <is>
          <t>TARJETA</t>
        </is>
      </c>
      <c r="AB1083" t="inlineStr"/>
    </row>
    <row r="1084">
      <c r="A1084" t="inlineStr">
        <is>
          <t>F-11296</t>
        </is>
      </c>
      <c r="B1084" s="3" t="n">
        <v>46208</v>
      </c>
      <c r="C1084" t="inlineStr">
        <is>
          <t>Factura</t>
        </is>
      </c>
      <c r="D1084" t="inlineStr">
        <is>
          <t>SS03</t>
        </is>
      </c>
      <c r="E1084" t="inlineStr">
        <is>
          <t xml:space="preserve">SOYAPANGO </t>
        </is>
      </c>
      <c r="F1084" t="inlineStr">
        <is>
          <t>Blvd. del Ejército km 4</t>
        </is>
      </c>
      <c r="G1084" t="inlineStr">
        <is>
          <t>Soyapango</t>
        </is>
      </c>
      <c r="H1084" t="inlineStr">
        <is>
          <t>San Salvador</t>
        </is>
      </c>
      <c r="I1084" t="inlineStr">
        <is>
          <t>Karla Henríquez</t>
        </is>
      </c>
      <c r="J1084" t="inlineStr">
        <is>
          <t>2277-3402</t>
        </is>
      </c>
      <c r="K1084" t="inlineStr">
        <is>
          <t>Carlos Molina</t>
        </is>
      </c>
      <c r="L1084" t="inlineStr">
        <is>
          <t>Douglas Ramírez Romero</t>
        </is>
      </c>
      <c r="M1084" t="inlineStr">
        <is>
          <t>09442743-4</t>
        </is>
      </c>
      <c r="N1084" t="inlineStr">
        <is>
          <t>7669-3172</t>
        </is>
      </c>
      <c r="O1084" t="inlineStr">
        <is>
          <t>Consumidor final</t>
        </is>
      </c>
      <c r="P1084" t="inlineStr">
        <is>
          <t>PAN-003</t>
        </is>
      </c>
      <c r="Q1084" t="inlineStr">
        <is>
          <t>Quesadilla salvadoreña</t>
        </is>
      </c>
      <c r="R1084" t="inlineStr">
        <is>
          <t>Panadería</t>
        </is>
      </c>
      <c r="S1084" t="inlineStr">
        <is>
          <t>Panificadora Ilopango</t>
        </is>
      </c>
      <c r="T1084" t="inlineStr">
        <is>
          <t>2295-0081</t>
        </is>
      </c>
      <c r="U1084" t="n">
        <v>2.5</v>
      </c>
      <c r="V1084" t="n">
        <v>1</v>
      </c>
      <c r="W1084" t="n">
        <v>0</v>
      </c>
      <c r="X1084">
        <f>IFERROR(U1084*V1084*(1-W1084/100),"")</f>
        <v/>
      </c>
      <c r="Y1084">
        <f>IFERROR(ROUND(X1084*0.13,2),"")</f>
        <v/>
      </c>
      <c r="Z1084">
        <f>IFERROR(X1084+Y1084,"")</f>
        <v/>
      </c>
      <c r="AA1084" t="inlineStr">
        <is>
          <t>Chivo</t>
        </is>
      </c>
      <c r="AB1084" t="inlineStr">
        <is>
          <t>entregar en bodega</t>
        </is>
      </c>
    </row>
    <row r="1085">
      <c r="A1085" t="inlineStr">
        <is>
          <t>F-11296</t>
        </is>
      </c>
      <c r="B1085" t="inlineStr">
        <is>
          <t>2026-07-05</t>
        </is>
      </c>
      <c r="C1085" t="inlineStr">
        <is>
          <t>Factura</t>
        </is>
      </c>
      <c r="D1085" t="inlineStr">
        <is>
          <t>SS03</t>
        </is>
      </c>
      <c r="E1085" t="inlineStr">
        <is>
          <t xml:space="preserve">SOYAPANGO </t>
        </is>
      </c>
      <c r="F1085" t="inlineStr">
        <is>
          <t>Blvd. del Ejército km 4</t>
        </is>
      </c>
      <c r="G1085" t="inlineStr">
        <is>
          <t>Soyapango</t>
        </is>
      </c>
      <c r="H1085" t="inlineStr">
        <is>
          <t>San Salvador</t>
        </is>
      </c>
      <c r="I1085" t="inlineStr">
        <is>
          <t>Karla Henríquez</t>
        </is>
      </c>
      <c r="J1085" t="inlineStr">
        <is>
          <t>2277-3402</t>
        </is>
      </c>
      <c r="K1085" t="inlineStr">
        <is>
          <t>Carlos Molina</t>
        </is>
      </c>
      <c r="L1085" t="inlineStr">
        <is>
          <t>Douglas Ramírez Romero</t>
        </is>
      </c>
      <c r="M1085" t="inlineStr">
        <is>
          <t>09442743-4</t>
        </is>
      </c>
      <c r="N1085" t="inlineStr">
        <is>
          <t>7669-3172</t>
        </is>
      </c>
      <c r="O1085" t="inlineStr">
        <is>
          <t>Consumidor final</t>
        </is>
      </c>
      <c r="P1085" t="inlineStr">
        <is>
          <t>BEB-002</t>
        </is>
      </c>
      <c r="Q1085" t="inlineStr">
        <is>
          <t>Agua purificada 1 galón</t>
        </is>
      </c>
      <c r="R1085" t="inlineStr">
        <is>
          <t>Bebidas</t>
        </is>
      </c>
      <c r="S1085" t="inlineStr">
        <is>
          <t>Bebidas Izalco</t>
        </is>
      </c>
      <c r="T1085" t="inlineStr">
        <is>
          <t>2450-7700</t>
        </is>
      </c>
      <c r="U1085" t="n">
        <v>1.1</v>
      </c>
      <c r="V1085" t="n">
        <v>4</v>
      </c>
      <c r="W1085" t="n">
        <v>0</v>
      </c>
      <c r="X1085">
        <f>IFERROR(U1085*V1085*(1-W1085/100),"")</f>
        <v/>
      </c>
      <c r="Y1085">
        <f>IFERROR(ROUND(X1085*0.13,2),"")</f>
        <v/>
      </c>
      <c r="Z1085">
        <f>IFERROR(X1085+Y1085,"")</f>
        <v/>
      </c>
      <c r="AA1085" t="inlineStr">
        <is>
          <t>Chivo</t>
        </is>
      </c>
      <c r="AB1085" t="inlineStr"/>
    </row>
    <row r="1086">
      <c r="A1086" t="inlineStr">
        <is>
          <t>F-11296</t>
        </is>
      </c>
      <c r="B1086" t="inlineStr">
        <is>
          <t>05-Jul-26</t>
        </is>
      </c>
      <c r="C1086" t="inlineStr">
        <is>
          <t>Factura</t>
        </is>
      </c>
      <c r="D1086" t="inlineStr">
        <is>
          <t>SS03</t>
        </is>
      </c>
      <c r="E1086" t="inlineStr">
        <is>
          <t xml:space="preserve">SOYAPANGO </t>
        </is>
      </c>
      <c r="F1086" t="inlineStr">
        <is>
          <t>Blvd. del Ejército km 4</t>
        </is>
      </c>
      <c r="G1086" t="inlineStr">
        <is>
          <t>Soyapango</t>
        </is>
      </c>
      <c r="H1086" t="inlineStr">
        <is>
          <t>San Salvador</t>
        </is>
      </c>
      <c r="I1086" t="inlineStr">
        <is>
          <t>Karla Henríquez</t>
        </is>
      </c>
      <c r="J1086" t="inlineStr">
        <is>
          <t>2277-3402</t>
        </is>
      </c>
      <c r="K1086" t="inlineStr">
        <is>
          <t>Carlos Molina</t>
        </is>
      </c>
      <c r="L1086" t="inlineStr">
        <is>
          <t>Douglas Ramírez Romero</t>
        </is>
      </c>
      <c r="M1086" t="inlineStr">
        <is>
          <t>09442743-4</t>
        </is>
      </c>
      <c r="N1086" t="inlineStr">
        <is>
          <t>7669-3172</t>
        </is>
      </c>
      <c r="O1086" t="inlineStr">
        <is>
          <t>Consumidor final</t>
        </is>
      </c>
      <c r="P1086" t="inlineStr">
        <is>
          <t>PAN-001</t>
        </is>
      </c>
      <c r="Q1086" t="inlineStr">
        <is>
          <t>Pan francés bolsa 10u</t>
        </is>
      </c>
      <c r="R1086" t="inlineStr">
        <is>
          <t>Panaderia</t>
        </is>
      </c>
      <c r="S1086" t="inlineStr">
        <is>
          <t>Panificadora Ilopango</t>
        </is>
      </c>
      <c r="T1086" t="inlineStr">
        <is>
          <t>2295-0081</t>
        </is>
      </c>
      <c r="U1086" t="n">
        <v>1</v>
      </c>
      <c r="V1086" t="n">
        <v>1</v>
      </c>
      <c r="W1086" t="n">
        <v>0</v>
      </c>
      <c r="X1086">
        <f>IFERROR(U1086*V1086*(1-W1086/100),"")</f>
        <v/>
      </c>
      <c r="Y1086">
        <f>IFERROR(ROUND(X1086*0.13,2),"")</f>
        <v/>
      </c>
      <c r="Z1086">
        <f>IFERROR(X1086+Y1086,"")</f>
        <v/>
      </c>
      <c r="AA1086" t="inlineStr">
        <is>
          <t>Chivo</t>
        </is>
      </c>
      <c r="AB1086" t="inlineStr"/>
    </row>
    <row r="1087">
      <c r="A1087" t="inlineStr">
        <is>
          <t>F-11296</t>
        </is>
      </c>
      <c r="B1087" s="3" t="n">
        <v>46208</v>
      </c>
      <c r="C1087" t="inlineStr">
        <is>
          <t>Factura</t>
        </is>
      </c>
      <c r="D1087" t="inlineStr">
        <is>
          <t>SS03</t>
        </is>
      </c>
      <c r="E1087" t="inlineStr">
        <is>
          <t>soyapango</t>
        </is>
      </c>
      <c r="F1087" t="inlineStr">
        <is>
          <t>Blvd. del Ejército km 4</t>
        </is>
      </c>
      <c r="G1087" t="inlineStr">
        <is>
          <t>Soyapango</t>
        </is>
      </c>
      <c r="H1087" t="inlineStr">
        <is>
          <t>San Salvador</t>
        </is>
      </c>
      <c r="I1087" t="inlineStr">
        <is>
          <t>Karla Henríquez</t>
        </is>
      </c>
      <c r="J1087" t="inlineStr">
        <is>
          <t>2277-3402</t>
        </is>
      </c>
      <c r="K1087" t="inlineStr">
        <is>
          <t>Carlos Molina</t>
        </is>
      </c>
      <c r="L1087" t="inlineStr">
        <is>
          <t>Douglas Ramírez Romero</t>
        </is>
      </c>
      <c r="M1087" t="inlineStr">
        <is>
          <t>09442743-4</t>
        </is>
      </c>
      <c r="N1087" t="inlineStr">
        <is>
          <t>7669-3172</t>
        </is>
      </c>
      <c r="O1087" t="inlineStr">
        <is>
          <t>Consumidor final</t>
        </is>
      </c>
      <c r="P1087" t="inlineStr">
        <is>
          <t>CAF-001</t>
        </is>
      </c>
      <c r="Q1087" t="inlineStr">
        <is>
          <t>Café molido 400g</t>
        </is>
      </c>
      <c r="R1087" t="inlineStr">
        <is>
          <t>Abarrotes</t>
        </is>
      </c>
      <c r="S1087" t="inlineStr">
        <is>
          <t>Café Volcán S.A.</t>
        </is>
      </c>
      <c r="T1087" t="inlineStr">
        <is>
          <t>2510-3344</t>
        </is>
      </c>
      <c r="U1087" t="n">
        <v>4.25</v>
      </c>
      <c r="V1087" t="n">
        <v>6</v>
      </c>
      <c r="W1087" t="n">
        <v>0</v>
      </c>
      <c r="X1087">
        <f>IFERROR(U1087*V1087*(1-W1087/100),"")</f>
        <v/>
      </c>
      <c r="Y1087">
        <f>IFERROR(ROUND(X1087*0.13,2),"")</f>
        <v/>
      </c>
      <c r="Z1087">
        <f>IFERROR(X1087+Y1087,"")</f>
        <v/>
      </c>
      <c r="AA1087" t="inlineStr">
        <is>
          <t>Chivo</t>
        </is>
      </c>
      <c r="AB1087" t="inlineStr">
        <is>
          <t>Cliente frecuente</t>
        </is>
      </c>
    </row>
    <row r="1088">
      <c r="A1088" t="inlineStr">
        <is>
          <t>F-11297</t>
        </is>
      </c>
      <c r="B1088" t="inlineStr">
        <is>
          <t>28/09/2026</t>
        </is>
      </c>
      <c r="C1088" t="inlineStr">
        <is>
          <t>Factura</t>
        </is>
      </c>
      <c r="D1088" t="inlineStr">
        <is>
          <t>SS03</t>
        </is>
      </c>
      <c r="E1088" t="inlineStr">
        <is>
          <t>soyapango</t>
        </is>
      </c>
      <c r="F1088" t="inlineStr">
        <is>
          <t>Blvd. del Ejército km 4</t>
        </is>
      </c>
      <c r="G1088" t="inlineStr">
        <is>
          <t>Soyapango</t>
        </is>
      </c>
      <c r="H1088" t="inlineStr">
        <is>
          <t>San Salvador</t>
        </is>
      </c>
      <c r="I1088" t="inlineStr">
        <is>
          <t>Karla Henríquez</t>
        </is>
      </c>
      <c r="J1088" t="inlineStr">
        <is>
          <t>2277-3402</t>
        </is>
      </c>
      <c r="K1088" t="inlineStr">
        <is>
          <t>Carlos Molina</t>
        </is>
      </c>
      <c r="L1088" t="inlineStr">
        <is>
          <t>Douglas Ramírez Romero</t>
        </is>
      </c>
      <c r="M1088" t="inlineStr">
        <is>
          <t>09442743-4</t>
        </is>
      </c>
      <c r="N1088" t="inlineStr">
        <is>
          <t>7669-3172</t>
        </is>
      </c>
      <c r="O1088" t="inlineStr">
        <is>
          <t>Consumidor final</t>
        </is>
      </c>
      <c r="P1088" t="inlineStr">
        <is>
          <t>HAR-001</t>
        </is>
      </c>
      <c r="Q1088" t="inlineStr">
        <is>
          <t>Harina de maíz 2lb</t>
        </is>
      </c>
      <c r="R1088" t="inlineStr">
        <is>
          <t>Abarrotes</t>
        </is>
      </c>
      <c r="S1088" t="inlineStr">
        <is>
          <t>Granos del Pacífico</t>
        </is>
      </c>
      <c r="T1088" t="inlineStr">
        <is>
          <t>2234-8890</t>
        </is>
      </c>
      <c r="U1088" t="n">
        <v>1.35</v>
      </c>
      <c r="V1088" t="n">
        <v>4</v>
      </c>
      <c r="W1088" t="n">
        <v>0</v>
      </c>
      <c r="X1088">
        <f>IFERROR(U1088*V1088*(1-W1088/100),"")</f>
        <v/>
      </c>
      <c r="Y1088">
        <f>IFERROR(ROUND(X1088*0.13,2),"")</f>
        <v/>
      </c>
      <c r="Z1088">
        <f>IFERROR(X1088+Y1088,"")</f>
        <v/>
      </c>
      <c r="AA1088" t="inlineStr">
        <is>
          <t>Tarjeta</t>
        </is>
      </c>
      <c r="AB1088" t="inlineStr">
        <is>
          <t>pagó con billete de $100</t>
        </is>
      </c>
    </row>
    <row r="1089">
      <c r="A1089" t="inlineStr">
        <is>
          <t>F-11297</t>
        </is>
      </c>
      <c r="B1089" s="3" t="n">
        <v>46293</v>
      </c>
      <c r="C1089" t="inlineStr">
        <is>
          <t>Factura</t>
        </is>
      </c>
      <c r="D1089" t="inlineStr">
        <is>
          <t>SS03</t>
        </is>
      </c>
      <c r="E1089" t="inlineStr">
        <is>
          <t xml:space="preserve">SOYAPANGO </t>
        </is>
      </c>
      <c r="F1089" t="inlineStr">
        <is>
          <t>Blvd. del Ejército km 4</t>
        </is>
      </c>
      <c r="G1089" t="inlineStr">
        <is>
          <t>Soyapango</t>
        </is>
      </c>
      <c r="H1089" t="inlineStr">
        <is>
          <t>San Salvador</t>
        </is>
      </c>
      <c r="I1089" t="inlineStr">
        <is>
          <t>Karla Henríquez</t>
        </is>
      </c>
      <c r="J1089" t="inlineStr">
        <is>
          <t>2277-3402</t>
        </is>
      </c>
      <c r="K1089" t="inlineStr">
        <is>
          <t>Carlos Molina</t>
        </is>
      </c>
      <c r="L1089" t="inlineStr">
        <is>
          <t>Douglas Ramírez Romero</t>
        </is>
      </c>
      <c r="M1089" t="inlineStr">
        <is>
          <t>09442743-4</t>
        </is>
      </c>
      <c r="N1089" t="inlineStr">
        <is>
          <t>7669-3172</t>
        </is>
      </c>
      <c r="O1089" t="inlineStr">
        <is>
          <t>Consumidor final</t>
        </is>
      </c>
      <c r="P1089" t="inlineStr">
        <is>
          <t>LAC-002</t>
        </is>
      </c>
      <c r="Q1089" t="inlineStr">
        <is>
          <t>Crema 500ml</t>
        </is>
      </c>
      <c r="R1089" t="inlineStr">
        <is>
          <t>Lácteos</t>
        </is>
      </c>
      <c r="S1089" t="inlineStr">
        <is>
          <t>Lácteos Chalate</t>
        </is>
      </c>
      <c r="T1089" t="inlineStr">
        <is>
          <t>2335-1020</t>
        </is>
      </c>
      <c r="U1089" t="n">
        <v>2.25</v>
      </c>
      <c r="V1089" t="n">
        <v>1</v>
      </c>
      <c r="W1089" t="n">
        <v>0</v>
      </c>
      <c r="X1089">
        <f>IFERROR(U1089*V1089*(1-W1089/100),"")</f>
        <v/>
      </c>
      <c r="Y1089">
        <f>IFERROR(ROUND(X1089*0.13,2),"")</f>
        <v/>
      </c>
      <c r="Z1089">
        <f>IFERROR(X1089+Y1089,"")</f>
        <v/>
      </c>
      <c r="AA1089" t="inlineStr">
        <is>
          <t>Tarjeta</t>
        </is>
      </c>
      <c r="AB1089" t="inlineStr"/>
    </row>
    <row r="1090">
      <c r="A1090" t="inlineStr">
        <is>
          <t>F-11297</t>
        </is>
      </c>
      <c r="B1090" t="inlineStr">
        <is>
          <t>28/09/2026</t>
        </is>
      </c>
      <c r="C1090" t="inlineStr">
        <is>
          <t>Factura</t>
        </is>
      </c>
      <c r="D1090" t="inlineStr">
        <is>
          <t>SS03</t>
        </is>
      </c>
      <c r="E1090" t="inlineStr">
        <is>
          <t>Soyapango</t>
        </is>
      </c>
      <c r="F1090" t="inlineStr">
        <is>
          <t>Blvd. del Ejército km 4</t>
        </is>
      </c>
      <c r="G1090" t="inlineStr">
        <is>
          <t>Soyapango</t>
        </is>
      </c>
      <c r="H1090" t="inlineStr">
        <is>
          <t>San Salvador</t>
        </is>
      </c>
      <c r="I1090" t="inlineStr">
        <is>
          <t>Karla Henríquez</t>
        </is>
      </c>
      <c r="J1090" t="inlineStr">
        <is>
          <t>2277-3402</t>
        </is>
      </c>
      <c r="K1090" t="inlineStr">
        <is>
          <t>Carlos Molina</t>
        </is>
      </c>
      <c r="L1090" t="inlineStr">
        <is>
          <t>Douglas Ramírez Romero</t>
        </is>
      </c>
      <c r="M1090" t="inlineStr">
        <is>
          <t>09442743-4</t>
        </is>
      </c>
      <c r="N1090" t="inlineStr">
        <is>
          <t>7669-3172</t>
        </is>
      </c>
      <c r="O1090" t="inlineStr">
        <is>
          <t>Consumidor final</t>
        </is>
      </c>
      <c r="P1090" t="inlineStr">
        <is>
          <t>HIG-003</t>
        </is>
      </c>
      <c r="Q1090" t="inlineStr">
        <is>
          <t>Jabón de lavar barra</t>
        </is>
      </c>
      <c r="R1090" t="inlineStr">
        <is>
          <t>Limpieza</t>
        </is>
      </c>
      <c r="S1090" t="inlineStr">
        <is>
          <t>Higiene Total C.A.</t>
        </is>
      </c>
      <c r="T1090" t="inlineStr">
        <is>
          <t>2207-5566</t>
        </is>
      </c>
      <c r="U1090" t="n">
        <v>0.75</v>
      </c>
      <c r="V1090" t="n">
        <v>3</v>
      </c>
      <c r="W1090" t="n">
        <v>0</v>
      </c>
      <c r="X1090">
        <f>IFERROR(U1090*V1090*(1-W1090/100),"")</f>
        <v/>
      </c>
      <c r="Y1090">
        <f>IFERROR(ROUND(X1090*0.13,2),"")</f>
        <v/>
      </c>
      <c r="Z1090">
        <f>IFERROR(X1090+Y1090,"")</f>
        <v/>
      </c>
      <c r="AA1090" t="inlineStr">
        <is>
          <t>Tarjeta</t>
        </is>
      </c>
      <c r="AB1090" t="inlineStr"/>
    </row>
    <row r="1091">
      <c r="A1091" t="inlineStr">
        <is>
          <t>F-11299</t>
        </is>
      </c>
      <c r="B1091" s="3" t="n">
        <v>46262</v>
      </c>
      <c r="C1091" t="inlineStr">
        <is>
          <t>Factura</t>
        </is>
      </c>
      <c r="D1091" t="inlineStr">
        <is>
          <t>LL01</t>
        </is>
      </c>
      <c r="E1091" t="inlineStr">
        <is>
          <t>SANTA TECLA</t>
        </is>
      </c>
      <c r="F1091" t="inlineStr">
        <is>
          <t>Calle Daniel Hernández #18</t>
        </is>
      </c>
      <c r="G1091" t="inlineStr">
        <is>
          <t>Santa Tecla</t>
        </is>
      </c>
      <c r="H1091" t="inlineStr">
        <is>
          <t>La Libertad</t>
        </is>
      </c>
      <c r="I1091" t="inlineStr">
        <is>
          <t>Óscar Rivas</t>
        </is>
      </c>
      <c r="J1091" t="inlineStr">
        <is>
          <t>2228-7731</t>
        </is>
      </c>
      <c r="K1091" t="inlineStr">
        <is>
          <t>Luis Escobar</t>
        </is>
      </c>
      <c r="L1091" t="inlineStr">
        <is>
          <t>Carlos Mejía García</t>
        </is>
      </c>
      <c r="M1091" t="inlineStr">
        <is>
          <t>07315753-2</t>
        </is>
      </c>
      <c r="N1091" t="inlineStr">
        <is>
          <t>2800-1990</t>
        </is>
      </c>
      <c r="O1091" t="inlineStr">
        <is>
          <t>Consumidor final</t>
        </is>
      </c>
      <c r="P1091" t="inlineStr">
        <is>
          <t>HIG-001</t>
        </is>
      </c>
      <c r="Q1091" t="inlineStr">
        <is>
          <t>Detergente 1kg</t>
        </is>
      </c>
      <c r="R1091" t="inlineStr">
        <is>
          <t>Limpieza</t>
        </is>
      </c>
      <c r="S1091" t="inlineStr">
        <is>
          <t>Higiene Total C.A.</t>
        </is>
      </c>
      <c r="T1091" t="inlineStr">
        <is>
          <t>2207-5566</t>
        </is>
      </c>
      <c r="U1091" t="n">
        <v>3.45</v>
      </c>
      <c r="V1091" t="n">
        <v>6</v>
      </c>
      <c r="W1091" t="n">
        <v>0</v>
      </c>
      <c r="X1091">
        <f>IFERROR(U1091*V1091*(1-W1091/100),"")</f>
        <v/>
      </c>
      <c r="Y1091">
        <f>IFERROR(ROUND(X1091*0.13,2),"")</f>
        <v/>
      </c>
      <c r="Z1091">
        <f>IFERROR(X1091+Y1091,"")</f>
        <v/>
      </c>
      <c r="AA1091" t="inlineStr">
        <is>
          <t>Efectivo</t>
        </is>
      </c>
      <c r="AB1091" t="inlineStr"/>
    </row>
    <row r="1092">
      <c r="A1092" t="inlineStr">
        <is>
          <t>F-11301</t>
        </is>
      </c>
      <c r="B1092" t="inlineStr">
        <is>
          <t>09/09/2026</t>
        </is>
      </c>
      <c r="C1092" t="inlineStr">
        <is>
          <t>FCF</t>
        </is>
      </c>
      <c r="D1092" t="inlineStr">
        <is>
          <t>LL02</t>
        </is>
      </c>
      <c r="E1092" t="inlineStr">
        <is>
          <t>Pto. La Libertad</t>
        </is>
      </c>
      <c r="F1092" t="inlineStr">
        <is>
          <t>Calle El Malecón, Local 4</t>
        </is>
      </c>
      <c r="G1092" t="inlineStr">
        <is>
          <t>La Libertad</t>
        </is>
      </c>
      <c r="H1092" t="inlineStr">
        <is>
          <t>La Libertad</t>
        </is>
      </c>
      <c r="I1092" t="inlineStr">
        <is>
          <t>Wendy Aguilar</t>
        </is>
      </c>
      <c r="J1092" t="inlineStr">
        <is>
          <t>2335-6140</t>
        </is>
      </c>
      <c r="K1092" t="inlineStr">
        <is>
          <t>Gabriela Saravia</t>
        </is>
      </c>
      <c r="L1092" t="inlineStr">
        <is>
          <t>Edwin Alvarado García</t>
        </is>
      </c>
      <c r="M1092" t="inlineStr">
        <is>
          <t>03264621-6</t>
        </is>
      </c>
      <c r="N1092" t="inlineStr">
        <is>
          <t>2560-1229</t>
        </is>
      </c>
      <c r="O1092" t="inlineStr">
        <is>
          <t>Consumidor final</t>
        </is>
      </c>
      <c r="P1092" t="inlineStr">
        <is>
          <t>BEB-003</t>
        </is>
      </c>
      <c r="Q1092" t="inlineStr">
        <is>
          <t>Horchata en polvo 400g</t>
        </is>
      </c>
      <c r="R1092" t="inlineStr">
        <is>
          <t>Abarrotes</t>
        </is>
      </c>
      <c r="S1092" t="inlineStr">
        <is>
          <t>Bebidas Izalco</t>
        </is>
      </c>
      <c r="T1092" t="inlineStr">
        <is>
          <t>2450-7700</t>
        </is>
      </c>
      <c r="U1092" t="n">
        <v>2.6</v>
      </c>
      <c r="V1092" t="n">
        <v>2</v>
      </c>
      <c r="W1092" t="n">
        <v>0</v>
      </c>
      <c r="X1092">
        <f>IFERROR(U1092*V1092*(1-W1092/100),"")</f>
        <v/>
      </c>
      <c r="Y1092">
        <f>IFERROR(ROUND(X1092*0.13,2),"")</f>
        <v/>
      </c>
      <c r="Z1092">
        <f>IFERROR(X1092+Y1092,"")</f>
        <v/>
      </c>
      <c r="AA1092" t="inlineStr">
        <is>
          <t>Tarjeta</t>
        </is>
      </c>
      <c r="AB1092" t="inlineStr">
        <is>
          <t>pagó con billete de $100</t>
        </is>
      </c>
    </row>
    <row r="1093">
      <c r="A1093" t="inlineStr">
        <is>
          <t>F-11304</t>
        </is>
      </c>
      <c r="B1093" s="3" t="n">
        <v>46222</v>
      </c>
      <c r="C1093" t="inlineStr">
        <is>
          <t>Factura</t>
        </is>
      </c>
      <c r="D1093" t="inlineStr">
        <is>
          <t>US01</t>
        </is>
      </c>
      <c r="E1093" t="inlineStr">
        <is>
          <t>Usulutan</t>
        </is>
      </c>
      <c r="F1093" t="inlineStr">
        <is>
          <t>2a Av. Norte #9</t>
        </is>
      </c>
      <c r="G1093" t="inlineStr">
        <is>
          <t>Usulután</t>
        </is>
      </c>
      <c r="H1093" t="inlineStr">
        <is>
          <t>Usulután</t>
        </is>
      </c>
      <c r="I1093" t="inlineStr">
        <is>
          <t>Nelson Fuentes</t>
        </is>
      </c>
      <c r="J1093" t="inlineStr">
        <is>
          <t>2662-8810</t>
        </is>
      </c>
      <c r="K1093" t="inlineStr">
        <is>
          <t>Miguel Bonilla</t>
        </is>
      </c>
      <c r="L1093" t="inlineStr">
        <is>
          <t>Carmen Flores Sorto</t>
        </is>
      </c>
      <c r="M1093" t="inlineStr">
        <is>
          <t>02579994-7</t>
        </is>
      </c>
      <c r="N1093" t="inlineStr">
        <is>
          <t>2462-9572</t>
        </is>
      </c>
      <c r="O1093" t="inlineStr">
        <is>
          <t>Consumidor final</t>
        </is>
      </c>
      <c r="P1093" t="inlineStr">
        <is>
          <t>AZU-001</t>
        </is>
      </c>
      <c r="Q1093" t="inlineStr">
        <is>
          <t>Azúcar blanca 2.5kg</t>
        </is>
      </c>
      <c r="R1093" t="inlineStr">
        <is>
          <t>Abarrotes</t>
        </is>
      </c>
      <c r="S1093" t="inlineStr">
        <is>
          <t>Granos del Pacífico</t>
        </is>
      </c>
      <c r="T1093" t="inlineStr">
        <is>
          <t>2234-8890</t>
        </is>
      </c>
      <c r="U1093" t="n">
        <v>3.1</v>
      </c>
      <c r="V1093" t="n">
        <v>1</v>
      </c>
      <c r="W1093" t="n">
        <v>0</v>
      </c>
      <c r="X1093">
        <f>IFERROR(U1093*V1093*(1-W1093/100),"")</f>
        <v/>
      </c>
      <c r="Y1093">
        <f>IFERROR(ROUND(X1093*0.13,2),"")</f>
        <v/>
      </c>
      <c r="Z1093">
        <f>IFERROR(X1093+Y1093,"")</f>
        <v/>
      </c>
      <c r="AA1093" t="inlineStr">
        <is>
          <t>Efectivo</t>
        </is>
      </c>
      <c r="AB1093" t="inlineStr">
        <is>
          <t>entregar en bodega</t>
        </is>
      </c>
    </row>
    <row r="1094">
      <c r="A1094" t="inlineStr">
        <is>
          <t>F-11304</t>
        </is>
      </c>
      <c r="B1094" t="inlineStr">
        <is>
          <t>2026-07-19</t>
        </is>
      </c>
      <c r="C1094" t="inlineStr">
        <is>
          <t>Factura</t>
        </is>
      </c>
      <c r="D1094" t="inlineStr">
        <is>
          <t>US01</t>
        </is>
      </c>
      <c r="E1094" t="inlineStr">
        <is>
          <t>Usulutan</t>
        </is>
      </c>
      <c r="F1094" t="inlineStr">
        <is>
          <t>2a Av. Norte #9</t>
        </is>
      </c>
      <c r="G1094" t="inlineStr">
        <is>
          <t>Usulután</t>
        </is>
      </c>
      <c r="H1094" t="inlineStr">
        <is>
          <t>Usulután</t>
        </is>
      </c>
      <c r="I1094" t="inlineStr">
        <is>
          <t>Nelson Fuentes</t>
        </is>
      </c>
      <c r="J1094" t="inlineStr">
        <is>
          <t>2662-8810</t>
        </is>
      </c>
      <c r="K1094" t="inlineStr">
        <is>
          <t>Miguel Bonilla</t>
        </is>
      </c>
      <c r="L1094" t="inlineStr">
        <is>
          <t>Carmen Flores Sorto</t>
        </is>
      </c>
      <c r="M1094" t="inlineStr">
        <is>
          <t>02579994-7</t>
        </is>
      </c>
      <c r="N1094" t="inlineStr">
        <is>
          <t>2462-9572</t>
        </is>
      </c>
      <c r="O1094" t="inlineStr">
        <is>
          <t>Consumidor final</t>
        </is>
      </c>
      <c r="P1094" t="inlineStr">
        <is>
          <t>BEB-002</t>
        </is>
      </c>
      <c r="Q1094" t="inlineStr">
        <is>
          <t>Agua purificada 1 galón</t>
        </is>
      </c>
      <c r="R1094" t="inlineStr">
        <is>
          <t>Bebidas</t>
        </is>
      </c>
      <c r="S1094" t="inlineStr">
        <is>
          <t>Bebidas Izalco</t>
        </is>
      </c>
      <c r="T1094" t="inlineStr">
        <is>
          <t>2450-7700</t>
        </is>
      </c>
      <c r="U1094" t="inlineStr">
        <is>
          <t>1,10</t>
        </is>
      </c>
      <c r="V1094" t="n">
        <v>2</v>
      </c>
      <c r="W1094" t="n">
        <v>0</v>
      </c>
      <c r="X1094">
        <f>IFERROR(U1094*V1094*(1-W1094/100),"")</f>
        <v/>
      </c>
      <c r="Y1094">
        <f>IFERROR(ROUND(X1094*0.13,2),"")</f>
        <v/>
      </c>
      <c r="Z1094">
        <f>IFERROR(X1094+Y1094,"")</f>
        <v/>
      </c>
      <c r="AA1094" t="inlineStr">
        <is>
          <t>Efectivo</t>
        </is>
      </c>
      <c r="AB1094" t="inlineStr">
        <is>
          <t>entregar en bodega</t>
        </is>
      </c>
    </row>
    <row r="1095">
      <c r="A1095" t="inlineStr">
        <is>
          <t>F-11304</t>
        </is>
      </c>
      <c r="B1095" s="3" t="n">
        <v>46222</v>
      </c>
      <c r="C1095" t="inlineStr">
        <is>
          <t>Factura</t>
        </is>
      </c>
      <c r="D1095" t="inlineStr">
        <is>
          <t>US01</t>
        </is>
      </c>
      <c r="E1095" t="inlineStr">
        <is>
          <t>Usulutan</t>
        </is>
      </c>
      <c r="F1095" t="inlineStr">
        <is>
          <t>2a Av. Norte #9</t>
        </is>
      </c>
      <c r="G1095" t="inlineStr">
        <is>
          <t>Usulután</t>
        </is>
      </c>
      <c r="H1095" t="inlineStr">
        <is>
          <t>Usulután</t>
        </is>
      </c>
      <c r="I1095" t="inlineStr">
        <is>
          <t>Nelson Fuentes</t>
        </is>
      </c>
      <c r="J1095" t="inlineStr">
        <is>
          <t>2662-8810</t>
        </is>
      </c>
      <c r="K1095" t="inlineStr">
        <is>
          <t>Miguel Bonilla</t>
        </is>
      </c>
      <c r="L1095" t="inlineStr">
        <is>
          <t>Carmen Flores Sorto</t>
        </is>
      </c>
      <c r="M1095" t="inlineStr"/>
      <c r="N1095" t="inlineStr">
        <is>
          <t>2462-9572</t>
        </is>
      </c>
      <c r="O1095" t="inlineStr">
        <is>
          <t>Consumidor final</t>
        </is>
      </c>
      <c r="P1095" t="inlineStr">
        <is>
          <t>BEB-001</t>
        </is>
      </c>
      <c r="Q1095" t="inlineStr">
        <is>
          <t>Gaseosa 2.5L</t>
        </is>
      </c>
      <c r="R1095" t="inlineStr">
        <is>
          <t>Bebidas</t>
        </is>
      </c>
      <c r="S1095" t="inlineStr">
        <is>
          <t>Bebidas Izalco</t>
        </is>
      </c>
      <c r="T1095" t="inlineStr">
        <is>
          <t>2450-7700</t>
        </is>
      </c>
      <c r="U1095" t="n">
        <v>1.95</v>
      </c>
      <c r="V1095" t="n">
        <v>24</v>
      </c>
      <c r="W1095" t="n">
        <v>0</v>
      </c>
      <c r="X1095">
        <f>IFERROR(U1095*V1095*(1-W1095/100),"")</f>
        <v/>
      </c>
      <c r="Y1095">
        <f>IFERROR(ROUND(X1095*0.13,2),"")</f>
        <v/>
      </c>
      <c r="Z1095">
        <f>IFERROR(X1095+Y1095,"")</f>
        <v/>
      </c>
      <c r="AA1095" t="inlineStr">
        <is>
          <t>Efectivo</t>
        </is>
      </c>
      <c r="AB1095" t="inlineStr">
        <is>
          <t>Cliente frecuente</t>
        </is>
      </c>
    </row>
    <row r="1096">
      <c r="A1096" t="inlineStr">
        <is>
          <t>F-11307</t>
        </is>
      </c>
      <c r="B1096" s="3" t="n">
        <v>46219</v>
      </c>
      <c r="C1096" t="inlineStr">
        <is>
          <t>Factura</t>
        </is>
      </c>
      <c r="D1096" t="inlineStr">
        <is>
          <t>SA01</t>
        </is>
      </c>
      <c r="E1096" t="inlineStr">
        <is>
          <t>STA ANA</t>
        </is>
      </c>
      <c r="F1096" t="inlineStr">
        <is>
          <t>Av. Independencia Sur #12</t>
        </is>
      </c>
      <c r="G1096" t="inlineStr">
        <is>
          <t>Santa Ana</t>
        </is>
      </c>
      <c r="H1096" t="inlineStr">
        <is>
          <t>Santa Ana</t>
        </is>
      </c>
      <c r="I1096" t="inlineStr">
        <is>
          <t>Mauricio Linares</t>
        </is>
      </c>
      <c r="J1096" t="inlineStr">
        <is>
          <t>2440-9921</t>
        </is>
      </c>
      <c r="K1096" t="inlineStr">
        <is>
          <t>Sofía Cáceres</t>
        </is>
      </c>
      <c r="L1096" t="inlineStr">
        <is>
          <t>Walter García Alvarado</t>
        </is>
      </c>
      <c r="M1096" t="inlineStr">
        <is>
          <t>08409777-4</t>
        </is>
      </c>
      <c r="N1096" t="inlineStr">
        <is>
          <t>6398-6837</t>
        </is>
      </c>
      <c r="O1096" t="inlineStr">
        <is>
          <t>Consumidor final</t>
        </is>
      </c>
      <c r="P1096" t="inlineStr">
        <is>
          <t>PAN-001</t>
        </is>
      </c>
      <c r="Q1096" t="inlineStr">
        <is>
          <t>Pan francés bolsa 10u</t>
        </is>
      </c>
      <c r="R1096" t="inlineStr">
        <is>
          <t>Panadería</t>
        </is>
      </c>
      <c r="S1096" t="inlineStr">
        <is>
          <t>Panificadora Ilopango</t>
        </is>
      </c>
      <c r="T1096" t="inlineStr">
        <is>
          <t>2295-0081</t>
        </is>
      </c>
      <c r="U1096" t="n">
        <v>1</v>
      </c>
      <c r="V1096" t="n">
        <v>4</v>
      </c>
      <c r="W1096" t="n">
        <v>0</v>
      </c>
      <c r="X1096">
        <f>IFERROR(U1096*V1096*(1-W1096/100),"")</f>
        <v/>
      </c>
      <c r="Y1096">
        <f>IFERROR(ROUND(X1096*0.13,2),"")</f>
        <v/>
      </c>
      <c r="Z1096">
        <f>IFERROR(X1096+Y1096,"")</f>
        <v/>
      </c>
      <c r="AA1096" t="inlineStr">
        <is>
          <t>Efectivo</t>
        </is>
      </c>
      <c r="AB1096" t="inlineStr">
        <is>
          <t>entregar en bodega</t>
        </is>
      </c>
    </row>
    <row r="1097">
      <c r="A1097" t="inlineStr">
        <is>
          <t>F-11307</t>
        </is>
      </c>
      <c r="B1097" s="3" t="n">
        <v>46219</v>
      </c>
      <c r="C1097" t="inlineStr">
        <is>
          <t>Factura</t>
        </is>
      </c>
      <c r="D1097" t="inlineStr">
        <is>
          <t>SA01</t>
        </is>
      </c>
      <c r="E1097" t="inlineStr">
        <is>
          <t>STA ANA</t>
        </is>
      </c>
      <c r="F1097" t="inlineStr">
        <is>
          <t>Av. Independencia Sur #12</t>
        </is>
      </c>
      <c r="G1097" t="inlineStr">
        <is>
          <t>Santa Ana</t>
        </is>
      </c>
      <c r="H1097" t="inlineStr">
        <is>
          <t>Santa Ana</t>
        </is>
      </c>
      <c r="I1097" t="inlineStr">
        <is>
          <t>Mauricio Linares</t>
        </is>
      </c>
      <c r="J1097" t="inlineStr">
        <is>
          <t>2440-9921</t>
        </is>
      </c>
      <c r="K1097" t="inlineStr">
        <is>
          <t>Sofía Cáceres</t>
        </is>
      </c>
      <c r="L1097" t="inlineStr">
        <is>
          <t>Walter García Alvarado</t>
        </is>
      </c>
      <c r="M1097" t="inlineStr">
        <is>
          <t>08409777-4</t>
        </is>
      </c>
      <c r="N1097" t="inlineStr">
        <is>
          <t>6398-6837</t>
        </is>
      </c>
      <c r="O1097" t="inlineStr">
        <is>
          <t>Consumidor final</t>
        </is>
      </c>
      <c r="P1097" t="inlineStr">
        <is>
          <t>FRI-001</t>
        </is>
      </c>
      <c r="Q1097" t="inlineStr">
        <is>
          <t>Frijol rojo de seda 2lb</t>
        </is>
      </c>
      <c r="R1097" t="inlineStr">
        <is>
          <t>Abarrotes</t>
        </is>
      </c>
      <c r="S1097" t="inlineStr">
        <is>
          <t>Granos del Pacífico</t>
        </is>
      </c>
      <c r="T1097" t="inlineStr">
        <is>
          <t>2234-8890</t>
        </is>
      </c>
      <c r="U1097" t="inlineStr">
        <is>
          <t>$2.40</t>
        </is>
      </c>
      <c r="V1097" t="n">
        <v>1</v>
      </c>
      <c r="W1097" t="n">
        <v>0</v>
      </c>
      <c r="X1097">
        <f>IFERROR(U1097*V1097*(1-W1097/100),"")</f>
        <v/>
      </c>
      <c r="Y1097">
        <f>IFERROR(ROUND(X1097*0.13,2),"")</f>
        <v/>
      </c>
      <c r="Z1097">
        <f>IFERROR(X1097+Y1097,"")</f>
        <v/>
      </c>
      <c r="AA1097" t="inlineStr">
        <is>
          <t>Efectivo</t>
        </is>
      </c>
      <c r="AB1097" t="inlineStr"/>
    </row>
    <row r="1098">
      <c r="A1098" t="inlineStr">
        <is>
          <t>F-11308</t>
        </is>
      </c>
      <c r="B1098" s="3" t="n">
        <v>46227</v>
      </c>
      <c r="C1098" t="inlineStr">
        <is>
          <t>Factura</t>
        </is>
      </c>
      <c r="D1098" t="inlineStr">
        <is>
          <t>SS02</t>
        </is>
      </c>
      <c r="E1098" t="inlineStr">
        <is>
          <t>Escalon</t>
        </is>
      </c>
      <c r="F1098" t="inlineStr">
        <is>
          <t>Paseo General Escalón #3910</t>
        </is>
      </c>
      <c r="G1098" t="inlineStr">
        <is>
          <t>San Salvador</t>
        </is>
      </c>
      <c r="H1098" t="inlineStr">
        <is>
          <t>San Salvador</t>
        </is>
      </c>
      <c r="I1098" t="inlineStr">
        <is>
          <t>Claudia Menjívar</t>
        </is>
      </c>
      <c r="J1098" t="inlineStr">
        <is>
          <t>2264-1190</t>
        </is>
      </c>
      <c r="K1098" t="inlineStr">
        <is>
          <t>Fátima Rosales</t>
        </is>
      </c>
      <c r="L1098" t="inlineStr">
        <is>
          <t>Luis Alvarado Flores</t>
        </is>
      </c>
      <c r="M1098" t="inlineStr">
        <is>
          <t>04419851-7</t>
        </is>
      </c>
      <c r="N1098" t="inlineStr">
        <is>
          <t>6898-7811</t>
        </is>
      </c>
      <c r="O1098" t="inlineStr">
        <is>
          <t>Consumidor final</t>
        </is>
      </c>
      <c r="P1098" t="inlineStr">
        <is>
          <t>ARR-001</t>
        </is>
      </c>
      <c r="Q1098" t="inlineStr">
        <is>
          <t>Arroz blanco 5lb</t>
        </is>
      </c>
      <c r="R1098" t="inlineStr">
        <is>
          <t>Abarrotes</t>
        </is>
      </c>
      <c r="S1098" t="inlineStr">
        <is>
          <t>Granos del Pacífico</t>
        </is>
      </c>
      <c r="T1098" t="inlineStr">
        <is>
          <t>2234-8890</t>
        </is>
      </c>
      <c r="U1098" t="n">
        <v>3.95</v>
      </c>
      <c r="V1098" t="n">
        <v>3</v>
      </c>
      <c r="W1098" t="n">
        <v>0</v>
      </c>
      <c r="X1098">
        <f>IFERROR(U1098*V1098*(1-W1098/100),"")</f>
        <v/>
      </c>
      <c r="Y1098">
        <f>IFERROR(ROUND(X1098*0.13,2),"")</f>
        <v/>
      </c>
      <c r="Z1098">
        <f>IFERROR(X1098+Y1098,"")</f>
        <v/>
      </c>
      <c r="AA1098" t="inlineStr">
        <is>
          <t>efectivo</t>
        </is>
      </c>
      <c r="AB1098" t="inlineStr">
        <is>
          <t>Llamar al 7788-1234 antes de entregar</t>
        </is>
      </c>
    </row>
    <row r="1099">
      <c r="A1099" t="inlineStr">
        <is>
          <t>F-11310</t>
        </is>
      </c>
      <c r="B1099" s="3" t="n">
        <v>46254</v>
      </c>
      <c r="C1099" t="inlineStr">
        <is>
          <t>factura</t>
        </is>
      </c>
      <c r="D1099" t="inlineStr">
        <is>
          <t>SS02</t>
        </is>
      </c>
      <c r="E1099" t="inlineStr">
        <is>
          <t>ESCALON</t>
        </is>
      </c>
      <c r="F1099" t="inlineStr">
        <is>
          <t>Paseo General Escalón #3910</t>
        </is>
      </c>
      <c r="G1099" t="inlineStr">
        <is>
          <t>San Salvador</t>
        </is>
      </c>
      <c r="H1099" t="inlineStr">
        <is>
          <t>San Salvador</t>
        </is>
      </c>
      <c r="I1099" t="inlineStr">
        <is>
          <t>Claudia Menjívar</t>
        </is>
      </c>
      <c r="J1099" t="inlineStr">
        <is>
          <t>2264-1190</t>
        </is>
      </c>
      <c r="K1099" t="inlineStr">
        <is>
          <t>Fátima Rosales</t>
        </is>
      </c>
      <c r="L1099" t="inlineStr">
        <is>
          <t>Brenda Castillo Sorto</t>
        </is>
      </c>
      <c r="M1099" t="inlineStr">
        <is>
          <t>09144591-2</t>
        </is>
      </c>
      <c r="N1099" t="inlineStr">
        <is>
          <t>2460-3568</t>
        </is>
      </c>
      <c r="O1099" t="inlineStr">
        <is>
          <t>Consumidor final</t>
        </is>
      </c>
      <c r="P1099" t="inlineStr">
        <is>
          <t>LAC-001</t>
        </is>
      </c>
      <c r="Q1099" t="inlineStr">
        <is>
          <t>Quesillo 1lb</t>
        </is>
      </c>
      <c r="R1099" t="inlineStr">
        <is>
          <t>Lacteos</t>
        </is>
      </c>
      <c r="S1099" t="inlineStr">
        <is>
          <t>Lácteos Chalate</t>
        </is>
      </c>
      <c r="T1099" t="inlineStr">
        <is>
          <t>2335-1020</t>
        </is>
      </c>
      <c r="U1099" t="n">
        <v>3.8</v>
      </c>
      <c r="V1099" t="n">
        <v>6</v>
      </c>
      <c r="W1099" t="n">
        <v>0</v>
      </c>
      <c r="X1099">
        <f>IFERROR(U1099*V1099*(1-W1099/100),"")</f>
        <v/>
      </c>
      <c r="Y1099">
        <f>IFERROR(ROUND(X1099*0.13,2),"")</f>
        <v/>
      </c>
      <c r="Z1099">
        <f>IFERROR(X1099+Y1099,"")</f>
        <v/>
      </c>
      <c r="AA1099" t="inlineStr">
        <is>
          <t>Tarjeta</t>
        </is>
      </c>
      <c r="AB1099" t="inlineStr">
        <is>
          <t>precio especial autorizado por gerente</t>
        </is>
      </c>
    </row>
    <row r="1100">
      <c r="A1100" t="inlineStr">
        <is>
          <t>F-11313</t>
        </is>
      </c>
      <c r="B1100" t="inlineStr">
        <is>
          <t>06/08/2026</t>
        </is>
      </c>
      <c r="C1100" t="inlineStr">
        <is>
          <t>Factura</t>
        </is>
      </c>
      <c r="D1100" t="inlineStr">
        <is>
          <t>SM01</t>
        </is>
      </c>
      <c r="E1100" t="inlineStr">
        <is>
          <t>San Miguel</t>
        </is>
      </c>
      <c r="F1100" t="inlineStr">
        <is>
          <t>Av. Roosevelt Sur #7</t>
        </is>
      </c>
      <c r="G1100" t="inlineStr">
        <is>
          <t>San Miguel</t>
        </is>
      </c>
      <c r="H1100" t="inlineStr">
        <is>
          <t>San Miguel</t>
        </is>
      </c>
      <c r="I1100" t="inlineStr">
        <is>
          <t>Iris Portillo</t>
        </is>
      </c>
      <c r="J1100" t="inlineStr">
        <is>
          <t>2661-5076</t>
        </is>
      </c>
      <c r="K1100" t="inlineStr">
        <is>
          <t>Jorge Villalta</t>
        </is>
      </c>
      <c r="L1100" t="inlineStr">
        <is>
          <t>Rosa Flores Cornejo</t>
        </is>
      </c>
      <c r="M1100" t="inlineStr"/>
      <c r="N1100" t="inlineStr">
        <is>
          <t>7668-7502</t>
        </is>
      </c>
      <c r="O1100" t="inlineStr">
        <is>
          <t>Consumidor final</t>
        </is>
      </c>
      <c r="P1100" t="inlineStr">
        <is>
          <t>LAC-002</t>
        </is>
      </c>
      <c r="Q1100" t="inlineStr">
        <is>
          <t>Crema 500ml</t>
        </is>
      </c>
      <c r="R1100" t="inlineStr">
        <is>
          <t>Lácteos</t>
        </is>
      </c>
      <c r="S1100" t="inlineStr">
        <is>
          <t>Lácteos Chalate</t>
        </is>
      </c>
      <c r="T1100" t="inlineStr">
        <is>
          <t>2335-1020</t>
        </is>
      </c>
      <c r="U1100" t="n">
        <v>2.25</v>
      </c>
      <c r="V1100" t="n">
        <v>3</v>
      </c>
      <c r="W1100" t="n">
        <v>0</v>
      </c>
      <c r="X1100">
        <f>IFERROR(U1100*V1100*(1-W1100/100),"")</f>
        <v/>
      </c>
      <c r="Y1100">
        <f>IFERROR(ROUND(X1100*0.13,2),"")</f>
        <v/>
      </c>
      <c r="Z1100">
        <f>IFERROR(X1100+Y1100,"")</f>
        <v/>
      </c>
      <c r="AA1100" t="inlineStr">
        <is>
          <t>Efectivo</t>
        </is>
      </c>
      <c r="AB1100" t="inlineStr"/>
    </row>
    <row r="1101">
      <c r="A1101" t="inlineStr">
        <is>
          <t>F-11314</t>
        </is>
      </c>
      <c r="B1101" s="3" t="n">
        <v>46244</v>
      </c>
      <c r="C1101" t="inlineStr">
        <is>
          <t>CCF</t>
        </is>
      </c>
      <c r="D1101" t="inlineStr">
        <is>
          <t>SM01</t>
        </is>
      </c>
      <c r="E1101" t="inlineStr">
        <is>
          <t>SAN MIGUEL</t>
        </is>
      </c>
      <c r="F1101" t="inlineStr">
        <is>
          <t>Av. Roosevelt Sur #7</t>
        </is>
      </c>
      <c r="G1101" t="inlineStr">
        <is>
          <t>San Miguel</t>
        </is>
      </c>
      <c r="H1101" t="inlineStr">
        <is>
          <t>San Miguel</t>
        </is>
      </c>
      <c r="I1101" t="inlineStr">
        <is>
          <t>Iris Portillo</t>
        </is>
      </c>
      <c r="J1101" t="inlineStr">
        <is>
          <t>2661-5076</t>
        </is>
      </c>
      <c r="K1101" t="inlineStr">
        <is>
          <t>Jorge Villalta</t>
        </is>
      </c>
      <c r="L1101" t="inlineStr">
        <is>
          <t>Restaurante El Guanaco</t>
        </is>
      </c>
      <c r="M1101" t="inlineStr">
        <is>
          <t>168675-3</t>
        </is>
      </c>
      <c r="N1101" t="inlineStr">
        <is>
          <t>6165-7029</t>
        </is>
      </c>
      <c r="O1101" t="inlineStr">
        <is>
          <t>Contribuyente</t>
        </is>
      </c>
      <c r="P1101" t="inlineStr">
        <is>
          <t>PAN-002</t>
        </is>
      </c>
      <c r="Q1101" t="inlineStr">
        <is>
          <t>Semita alta</t>
        </is>
      </c>
      <c r="R1101" t="inlineStr">
        <is>
          <t>Panadería</t>
        </is>
      </c>
      <c r="S1101" t="inlineStr">
        <is>
          <t>Panificadora Ilopango</t>
        </is>
      </c>
      <c r="T1101" t="inlineStr">
        <is>
          <t>2295-0081</t>
        </is>
      </c>
      <c r="U1101" t="n">
        <v>1.75</v>
      </c>
      <c r="V1101" t="n">
        <v>24</v>
      </c>
      <c r="W1101" t="n">
        <v>0</v>
      </c>
      <c r="X1101">
        <f>IFERROR(U1101*V1101*(1-W1101/100),"")</f>
        <v/>
      </c>
      <c r="Y1101">
        <f>IFERROR(ROUND(X1101*0.13,2),"")</f>
        <v/>
      </c>
      <c r="Z1101">
        <f>IFERROR(X1101+Y1101,"")</f>
        <v/>
      </c>
      <c r="AA1101" t="inlineStr">
        <is>
          <t>Tarjeta</t>
        </is>
      </c>
      <c r="AB1101" t="inlineStr"/>
    </row>
    <row r="1102">
      <c r="A1102" t="inlineStr">
        <is>
          <t>F-11314</t>
        </is>
      </c>
      <c r="B1102" s="3" t="n">
        <v>46244</v>
      </c>
      <c r="C1102" t="inlineStr">
        <is>
          <t>CCF</t>
        </is>
      </c>
      <c r="D1102" t="inlineStr">
        <is>
          <t>SM01</t>
        </is>
      </c>
      <c r="E1102" t="inlineStr">
        <is>
          <t>SAN MIGUEL</t>
        </is>
      </c>
      <c r="F1102" t="inlineStr">
        <is>
          <t>Av. Roosevelt Sur #7</t>
        </is>
      </c>
      <c r="G1102" t="inlineStr">
        <is>
          <t>San Miguel</t>
        </is>
      </c>
      <c r="H1102" t="inlineStr">
        <is>
          <t>San Miguel</t>
        </is>
      </c>
      <c r="I1102" t="inlineStr">
        <is>
          <t>Iris Portillo</t>
        </is>
      </c>
      <c r="J1102" t="inlineStr">
        <is>
          <t>2661-5076</t>
        </is>
      </c>
      <c r="K1102" t="inlineStr">
        <is>
          <t>Jorge Villalta</t>
        </is>
      </c>
      <c r="L1102" t="inlineStr">
        <is>
          <t>Restaurante El Guanaco</t>
        </is>
      </c>
      <c r="M1102" t="inlineStr">
        <is>
          <t>168675-3</t>
        </is>
      </c>
      <c r="N1102" t="inlineStr">
        <is>
          <t>6165-7029</t>
        </is>
      </c>
      <c r="O1102" t="inlineStr">
        <is>
          <t>Contribuyente</t>
        </is>
      </c>
      <c r="P1102" t="inlineStr">
        <is>
          <t>FRI-001</t>
        </is>
      </c>
      <c r="Q1102" t="inlineStr">
        <is>
          <t>Frijol rojo de seda 2lb</t>
        </is>
      </c>
      <c r="R1102" t="inlineStr">
        <is>
          <t>Granos básicos</t>
        </is>
      </c>
      <c r="S1102" t="inlineStr">
        <is>
          <t>Granos del Pacífico</t>
        </is>
      </c>
      <c r="T1102" t="inlineStr">
        <is>
          <t>2234-8890</t>
        </is>
      </c>
      <c r="U1102" t="n">
        <v>2.4</v>
      </c>
      <c r="V1102" t="n">
        <v>4</v>
      </c>
      <c r="W1102" t="n">
        <v>0</v>
      </c>
      <c r="X1102">
        <f>IFERROR(U1102*V1102*(1-W1102/100),"")</f>
        <v/>
      </c>
      <c r="Y1102">
        <f>IFERROR(ROUND(X1102*0.13,2),"")</f>
        <v/>
      </c>
      <c r="Z1102">
        <f>IFERROR(X1102+Y1102,"")</f>
        <v/>
      </c>
      <c r="AA1102" t="inlineStr">
        <is>
          <t>Tarjeta</t>
        </is>
      </c>
      <c r="AB1102" t="inlineStr"/>
    </row>
    <row r="1103">
      <c r="A1103" t="inlineStr">
        <is>
          <t>F-11314</t>
        </is>
      </c>
      <c r="B1103" t="inlineStr">
        <is>
          <t>10/08/2026</t>
        </is>
      </c>
      <c r="C1103" t="inlineStr">
        <is>
          <t>CCF</t>
        </is>
      </c>
      <c r="D1103" t="inlineStr">
        <is>
          <t>SM01</t>
        </is>
      </c>
      <c r="E1103" t="inlineStr">
        <is>
          <t>SAN MIGUEL</t>
        </is>
      </c>
      <c r="F1103" t="inlineStr">
        <is>
          <t>Av. Roosevelt Sur #7</t>
        </is>
      </c>
      <c r="G1103" t="inlineStr">
        <is>
          <t>San Miguel</t>
        </is>
      </c>
      <c r="H1103" t="inlineStr">
        <is>
          <t>San Miguel</t>
        </is>
      </c>
      <c r="I1103" t="inlineStr">
        <is>
          <t>Iris Portillo</t>
        </is>
      </c>
      <c r="J1103" t="inlineStr">
        <is>
          <t>2661-5076</t>
        </is>
      </c>
      <c r="K1103" t="inlineStr">
        <is>
          <t>Jorge Villalta</t>
        </is>
      </c>
      <c r="L1103" t="inlineStr">
        <is>
          <t>Restaurante El Guanaco</t>
        </is>
      </c>
      <c r="M1103" t="inlineStr">
        <is>
          <t>168675-3</t>
        </is>
      </c>
      <c r="N1103" t="inlineStr">
        <is>
          <t>6165-7029</t>
        </is>
      </c>
      <c r="O1103" t="inlineStr">
        <is>
          <t>Contribuyente</t>
        </is>
      </c>
      <c r="P1103" t="inlineStr">
        <is>
          <t>LAC-003</t>
        </is>
      </c>
      <c r="Q1103" t="inlineStr">
        <is>
          <t>Leche entera 1L</t>
        </is>
      </c>
      <c r="R1103" t="inlineStr">
        <is>
          <t>Lácteos</t>
        </is>
      </c>
      <c r="S1103" t="inlineStr">
        <is>
          <t>Lácteos Chalate</t>
        </is>
      </c>
      <c r="T1103" t="inlineStr">
        <is>
          <t>2335-1020</t>
        </is>
      </c>
      <c r="U1103" t="inlineStr">
        <is>
          <t>$1.20</t>
        </is>
      </c>
      <c r="V1103" t="n">
        <v>3</v>
      </c>
      <c r="W1103" t="n">
        <v>10</v>
      </c>
      <c r="X1103">
        <f>IFERROR(U1103*V1103*(1-W1103/100),"")</f>
        <v/>
      </c>
      <c r="Y1103">
        <f>IFERROR(ROUND(X1103*0.13,2),"")</f>
        <v/>
      </c>
      <c r="Z1103">
        <f>IFERROR(X1103+Y1103,"")</f>
        <v/>
      </c>
      <c r="AA1103" t="inlineStr">
        <is>
          <t>Tarjeta</t>
        </is>
      </c>
      <c r="AB1103" t="inlineStr">
        <is>
          <t>precio especial autorizado por gerente</t>
        </is>
      </c>
    </row>
    <row r="1104">
      <c r="A1104" t="inlineStr">
        <is>
          <t>11316</t>
        </is>
      </c>
      <c r="B1104" s="3" t="n">
        <v>46270</v>
      </c>
      <c r="C1104" t="inlineStr">
        <is>
          <t>Factura</t>
        </is>
      </c>
      <c r="D1104" t="inlineStr"/>
      <c r="E1104" t="inlineStr">
        <is>
          <t>Escalon</t>
        </is>
      </c>
      <c r="F1104" t="inlineStr">
        <is>
          <t>Paseo General Escalón #3910</t>
        </is>
      </c>
      <c r="G1104" t="inlineStr">
        <is>
          <t>San Salvador</t>
        </is>
      </c>
      <c r="H1104" t="inlineStr">
        <is>
          <t>San Salvador</t>
        </is>
      </c>
      <c r="I1104" t="inlineStr">
        <is>
          <t>Claudia Menjívar</t>
        </is>
      </c>
      <c r="J1104" t="inlineStr">
        <is>
          <t>2264-1190</t>
        </is>
      </c>
      <c r="K1104" t="inlineStr">
        <is>
          <t>Kevin Benítez</t>
        </is>
      </c>
      <c r="L1104" t="inlineStr">
        <is>
          <t>René Flores García</t>
        </is>
      </c>
      <c r="M1104" t="inlineStr"/>
      <c r="N1104" t="inlineStr">
        <is>
          <t>6702-2047</t>
        </is>
      </c>
      <c r="O1104" t="inlineStr">
        <is>
          <t>Consumidor final</t>
        </is>
      </c>
      <c r="P1104" t="inlineStr">
        <is>
          <t>HIG-003</t>
        </is>
      </c>
      <c r="Q1104" t="inlineStr">
        <is>
          <t>Jabón de lavar barra</t>
        </is>
      </c>
      <c r="R1104" t="inlineStr">
        <is>
          <t>Limpieza</t>
        </is>
      </c>
      <c r="S1104" t="inlineStr">
        <is>
          <t>Higiene Total C.A.</t>
        </is>
      </c>
      <c r="T1104" t="inlineStr">
        <is>
          <t>2207-5566</t>
        </is>
      </c>
      <c r="U1104" t="n">
        <v>0.75</v>
      </c>
      <c r="V1104" t="n">
        <v>24</v>
      </c>
      <c r="W1104" t="n">
        <v>0</v>
      </c>
      <c r="X1104">
        <f>IFERROR(U1104*V1104*(1-W1104/100),"")</f>
        <v/>
      </c>
      <c r="Y1104">
        <f>IFERROR(ROUND(X1104*0.13,2),"")</f>
        <v/>
      </c>
      <c r="Z1104">
        <f>IFERROR(X1104+Y1104,"")</f>
        <v/>
      </c>
      <c r="AA1104" t="inlineStr">
        <is>
          <t>Bitcoin</t>
        </is>
      </c>
      <c r="AB1104" t="inlineStr">
        <is>
          <t>Llamar al 7788-1234 antes de entregar</t>
        </is>
      </c>
    </row>
    <row r="1105">
      <c r="A1105" t="inlineStr">
        <is>
          <t>F-11316</t>
        </is>
      </c>
      <c r="B1105" s="3" t="n">
        <v>46270</v>
      </c>
      <c r="C1105" t="inlineStr">
        <is>
          <t>Factura</t>
        </is>
      </c>
      <c r="D1105" t="inlineStr">
        <is>
          <t>SS02</t>
        </is>
      </c>
      <c r="E1105" t="inlineStr">
        <is>
          <t>Escalon</t>
        </is>
      </c>
      <c r="F1105" t="inlineStr">
        <is>
          <t>Paseo General Escalón #3910</t>
        </is>
      </c>
      <c r="G1105" t="inlineStr">
        <is>
          <t>San Salvador</t>
        </is>
      </c>
      <c r="H1105" t="inlineStr">
        <is>
          <t>San Salvador</t>
        </is>
      </c>
      <c r="I1105" t="inlineStr">
        <is>
          <t>Claudia Menjívar</t>
        </is>
      </c>
      <c r="J1105" t="inlineStr">
        <is>
          <t>2264-1190</t>
        </is>
      </c>
      <c r="K1105" t="inlineStr">
        <is>
          <t>Kevin Benítez</t>
        </is>
      </c>
      <c r="L1105" t="inlineStr">
        <is>
          <t>René Flores García</t>
        </is>
      </c>
      <c r="M1105" t="inlineStr">
        <is>
          <t>08499785-5</t>
        </is>
      </c>
      <c r="N1105" t="inlineStr">
        <is>
          <t>6702-2047</t>
        </is>
      </c>
      <c r="O1105" t="inlineStr">
        <is>
          <t>Consumidor final</t>
        </is>
      </c>
      <c r="P1105" t="inlineStr">
        <is>
          <t>PAN-003</t>
        </is>
      </c>
      <c r="Q1105" t="inlineStr">
        <is>
          <t>Quesadilla salvadoreña</t>
        </is>
      </c>
      <c r="R1105" t="inlineStr">
        <is>
          <t>PANADERIA</t>
        </is>
      </c>
      <c r="S1105" t="inlineStr">
        <is>
          <t>Panificadora Ilopango</t>
        </is>
      </c>
      <c r="T1105" t="inlineStr">
        <is>
          <t>2295-0081</t>
        </is>
      </c>
      <c r="U1105" t="inlineStr">
        <is>
          <t>2,50</t>
        </is>
      </c>
      <c r="V1105" t="n">
        <v>2</v>
      </c>
      <c r="W1105" t="n">
        <v>0</v>
      </c>
      <c r="X1105">
        <f>IFERROR(U1105*V1105*(1-W1105/100),"")</f>
        <v/>
      </c>
      <c r="Y1105">
        <f>IFERROR(ROUND(X1105*0.13,2),"")</f>
        <v/>
      </c>
      <c r="Z1105">
        <f>IFERROR(X1105+Y1105,"")</f>
        <v/>
      </c>
      <c r="AA1105" t="inlineStr">
        <is>
          <t>Bitcoin</t>
        </is>
      </c>
      <c r="AB1105" t="inlineStr"/>
    </row>
    <row r="1106">
      <c r="A1106" t="inlineStr">
        <is>
          <t>F-11316</t>
        </is>
      </c>
      <c r="B1106" s="3" t="n">
        <v>46270</v>
      </c>
      <c r="C1106" t="inlineStr">
        <is>
          <t>Factura</t>
        </is>
      </c>
      <c r="D1106" t="inlineStr">
        <is>
          <t>SS02</t>
        </is>
      </c>
      <c r="E1106" t="inlineStr">
        <is>
          <t>Escalón</t>
        </is>
      </c>
      <c r="F1106" t="inlineStr">
        <is>
          <t>Paseo General Escalón #3910</t>
        </is>
      </c>
      <c r="G1106" t="inlineStr">
        <is>
          <t>San Salvador</t>
        </is>
      </c>
      <c r="H1106" t="inlineStr">
        <is>
          <t>San Salvador</t>
        </is>
      </c>
      <c r="I1106" t="inlineStr">
        <is>
          <t>Claudia Menjívar</t>
        </is>
      </c>
      <c r="J1106" t="inlineStr">
        <is>
          <t>2264-1190</t>
        </is>
      </c>
      <c r="K1106" t="inlineStr">
        <is>
          <t>Kevin Benítez</t>
        </is>
      </c>
      <c r="L1106" t="inlineStr">
        <is>
          <t>René Flores García</t>
        </is>
      </c>
      <c r="M1106" t="inlineStr">
        <is>
          <t>08499785-5</t>
        </is>
      </c>
      <c r="N1106" t="inlineStr">
        <is>
          <t>6702-2047</t>
        </is>
      </c>
      <c r="O1106" t="inlineStr">
        <is>
          <t>Consumidor final</t>
        </is>
      </c>
      <c r="P1106" t="inlineStr">
        <is>
          <t>HIG-001</t>
        </is>
      </c>
      <c r="Q1106" t="inlineStr">
        <is>
          <t>Detergente 1kg</t>
        </is>
      </c>
      <c r="R1106" t="inlineStr">
        <is>
          <t>Limpieza</t>
        </is>
      </c>
      <c r="S1106" t="inlineStr">
        <is>
          <t>Higiene Total C.A.</t>
        </is>
      </c>
      <c r="T1106" t="inlineStr">
        <is>
          <t>2207-5566</t>
        </is>
      </c>
      <c r="U1106" t="inlineStr">
        <is>
          <t>3,45</t>
        </is>
      </c>
      <c r="V1106" t="n">
        <v>6</v>
      </c>
      <c r="W1106" t="n">
        <v>0</v>
      </c>
      <c r="X1106">
        <f>IFERROR(U1106*V1106*(1-W1106/100),"")</f>
        <v/>
      </c>
      <c r="Y1106">
        <f>IFERROR(ROUND(X1106*0.13,2),"")</f>
        <v/>
      </c>
      <c r="Z1106">
        <f>IFERROR(X1106+Y1106,"")</f>
        <v/>
      </c>
      <c r="AA1106" t="inlineStr">
        <is>
          <t>Bitcoin</t>
        </is>
      </c>
      <c r="AB1106" t="inlineStr">
        <is>
          <t>entregar en bodega</t>
        </is>
      </c>
    </row>
    <row r="1107">
      <c r="A1107" t="inlineStr">
        <is>
          <t>F-11316</t>
        </is>
      </c>
      <c r="B1107" t="inlineStr">
        <is>
          <t>05/09/2026</t>
        </is>
      </c>
      <c r="C1107" t="inlineStr">
        <is>
          <t>Factura</t>
        </is>
      </c>
      <c r="D1107" t="inlineStr">
        <is>
          <t>SS02</t>
        </is>
      </c>
      <c r="E1107" t="inlineStr">
        <is>
          <t>Escalon</t>
        </is>
      </c>
      <c r="F1107" t="inlineStr">
        <is>
          <t>Paseo General Escalón #3910</t>
        </is>
      </c>
      <c r="G1107" t="inlineStr">
        <is>
          <t>San Salvador</t>
        </is>
      </c>
      <c r="H1107" t="inlineStr">
        <is>
          <t>San Salvador</t>
        </is>
      </c>
      <c r="I1107" t="inlineStr">
        <is>
          <t>Claudia Menjívar</t>
        </is>
      </c>
      <c r="J1107" t="inlineStr">
        <is>
          <t>2264-1190</t>
        </is>
      </c>
      <c r="K1107" t="inlineStr">
        <is>
          <t>Kevin Benítez</t>
        </is>
      </c>
      <c r="L1107" t="inlineStr">
        <is>
          <t>René Flores García</t>
        </is>
      </c>
      <c r="M1107" t="inlineStr">
        <is>
          <t>08499785-5</t>
        </is>
      </c>
      <c r="N1107" t="inlineStr">
        <is>
          <t>6702-2047</t>
        </is>
      </c>
      <c r="O1107" t="inlineStr">
        <is>
          <t>Consumidor final</t>
        </is>
      </c>
      <c r="P1107" t="inlineStr">
        <is>
          <t>BEB-001</t>
        </is>
      </c>
      <c r="Q1107" t="inlineStr">
        <is>
          <t>Gaseosa 2.5L</t>
        </is>
      </c>
      <c r="R1107" t="inlineStr">
        <is>
          <t>Bebidas</t>
        </is>
      </c>
      <c r="S1107" t="inlineStr">
        <is>
          <t>Bebidas Izalco</t>
        </is>
      </c>
      <c r="T1107" t="inlineStr">
        <is>
          <t>2450-7700</t>
        </is>
      </c>
      <c r="U1107" t="n">
        <v>1.95</v>
      </c>
      <c r="V1107" t="n">
        <v>4</v>
      </c>
      <c r="W1107" t="n">
        <v>0</v>
      </c>
      <c r="X1107">
        <f>IFERROR(U1107*V1107*(1-W1107/100),"")</f>
        <v/>
      </c>
      <c r="Y1107">
        <f>IFERROR(ROUND(X1107*0.13,2),"")</f>
        <v/>
      </c>
      <c r="Z1107">
        <f>IFERROR(X1107+Y1107,"")</f>
        <v/>
      </c>
      <c r="AA1107" t="inlineStr">
        <is>
          <t>Bitcoin</t>
        </is>
      </c>
      <c r="AB1107" t="inlineStr"/>
    </row>
    <row r="1108">
      <c r="A1108" t="inlineStr">
        <is>
          <t>F-11318</t>
        </is>
      </c>
      <c r="B1108" t="inlineStr">
        <is>
          <t>17/09/2026</t>
        </is>
      </c>
      <c r="C1108" t="inlineStr">
        <is>
          <t>Factura</t>
        </is>
      </c>
      <c r="D1108" t="inlineStr">
        <is>
          <t>SS02</t>
        </is>
      </c>
      <c r="E1108" t="inlineStr">
        <is>
          <t>Escalon</t>
        </is>
      </c>
      <c r="F1108" t="inlineStr">
        <is>
          <t>Paseo General Escalón #3910</t>
        </is>
      </c>
      <c r="G1108" t="inlineStr">
        <is>
          <t>San Salvador</t>
        </is>
      </c>
      <c r="H1108" t="inlineStr">
        <is>
          <t>San Salvador</t>
        </is>
      </c>
      <c r="I1108" t="inlineStr">
        <is>
          <t>Claudia Menjívar</t>
        </is>
      </c>
      <c r="J1108" t="inlineStr">
        <is>
          <t>2264-1190</t>
        </is>
      </c>
      <c r="K1108" t="inlineStr">
        <is>
          <t>Fátima Rosales</t>
        </is>
      </c>
      <c r="L1108" t="inlineStr">
        <is>
          <t>José Sorto López</t>
        </is>
      </c>
      <c r="M1108" t="inlineStr">
        <is>
          <t>04721627-5</t>
        </is>
      </c>
      <c r="N1108" t="inlineStr">
        <is>
          <t>6844-3004</t>
        </is>
      </c>
      <c r="O1108" t="inlineStr">
        <is>
          <t>Consumidor final</t>
        </is>
      </c>
      <c r="P1108" t="inlineStr">
        <is>
          <t>HIG-001</t>
        </is>
      </c>
      <c r="Q1108" t="inlineStr">
        <is>
          <t>Detergente 1kg</t>
        </is>
      </c>
      <c r="R1108" t="inlineStr">
        <is>
          <t>Higiene</t>
        </is>
      </c>
      <c r="S1108" t="inlineStr">
        <is>
          <t>Higiene Total C.A.</t>
        </is>
      </c>
      <c r="T1108" t="inlineStr">
        <is>
          <t>2207-5566</t>
        </is>
      </c>
      <c r="U1108" t="n">
        <v>3.45</v>
      </c>
      <c r="V1108" t="n">
        <v>6</v>
      </c>
      <c r="W1108" t="n">
        <v>0</v>
      </c>
      <c r="X1108">
        <f>IFERROR(U1108*V1108*(1-W1108/100),"")</f>
        <v/>
      </c>
      <c r="Y1108">
        <f>IFERROR(ROUND(X1108*0.13,2),"")</f>
        <v/>
      </c>
      <c r="Z1108">
        <f>IFERROR(X1108+Y1108,"")</f>
        <v/>
      </c>
      <c r="AA1108" t="inlineStr">
        <is>
          <t>Efectivo</t>
        </is>
      </c>
      <c r="AB1108" t="inlineStr"/>
    </row>
    <row r="1109">
      <c r="A1109" t="inlineStr">
        <is>
          <t>F-11321</t>
        </is>
      </c>
      <c r="B1109" t="inlineStr">
        <is>
          <t>26-Sep-26</t>
        </is>
      </c>
      <c r="C1109" t="inlineStr">
        <is>
          <t>Factura</t>
        </is>
      </c>
      <c r="D1109" t="inlineStr">
        <is>
          <t>US01</t>
        </is>
      </c>
      <c r="E1109" t="inlineStr">
        <is>
          <t>Usulutan</t>
        </is>
      </c>
      <c r="F1109" t="inlineStr">
        <is>
          <t>2a Av. Norte #9</t>
        </is>
      </c>
      <c r="G1109" t="inlineStr">
        <is>
          <t>Usulután</t>
        </is>
      </c>
      <c r="H1109" t="inlineStr">
        <is>
          <t>Usulután</t>
        </is>
      </c>
      <c r="I1109" t="inlineStr">
        <is>
          <t>Nelson Fuentes</t>
        </is>
      </c>
      <c r="J1109" t="inlineStr">
        <is>
          <t>2662-8810</t>
        </is>
      </c>
      <c r="K1109" t="inlineStr">
        <is>
          <t>Miguel Bonilla</t>
        </is>
      </c>
      <c r="L1109" t="inlineStr">
        <is>
          <t>Sandra Guevara Lemus</t>
        </is>
      </c>
      <c r="M1109" t="inlineStr">
        <is>
          <t>08577633-7</t>
        </is>
      </c>
      <c r="N1109" t="inlineStr">
        <is>
          <t>6671-1550</t>
        </is>
      </c>
      <c r="O1109" t="inlineStr">
        <is>
          <t>Consumidor final</t>
        </is>
      </c>
      <c r="P1109" t="inlineStr">
        <is>
          <t>PAN-002</t>
        </is>
      </c>
      <c r="Q1109" t="inlineStr">
        <is>
          <t>Semita alta</t>
        </is>
      </c>
      <c r="R1109" t="inlineStr">
        <is>
          <t>Panadería</t>
        </is>
      </c>
      <c r="S1109" t="inlineStr">
        <is>
          <t>Panificadora Ilopango</t>
        </is>
      </c>
      <c r="T1109" t="inlineStr">
        <is>
          <t>2295-0081</t>
        </is>
      </c>
      <c r="U1109" t="n">
        <v>1.75</v>
      </c>
      <c r="V1109" t="n">
        <v>2</v>
      </c>
      <c r="W1109" t="n">
        <v>0</v>
      </c>
      <c r="X1109">
        <f>IFERROR(U1109*V1109*(1-W1109/100),"")</f>
        <v/>
      </c>
      <c r="Y1109">
        <f>IFERROR(ROUND(X1109*0.13,2),"")</f>
        <v/>
      </c>
      <c r="Z1109">
        <f>IFERROR(X1109+Y1109,"")</f>
        <v/>
      </c>
      <c r="AA1109" t="inlineStr">
        <is>
          <t>Tarjeta</t>
        </is>
      </c>
      <c r="AB1109" t="inlineStr">
        <is>
          <t>Llamar al 7788-1234 antes de entregar</t>
        </is>
      </c>
    </row>
    <row r="1110">
      <c r="A1110" t="inlineStr">
        <is>
          <t>F-11321</t>
        </is>
      </c>
      <c r="B1110" s="3" t="n">
        <v>46291</v>
      </c>
      <c r="C1110" t="inlineStr">
        <is>
          <t>Factura</t>
        </is>
      </c>
      <c r="D1110" t="inlineStr">
        <is>
          <t>US01</t>
        </is>
      </c>
      <c r="E1110" t="inlineStr">
        <is>
          <t>Usulutan</t>
        </is>
      </c>
      <c r="F1110" t="inlineStr">
        <is>
          <t>2a Av. Norte #9</t>
        </is>
      </c>
      <c r="G1110" t="inlineStr">
        <is>
          <t>Usulután</t>
        </is>
      </c>
      <c r="H1110" t="inlineStr">
        <is>
          <t>Usulután</t>
        </is>
      </c>
      <c r="I1110" t="inlineStr">
        <is>
          <t>Nelson Fuentes</t>
        </is>
      </c>
      <c r="J1110" t="inlineStr">
        <is>
          <t>2662-8810</t>
        </is>
      </c>
      <c r="K1110" t="inlineStr">
        <is>
          <t>Miguel Bonilla</t>
        </is>
      </c>
      <c r="L1110" t="inlineStr">
        <is>
          <t>Sandra Guevara Lemus</t>
        </is>
      </c>
      <c r="M1110" t="inlineStr">
        <is>
          <t>08577633-7</t>
        </is>
      </c>
      <c r="N1110" t="inlineStr">
        <is>
          <t>6671-1550</t>
        </is>
      </c>
      <c r="O1110" t="inlineStr">
        <is>
          <t>Consumidor final</t>
        </is>
      </c>
      <c r="P1110" t="inlineStr">
        <is>
          <t>ARR-001</t>
        </is>
      </c>
      <c r="Q1110" t="inlineStr">
        <is>
          <t>Arroz blanco 5lb</t>
        </is>
      </c>
      <c r="R1110" t="inlineStr">
        <is>
          <t>Granos básicos</t>
        </is>
      </c>
      <c r="S1110" t="inlineStr">
        <is>
          <t>Granos del Pacífico</t>
        </is>
      </c>
      <c r="T1110" t="inlineStr">
        <is>
          <t>2234-8890</t>
        </is>
      </c>
      <c r="U1110" t="n">
        <v>3.95</v>
      </c>
      <c r="V1110" t="n">
        <v>24</v>
      </c>
      <c r="W1110" t="n">
        <v>0</v>
      </c>
      <c r="X1110">
        <f>IFERROR(U1110*V1110*(1-W1110/100),"")</f>
        <v/>
      </c>
      <c r="Y1110">
        <f>IFERROR(ROUND(X1110*0.13,2),"")</f>
        <v/>
      </c>
      <c r="Z1110">
        <f>IFERROR(X1110+Y1110,"")</f>
        <v/>
      </c>
      <c r="AA1110" t="inlineStr">
        <is>
          <t>Tarjeta</t>
        </is>
      </c>
      <c r="AB1110" t="inlineStr">
        <is>
          <t>Llamar al 7788-1234 antes de entregar</t>
        </is>
      </c>
    </row>
    <row r="1111">
      <c r="A1111" t="inlineStr">
        <is>
          <t>F-11321</t>
        </is>
      </c>
      <c r="B1111" s="3" t="n">
        <v>46291</v>
      </c>
      <c r="C1111" t="inlineStr">
        <is>
          <t>Factura</t>
        </is>
      </c>
      <c r="D1111" t="inlineStr">
        <is>
          <t>US01</t>
        </is>
      </c>
      <c r="E1111" t="inlineStr">
        <is>
          <t>Usulutan</t>
        </is>
      </c>
      <c r="F1111" t="inlineStr">
        <is>
          <t>2a Av. Norte #9</t>
        </is>
      </c>
      <c r="G1111" t="inlineStr">
        <is>
          <t>Usulután</t>
        </is>
      </c>
      <c r="H1111" t="inlineStr">
        <is>
          <t>Usulután</t>
        </is>
      </c>
      <c r="I1111" t="inlineStr">
        <is>
          <t>Nelson Fuentes</t>
        </is>
      </c>
      <c r="J1111" t="inlineStr">
        <is>
          <t>2662-8810</t>
        </is>
      </c>
      <c r="K1111" t="inlineStr">
        <is>
          <t>Miguel Bonilla</t>
        </is>
      </c>
      <c r="L1111" t="inlineStr">
        <is>
          <t>Sandra Guevara Lemus</t>
        </is>
      </c>
      <c r="M1111" t="inlineStr">
        <is>
          <t>08577633-7</t>
        </is>
      </c>
      <c r="N1111" t="inlineStr">
        <is>
          <t>6671-1550</t>
        </is>
      </c>
      <c r="O1111" t="inlineStr">
        <is>
          <t>Consumidor final</t>
        </is>
      </c>
      <c r="P1111" t="inlineStr">
        <is>
          <t>PAN-003</t>
        </is>
      </c>
      <c r="Q1111" t="inlineStr">
        <is>
          <t>Quesadilla salvadoreña</t>
        </is>
      </c>
      <c r="R1111" t="inlineStr">
        <is>
          <t>Panadería</t>
        </is>
      </c>
      <c r="S1111" t="inlineStr">
        <is>
          <t>Panificadora Ilopango</t>
        </is>
      </c>
      <c r="T1111" t="inlineStr">
        <is>
          <t>2295-0081</t>
        </is>
      </c>
      <c r="U1111" t="inlineStr">
        <is>
          <t>$2.50</t>
        </is>
      </c>
      <c r="V1111" t="n">
        <v>1</v>
      </c>
      <c r="W1111" t="n">
        <v>0</v>
      </c>
      <c r="X1111">
        <f>IFERROR(U1111*V1111*(1-W1111/100),"")</f>
        <v/>
      </c>
      <c r="Y1111">
        <f>IFERROR(ROUND(X1111*0.13,2),"")</f>
        <v/>
      </c>
      <c r="Z1111">
        <f>IFERROR(X1111+Y1111,"")</f>
        <v/>
      </c>
      <c r="AA1111" t="inlineStr">
        <is>
          <t>Tarjeta</t>
        </is>
      </c>
      <c r="AB1111" t="inlineStr">
        <is>
          <t>pagó con billete de $100</t>
        </is>
      </c>
    </row>
    <row r="1112">
      <c r="A1112" t="inlineStr">
        <is>
          <t>F-11321</t>
        </is>
      </c>
      <c r="B1112" s="3" t="n">
        <v>46291</v>
      </c>
      <c r="C1112" t="inlineStr">
        <is>
          <t>Factura</t>
        </is>
      </c>
      <c r="D1112" t="inlineStr">
        <is>
          <t>US01</t>
        </is>
      </c>
      <c r="E1112" t="inlineStr">
        <is>
          <t>Usulután</t>
        </is>
      </c>
      <c r="F1112" t="inlineStr">
        <is>
          <t>2a Av. Norte #9</t>
        </is>
      </c>
      <c r="G1112" t="inlineStr">
        <is>
          <t>Usulután</t>
        </is>
      </c>
      <c r="H1112" t="inlineStr">
        <is>
          <t>Usulután</t>
        </is>
      </c>
      <c r="I1112" t="inlineStr">
        <is>
          <t>Nelson Fuentes</t>
        </is>
      </c>
      <c r="J1112" t="inlineStr">
        <is>
          <t>2662-8810</t>
        </is>
      </c>
      <c r="K1112" t="inlineStr">
        <is>
          <t>Miguel Bonilla</t>
        </is>
      </c>
      <c r="L1112" t="inlineStr">
        <is>
          <t>Sandra Guevara Lemus</t>
        </is>
      </c>
      <c r="M1112" t="inlineStr">
        <is>
          <t>08577633-7</t>
        </is>
      </c>
      <c r="N1112" t="inlineStr">
        <is>
          <t>6671-1550</t>
        </is>
      </c>
      <c r="O1112" t="inlineStr">
        <is>
          <t>Consumidor final</t>
        </is>
      </c>
      <c r="P1112" t="inlineStr">
        <is>
          <t>HAR-001</t>
        </is>
      </c>
      <c r="Q1112" t="inlineStr">
        <is>
          <t>Harina de maíz 2lb</t>
        </is>
      </c>
      <c r="R1112" t="inlineStr">
        <is>
          <t>Abarrotes</t>
        </is>
      </c>
      <c r="S1112" t="inlineStr">
        <is>
          <t>Granos del Pacífico</t>
        </is>
      </c>
      <c r="T1112" t="inlineStr">
        <is>
          <t>2234-8890</t>
        </is>
      </c>
      <c r="U1112" t="inlineStr">
        <is>
          <t>1,35</t>
        </is>
      </c>
      <c r="V1112" t="n">
        <v>2</v>
      </c>
      <c r="W1112" t="n">
        <v>0</v>
      </c>
      <c r="X1112">
        <f>IFERROR(U1112*V1112*(1-W1112/100),"")</f>
        <v/>
      </c>
      <c r="Y1112">
        <f>IFERROR(ROUND(X1112*0.13,2),"")</f>
        <v/>
      </c>
      <c r="Z1112">
        <f>IFERROR(X1112+Y1112,"")</f>
        <v/>
      </c>
      <c r="AA1112" t="inlineStr">
        <is>
          <t>Tarjeta</t>
        </is>
      </c>
      <c r="AB1112" t="inlineStr">
        <is>
          <t>entregar en bodega</t>
        </is>
      </c>
    </row>
    <row r="1113">
      <c r="A1113" t="inlineStr">
        <is>
          <t>F-11324</t>
        </is>
      </c>
      <c r="B1113" t="inlineStr">
        <is>
          <t>16/08/2026</t>
        </is>
      </c>
      <c r="C1113" t="inlineStr">
        <is>
          <t>Factura</t>
        </is>
      </c>
      <c r="D1113" t="inlineStr">
        <is>
          <t>SA01</t>
        </is>
      </c>
      <c r="E1113" t="inlineStr">
        <is>
          <t>Santa  Ana</t>
        </is>
      </c>
      <c r="F1113" t="inlineStr">
        <is>
          <t>Av. Independencia Sur #12</t>
        </is>
      </c>
      <c r="G1113" t="inlineStr">
        <is>
          <t>Santa Ana</t>
        </is>
      </c>
      <c r="H1113" t="inlineStr">
        <is>
          <t>Santa Ana</t>
        </is>
      </c>
      <c r="I1113" t="inlineStr">
        <is>
          <t>Mauricio Linares</t>
        </is>
      </c>
      <c r="J1113" t="inlineStr">
        <is>
          <t>2440-9921</t>
        </is>
      </c>
      <c r="K1113" t="inlineStr">
        <is>
          <t>Diego Zelaya</t>
        </is>
      </c>
      <c r="L1113" t="inlineStr">
        <is>
          <t>Rosa Romero López</t>
        </is>
      </c>
      <c r="M1113" t="inlineStr">
        <is>
          <t>06188185-5</t>
        </is>
      </c>
      <c r="N1113" t="inlineStr">
        <is>
          <t>6532-2485</t>
        </is>
      </c>
      <c r="O1113" t="inlineStr">
        <is>
          <t>Consumidor final</t>
        </is>
      </c>
      <c r="P1113" t="inlineStr">
        <is>
          <t>AZU-001</t>
        </is>
      </c>
      <c r="Q1113" t="inlineStr">
        <is>
          <t>Azúcar blanca 2.5kg</t>
        </is>
      </c>
      <c r="R1113" t="inlineStr">
        <is>
          <t>Abarrotes</t>
        </is>
      </c>
      <c r="S1113" t="inlineStr">
        <is>
          <t>Granos del Pacífico</t>
        </is>
      </c>
      <c r="T1113" t="inlineStr">
        <is>
          <t>2234-8890</t>
        </is>
      </c>
      <c r="U1113" t="n">
        <v>3.1</v>
      </c>
      <c r="V1113" t="n">
        <v>1</v>
      </c>
      <c r="W1113" t="n">
        <v>0</v>
      </c>
      <c r="X1113">
        <f>IFERROR(U1113*V1113*(1-W1113/100),"")</f>
        <v/>
      </c>
      <c r="Y1113">
        <f>IFERROR(ROUND(X1113*0.13,2),"")</f>
        <v/>
      </c>
      <c r="Z1113">
        <f>IFERROR(X1113+Y1113,"")</f>
        <v/>
      </c>
      <c r="AA1113" t="inlineStr">
        <is>
          <t>efectivo</t>
        </is>
      </c>
      <c r="AB1113" t="inlineStr">
        <is>
          <t>precio especial autorizado por gerente</t>
        </is>
      </c>
    </row>
    <row r="1114">
      <c r="A1114" t="inlineStr">
        <is>
          <t>F-11324</t>
        </is>
      </c>
      <c r="B1114" s="3" t="n">
        <v>46250</v>
      </c>
      <c r="C1114" t="inlineStr">
        <is>
          <t>Factura</t>
        </is>
      </c>
      <c r="D1114" t="inlineStr">
        <is>
          <t>SA01</t>
        </is>
      </c>
      <c r="E1114" t="inlineStr">
        <is>
          <t>Santa Ana</t>
        </is>
      </c>
      <c r="F1114" t="inlineStr">
        <is>
          <t>Av. Independencia Sur #12</t>
        </is>
      </c>
      <c r="G1114" t="inlineStr">
        <is>
          <t>Santa Ana</t>
        </is>
      </c>
      <c r="H1114" t="inlineStr">
        <is>
          <t>Santa Ana</t>
        </is>
      </c>
      <c r="I1114" t="inlineStr">
        <is>
          <t>Mauricio Linares</t>
        </is>
      </c>
      <c r="J1114" t="inlineStr">
        <is>
          <t>2440-9921</t>
        </is>
      </c>
      <c r="K1114" t="inlineStr">
        <is>
          <t>Diego Zelaya</t>
        </is>
      </c>
      <c r="L1114" t="inlineStr">
        <is>
          <t>Rosa Romero López</t>
        </is>
      </c>
      <c r="M1114" t="inlineStr">
        <is>
          <t>06188185-5</t>
        </is>
      </c>
      <c r="N1114" t="inlineStr">
        <is>
          <t>6532-2485</t>
        </is>
      </c>
      <c r="O1114" t="inlineStr">
        <is>
          <t>Consumidor final</t>
        </is>
      </c>
      <c r="P1114" t="inlineStr">
        <is>
          <t>HIG-003</t>
        </is>
      </c>
      <c r="Q1114" t="inlineStr">
        <is>
          <t>Jabón de lavar barra</t>
        </is>
      </c>
      <c r="R1114" t="inlineStr">
        <is>
          <t>Limpieza</t>
        </is>
      </c>
      <c r="S1114" t="inlineStr">
        <is>
          <t>Higiene Total C.A.</t>
        </is>
      </c>
      <c r="T1114" t="inlineStr">
        <is>
          <t>2207-5566</t>
        </is>
      </c>
      <c r="U1114" t="n">
        <v>0.75</v>
      </c>
      <c r="V1114" t="n">
        <v>1</v>
      </c>
      <c r="W1114" t="n">
        <v>0</v>
      </c>
      <c r="X1114">
        <f>IFERROR(U1114*V1114*(1-W1114/100),"")</f>
        <v/>
      </c>
      <c r="Y1114">
        <f>IFERROR(ROUND(X1114*0.13,2),"")</f>
        <v/>
      </c>
      <c r="Z1114">
        <f>IFERROR(X1114+Y1114,"")</f>
        <v/>
      </c>
      <c r="AA1114" t="inlineStr">
        <is>
          <t>efectivo</t>
        </is>
      </c>
      <c r="AB1114" t="inlineStr"/>
    </row>
    <row r="1115">
      <c r="A1115" t="inlineStr">
        <is>
          <t>F-11324</t>
        </is>
      </c>
      <c r="B1115" s="3" t="n">
        <v>46250</v>
      </c>
      <c r="C1115" t="inlineStr">
        <is>
          <t>Factura</t>
        </is>
      </c>
      <c r="D1115" t="inlineStr">
        <is>
          <t>SA01</t>
        </is>
      </c>
      <c r="E1115" t="inlineStr">
        <is>
          <t>STA ANA</t>
        </is>
      </c>
      <c r="F1115" t="inlineStr">
        <is>
          <t>Av. Independencia Sur #12</t>
        </is>
      </c>
      <c r="G1115" t="inlineStr">
        <is>
          <t>Santa Ana</t>
        </is>
      </c>
      <c r="H1115" t="inlineStr">
        <is>
          <t>Santa Ana</t>
        </is>
      </c>
      <c r="I1115" t="inlineStr">
        <is>
          <t>Mauricio Linares</t>
        </is>
      </c>
      <c r="J1115" t="inlineStr">
        <is>
          <t>2440-9921</t>
        </is>
      </c>
      <c r="K1115" t="inlineStr">
        <is>
          <t>Diego Zelaya</t>
        </is>
      </c>
      <c r="L1115" t="inlineStr">
        <is>
          <t>Rosa Romero López</t>
        </is>
      </c>
      <c r="M1115" t="inlineStr">
        <is>
          <t>06188185-5</t>
        </is>
      </c>
      <c r="N1115" t="inlineStr">
        <is>
          <t>6532-2485</t>
        </is>
      </c>
      <c r="O1115" t="inlineStr">
        <is>
          <t>Consumidor final</t>
        </is>
      </c>
      <c r="P1115" t="inlineStr">
        <is>
          <t>CAF-002</t>
        </is>
      </c>
      <c r="Q1115" t="inlineStr">
        <is>
          <t>Café en grano 1lb</t>
        </is>
      </c>
      <c r="R1115" t="inlineStr">
        <is>
          <t>Abarrotes</t>
        </is>
      </c>
      <c r="S1115" t="inlineStr">
        <is>
          <t>Café Volcán S.A.</t>
        </is>
      </c>
      <c r="T1115" t="inlineStr">
        <is>
          <t>2510-3344</t>
        </is>
      </c>
      <c r="U1115" t="inlineStr">
        <is>
          <t>6,75</t>
        </is>
      </c>
      <c r="V1115" t="n">
        <v>4</v>
      </c>
      <c r="W1115" t="n">
        <v>0</v>
      </c>
      <c r="X1115">
        <f>IFERROR(U1115*V1115*(1-W1115/100),"")</f>
        <v/>
      </c>
      <c r="Y1115">
        <f>IFERROR(ROUND(X1115*0.13,2),"")</f>
        <v/>
      </c>
      <c r="Z1115">
        <f>IFERROR(X1115+Y1115,"")</f>
        <v/>
      </c>
      <c r="AA1115" t="inlineStr">
        <is>
          <t>efectivo</t>
        </is>
      </c>
      <c r="AB1115" t="inlineStr">
        <is>
          <t>Llamar al 7788-1234 antes de entregar</t>
        </is>
      </c>
    </row>
    <row r="1116">
      <c r="A1116" t="inlineStr">
        <is>
          <t>F-11326</t>
        </is>
      </c>
      <c r="B1116" s="3" t="n">
        <v>46208</v>
      </c>
      <c r="C1116" t="inlineStr">
        <is>
          <t>Factura</t>
        </is>
      </c>
      <c r="D1116" t="inlineStr">
        <is>
          <t>SS01</t>
        </is>
      </c>
      <c r="E1116" t="inlineStr">
        <is>
          <t>SAN SALVADOR CENTRO</t>
        </is>
      </c>
      <c r="F1116" t="inlineStr">
        <is>
          <t>4a Calle Poniente #215</t>
        </is>
      </c>
      <c r="G1116" t="inlineStr">
        <is>
          <t>San Salvador</t>
        </is>
      </c>
      <c r="H1116" t="inlineStr">
        <is>
          <t>San Salvador</t>
        </is>
      </c>
      <c r="I1116" t="inlineStr">
        <is>
          <t>Roberto Alfaro</t>
        </is>
      </c>
      <c r="J1116" t="inlineStr">
        <is>
          <t>2221-4580</t>
        </is>
      </c>
      <c r="K1116" t="inlineStr">
        <is>
          <t>Daniela Orellana</t>
        </is>
      </c>
      <c r="L1116" t="inlineStr">
        <is>
          <t>Brenda Castillo Sorto</t>
        </is>
      </c>
      <c r="M1116" t="inlineStr">
        <is>
          <t>09144591-2</t>
        </is>
      </c>
      <c r="N1116" t="inlineStr">
        <is>
          <t>2460-3568</t>
        </is>
      </c>
      <c r="O1116" t="inlineStr">
        <is>
          <t>Consumidor final</t>
        </is>
      </c>
      <c r="P1116" t="inlineStr">
        <is>
          <t>BEB-001</t>
        </is>
      </c>
      <c r="Q1116" t="inlineStr">
        <is>
          <t>Gaseosa 2.5L</t>
        </is>
      </c>
      <c r="R1116" t="inlineStr">
        <is>
          <t>bebidas</t>
        </is>
      </c>
      <c r="S1116" t="inlineStr">
        <is>
          <t>Bebidas Izalco</t>
        </is>
      </c>
      <c r="T1116" t="inlineStr">
        <is>
          <t>2450-7700</t>
        </is>
      </c>
      <c r="U1116" t="inlineStr">
        <is>
          <t>1,95</t>
        </is>
      </c>
      <c r="V1116" t="n">
        <v>6</v>
      </c>
      <c r="W1116" t="n">
        <v>0</v>
      </c>
      <c r="X1116">
        <f>IFERROR(U1116*V1116*(1-W1116/100),"")</f>
        <v/>
      </c>
      <c r="Y1116">
        <f>IFERROR(ROUND(X1116*0.13,2),"")</f>
        <v/>
      </c>
      <c r="Z1116">
        <f>IFERROR(X1116+Y1116,"")</f>
        <v/>
      </c>
      <c r="AA1116" t="inlineStr">
        <is>
          <t>Efectivo</t>
        </is>
      </c>
      <c r="AB1116" t="inlineStr"/>
    </row>
    <row r="1117">
      <c r="A1117" t="inlineStr">
        <is>
          <t>F-11329</t>
        </is>
      </c>
      <c r="B1117" s="3" t="n">
        <v>46278</v>
      </c>
      <c r="C1117" t="inlineStr">
        <is>
          <t>Factura</t>
        </is>
      </c>
      <c r="D1117" t="inlineStr">
        <is>
          <t>LL01</t>
        </is>
      </c>
      <c r="E1117" t="inlineStr">
        <is>
          <t>Sta. Tecla</t>
        </is>
      </c>
      <c r="F1117" t="inlineStr">
        <is>
          <t>Calle Daniel Hernández #18</t>
        </is>
      </c>
      <c r="G1117" t="inlineStr">
        <is>
          <t>Santa Tecla</t>
        </is>
      </c>
      <c r="H1117" t="inlineStr">
        <is>
          <t>La Libertad</t>
        </is>
      </c>
      <c r="I1117" t="inlineStr">
        <is>
          <t>Óscar Rivas</t>
        </is>
      </c>
      <c r="J1117" t="inlineStr">
        <is>
          <t>2228-7731</t>
        </is>
      </c>
      <c r="K1117" t="inlineStr">
        <is>
          <t>Andrea Pineda</t>
        </is>
      </c>
      <c r="L1117" t="inlineStr">
        <is>
          <t>José Sorto López</t>
        </is>
      </c>
      <c r="M1117" t="inlineStr">
        <is>
          <t>04721627-5</t>
        </is>
      </c>
      <c r="N1117" t="inlineStr">
        <is>
          <t>6844-3004</t>
        </is>
      </c>
      <c r="O1117" t="inlineStr">
        <is>
          <t>Consumidor final</t>
        </is>
      </c>
      <c r="P1117" t="inlineStr">
        <is>
          <t>CAF-001</t>
        </is>
      </c>
      <c r="Q1117" t="inlineStr">
        <is>
          <t>Café molido 400g</t>
        </is>
      </c>
      <c r="R1117" t="inlineStr">
        <is>
          <t>ABARROTES</t>
        </is>
      </c>
      <c r="S1117" t="inlineStr">
        <is>
          <t>Café Volcán S.A.</t>
        </is>
      </c>
      <c r="T1117" t="inlineStr">
        <is>
          <t>2510-3344</t>
        </is>
      </c>
      <c r="U1117" t="n">
        <v>4.25</v>
      </c>
      <c r="V1117" t="n">
        <v>1</v>
      </c>
      <c r="W1117" t="n">
        <v>0</v>
      </c>
      <c r="X1117">
        <f>IFERROR(U1117*V1117*(1-W1117/100),"")</f>
        <v/>
      </c>
      <c r="Y1117">
        <f>IFERROR(ROUND(X1117*0.13,2),"")</f>
        <v/>
      </c>
      <c r="Z1117">
        <f>IFERROR(X1117+Y1117,"")</f>
        <v/>
      </c>
      <c r="AA1117" t="inlineStr">
        <is>
          <t>Efectivo</t>
        </is>
      </c>
      <c r="AB1117" t="inlineStr">
        <is>
          <t>Cliente frecuente</t>
        </is>
      </c>
    </row>
    <row r="1118">
      <c r="A1118" t="inlineStr">
        <is>
          <t>F-11329</t>
        </is>
      </c>
      <c r="B1118" t="inlineStr">
        <is>
          <t>2026-09-13</t>
        </is>
      </c>
      <c r="C1118" t="inlineStr">
        <is>
          <t>Factura</t>
        </is>
      </c>
      <c r="D1118" t="inlineStr">
        <is>
          <t>LL01</t>
        </is>
      </c>
      <c r="E1118" t="inlineStr">
        <is>
          <t>Santa Tecla</t>
        </is>
      </c>
      <c r="F1118" t="inlineStr">
        <is>
          <t>Calle Daniel Hernández #18</t>
        </is>
      </c>
      <c r="G1118" t="inlineStr">
        <is>
          <t>Santa Tecla</t>
        </is>
      </c>
      <c r="H1118" t="inlineStr">
        <is>
          <t>La Libertad</t>
        </is>
      </c>
      <c r="I1118" t="inlineStr">
        <is>
          <t>Óscar Rivas</t>
        </is>
      </c>
      <c r="J1118" t="inlineStr">
        <is>
          <t>2228-7731</t>
        </is>
      </c>
      <c r="K1118" t="inlineStr">
        <is>
          <t>Andrea Pineda</t>
        </is>
      </c>
      <c r="L1118" t="inlineStr">
        <is>
          <t>José Sorto López</t>
        </is>
      </c>
      <c r="M1118" t="inlineStr">
        <is>
          <t>04721627-5</t>
        </is>
      </c>
      <c r="N1118" t="inlineStr">
        <is>
          <t>6844-3004</t>
        </is>
      </c>
      <c r="O1118" t="inlineStr">
        <is>
          <t>Consumidor final</t>
        </is>
      </c>
      <c r="P1118" t="inlineStr">
        <is>
          <t>LAC-001</t>
        </is>
      </c>
      <c r="Q1118" t="inlineStr">
        <is>
          <t>Quesillo 1lb</t>
        </is>
      </c>
      <c r="R1118" t="inlineStr">
        <is>
          <t>Lácteos</t>
        </is>
      </c>
      <c r="S1118" t="inlineStr">
        <is>
          <t>Lácteos Chalate</t>
        </is>
      </c>
      <c r="T1118" t="inlineStr">
        <is>
          <t>2335-1020</t>
        </is>
      </c>
      <c r="U1118" t="inlineStr">
        <is>
          <t>$3.80</t>
        </is>
      </c>
      <c r="V1118" t="n">
        <v>1</v>
      </c>
      <c r="W1118" t="n">
        <v>0</v>
      </c>
      <c r="X1118">
        <f>IFERROR(U1118*V1118*(1-W1118/100),"")</f>
        <v/>
      </c>
      <c r="Y1118">
        <f>IFERROR(ROUND(X1118*0.13,2),"")</f>
        <v/>
      </c>
      <c r="Z1118">
        <f>IFERROR(X1118+Y1118,"")</f>
        <v/>
      </c>
      <c r="AA1118" t="inlineStr">
        <is>
          <t>Efectivo</t>
        </is>
      </c>
      <c r="AB1118" t="inlineStr">
        <is>
          <t>precio especial autorizado por gerente</t>
        </is>
      </c>
    </row>
    <row r="1119">
      <c r="A1119" t="inlineStr">
        <is>
          <t>F-11332</t>
        </is>
      </c>
      <c r="B1119" s="3" t="n">
        <v>46224</v>
      </c>
      <c r="C1119" t="inlineStr">
        <is>
          <t>Factura</t>
        </is>
      </c>
      <c r="D1119" t="inlineStr">
        <is>
          <t>LL02</t>
        </is>
      </c>
      <c r="E1119" t="inlineStr">
        <is>
          <t>Puerto de La Libertad</t>
        </is>
      </c>
      <c r="F1119" t="inlineStr">
        <is>
          <t>Calle El Malecón, Local 4</t>
        </is>
      </c>
      <c r="G1119" t="inlineStr">
        <is>
          <t>La Libertad</t>
        </is>
      </c>
      <c r="H1119" t="inlineStr">
        <is>
          <t>La Libertad</t>
        </is>
      </c>
      <c r="I1119" t="inlineStr">
        <is>
          <t>Wendy Aguilar</t>
        </is>
      </c>
      <c r="J1119" t="inlineStr">
        <is>
          <t>2335-6140</t>
        </is>
      </c>
      <c r="K1119" t="inlineStr">
        <is>
          <t>Gabriela Saravia</t>
        </is>
      </c>
      <c r="L1119" t="inlineStr">
        <is>
          <t>Brenda Pérez Martínez</t>
        </is>
      </c>
      <c r="M1119" t="inlineStr">
        <is>
          <t>09183075-6</t>
        </is>
      </c>
      <c r="N1119" t="inlineStr">
        <is>
          <t>2300-3840</t>
        </is>
      </c>
      <c r="O1119" t="inlineStr">
        <is>
          <t>Consumidor final</t>
        </is>
      </c>
      <c r="P1119" t="inlineStr">
        <is>
          <t>HIG-003</t>
        </is>
      </c>
      <c r="Q1119" t="inlineStr">
        <is>
          <t>Jabón de lavar barra</t>
        </is>
      </c>
      <c r="R1119" t="inlineStr">
        <is>
          <t>Limpieza</t>
        </is>
      </c>
      <c r="S1119" t="inlineStr">
        <is>
          <t>Higiene Total C.A.</t>
        </is>
      </c>
      <c r="T1119" t="inlineStr">
        <is>
          <t>2207-5566</t>
        </is>
      </c>
      <c r="U1119" t="n">
        <v>0.75</v>
      </c>
      <c r="V1119" t="n">
        <v>12</v>
      </c>
      <c r="W1119" t="n">
        <v>0</v>
      </c>
      <c r="X1119">
        <f>IFERROR(U1119*V1119*(1-W1119/100),"")</f>
        <v/>
      </c>
      <c r="Y1119">
        <f>IFERROR(ROUND(X1119*0.13,2),"")</f>
        <v/>
      </c>
      <c r="Z1119">
        <f>IFERROR(X1119+Y1119,"")</f>
        <v/>
      </c>
      <c r="AA1119" t="inlineStr">
        <is>
          <t>Transferencia</t>
        </is>
      </c>
      <c r="AB1119" t="inlineStr">
        <is>
          <t>pagó con billete de $100</t>
        </is>
      </c>
    </row>
    <row r="1120">
      <c r="A1120" t="inlineStr">
        <is>
          <t>F-11332</t>
        </is>
      </c>
      <c r="B1120" s="4" t="n">
        <v>46224</v>
      </c>
      <c r="C1120" t="inlineStr">
        <is>
          <t>Factura</t>
        </is>
      </c>
      <c r="D1120" t="inlineStr">
        <is>
          <t>LL02</t>
        </is>
      </c>
      <c r="E1120" t="inlineStr">
        <is>
          <t>Puerto de La Libertad</t>
        </is>
      </c>
      <c r="F1120" t="inlineStr">
        <is>
          <t>Calle El Malecón, Local 4</t>
        </is>
      </c>
      <c r="G1120" t="inlineStr">
        <is>
          <t>La Libertad</t>
        </is>
      </c>
      <c r="H1120" t="inlineStr">
        <is>
          <t>La Libertad</t>
        </is>
      </c>
      <c r="I1120" t="inlineStr">
        <is>
          <t>Wendy Aguilar</t>
        </is>
      </c>
      <c r="J1120" t="inlineStr">
        <is>
          <t>2335-6140</t>
        </is>
      </c>
      <c r="K1120" t="inlineStr">
        <is>
          <t>Gabriela Saravia</t>
        </is>
      </c>
      <c r="L1120" t="inlineStr">
        <is>
          <t>Brenda Pérez Martínez</t>
        </is>
      </c>
      <c r="M1120" t="inlineStr">
        <is>
          <t>09183075-6</t>
        </is>
      </c>
      <c r="N1120" t="inlineStr">
        <is>
          <t>2300-3840</t>
        </is>
      </c>
      <c r="O1120" t="inlineStr">
        <is>
          <t>Consumidor final</t>
        </is>
      </c>
      <c r="P1120" t="inlineStr">
        <is>
          <t>HIG-003</t>
        </is>
      </c>
      <c r="Q1120" t="inlineStr">
        <is>
          <t>Jabón de lavar barra</t>
        </is>
      </c>
      <c r="R1120" t="inlineStr">
        <is>
          <t>Limpieza</t>
        </is>
      </c>
      <c r="S1120" t="inlineStr">
        <is>
          <t>Higiene Total C.A.</t>
        </is>
      </c>
      <c r="T1120" t="inlineStr">
        <is>
          <t>2207-5566</t>
        </is>
      </c>
      <c r="U1120" t="n">
        <v>0.75</v>
      </c>
      <c r="V1120" t="n">
        <v>12</v>
      </c>
      <c r="W1120" t="n">
        <v>0</v>
      </c>
      <c r="X1120">
        <f>IFERROR(U1120*V1120*(1-W1120/100),"")</f>
        <v/>
      </c>
      <c r="Y1120">
        <f>IFERROR(ROUND(X1120*0.13,2),"")</f>
        <v/>
      </c>
      <c r="Z1120">
        <f>IFERROR(X1120+Y1120,"")</f>
        <v/>
      </c>
      <c r="AA1120" t="inlineStr">
        <is>
          <t>Transferencia</t>
        </is>
      </c>
      <c r="AB1120" t="inlineStr">
        <is>
          <t>pagó con billete de $100</t>
        </is>
      </c>
    </row>
    <row r="1121">
      <c r="A1121" t="inlineStr">
        <is>
          <t>F-11332</t>
        </is>
      </c>
      <c r="B1121" s="3" t="n">
        <v>46224</v>
      </c>
      <c r="C1121" t="inlineStr">
        <is>
          <t>Factura</t>
        </is>
      </c>
      <c r="D1121" t="inlineStr">
        <is>
          <t>LL02</t>
        </is>
      </c>
      <c r="E1121" t="inlineStr">
        <is>
          <t>Puerto de La Libertad</t>
        </is>
      </c>
      <c r="F1121" t="inlineStr">
        <is>
          <t>Calle El Malecón, Local 4</t>
        </is>
      </c>
      <c r="G1121" t="inlineStr">
        <is>
          <t>La Libertad</t>
        </is>
      </c>
      <c r="H1121" t="inlineStr">
        <is>
          <t>La Libertad</t>
        </is>
      </c>
      <c r="I1121" t="inlineStr">
        <is>
          <t>Wendy Aguilar</t>
        </is>
      </c>
      <c r="J1121" t="inlineStr">
        <is>
          <t>2335-6140</t>
        </is>
      </c>
      <c r="K1121" t="inlineStr">
        <is>
          <t>Gabriela Saravia</t>
        </is>
      </c>
      <c r="L1121" t="inlineStr">
        <is>
          <t>Brenda Pérez Martínez</t>
        </is>
      </c>
      <c r="M1121" t="inlineStr">
        <is>
          <t>09183075-6</t>
        </is>
      </c>
      <c r="N1121" t="inlineStr">
        <is>
          <t>2300-3840</t>
        </is>
      </c>
      <c r="O1121" t="inlineStr">
        <is>
          <t>Consumidor final</t>
        </is>
      </c>
      <c r="P1121" t="inlineStr">
        <is>
          <t>BEB-003</t>
        </is>
      </c>
      <c r="Q1121" t="inlineStr">
        <is>
          <t>Horchata en polvo 400g</t>
        </is>
      </c>
      <c r="R1121" t="inlineStr">
        <is>
          <t>Abarrotes</t>
        </is>
      </c>
      <c r="S1121" t="inlineStr">
        <is>
          <t>Bebidas Izalco</t>
        </is>
      </c>
      <c r="T1121" t="inlineStr">
        <is>
          <t>2450-7700</t>
        </is>
      </c>
      <c r="U1121" t="n">
        <v>2.6</v>
      </c>
      <c r="V1121" t="n">
        <v>6</v>
      </c>
      <c r="W1121" t="n">
        <v>0</v>
      </c>
      <c r="X1121">
        <f>IFERROR(U1121*V1121*(1-W1121/100),"")</f>
        <v/>
      </c>
      <c r="Y1121">
        <f>IFERROR(ROUND(X1121*0.13,2),"")</f>
        <v/>
      </c>
      <c r="Z1121">
        <f>IFERROR(X1121+Y1121,"")</f>
        <v/>
      </c>
      <c r="AA1121" t="inlineStr">
        <is>
          <t>Transferencia</t>
        </is>
      </c>
      <c r="AB1121" t="inlineStr">
        <is>
          <t>Cliente frecuente</t>
        </is>
      </c>
    </row>
    <row r="1122">
      <c r="A1122" t="inlineStr">
        <is>
          <t>F-11332</t>
        </is>
      </c>
      <c r="B1122" t="inlineStr">
        <is>
          <t>2026-07-21</t>
        </is>
      </c>
      <c r="C1122" t="inlineStr">
        <is>
          <t>Factura</t>
        </is>
      </c>
      <c r="D1122" t="inlineStr">
        <is>
          <t>LL02</t>
        </is>
      </c>
      <c r="E1122" t="inlineStr">
        <is>
          <t>La Libertad Puerto</t>
        </is>
      </c>
      <c r="F1122" t="inlineStr">
        <is>
          <t>Calle El Malecón, Local 4</t>
        </is>
      </c>
      <c r="G1122" t="inlineStr">
        <is>
          <t>La Libertad</t>
        </is>
      </c>
      <c r="H1122" t="inlineStr">
        <is>
          <t>La Libertad</t>
        </is>
      </c>
      <c r="I1122" t="inlineStr">
        <is>
          <t>Wendy Aguilar</t>
        </is>
      </c>
      <c r="J1122" t="inlineStr">
        <is>
          <t>2335-6140</t>
        </is>
      </c>
      <c r="K1122" t="inlineStr">
        <is>
          <t>Gabriela Saravia</t>
        </is>
      </c>
      <c r="L1122" t="inlineStr">
        <is>
          <t>Brenda Pérez Martínez</t>
        </is>
      </c>
      <c r="M1122" t="inlineStr">
        <is>
          <t>09183075-6</t>
        </is>
      </c>
      <c r="N1122" t="inlineStr">
        <is>
          <t>2300-3840</t>
        </is>
      </c>
      <c r="O1122" t="inlineStr">
        <is>
          <t>Consumidor final</t>
        </is>
      </c>
      <c r="P1122" t="inlineStr">
        <is>
          <t>PAN-003</t>
        </is>
      </c>
      <c r="Q1122" t="inlineStr">
        <is>
          <t>Quesadilla salvadoreña</t>
        </is>
      </c>
      <c r="R1122" t="inlineStr">
        <is>
          <t>PANADERIA</t>
        </is>
      </c>
      <c r="S1122" t="inlineStr">
        <is>
          <t>Panificadora Ilopango</t>
        </is>
      </c>
      <c r="T1122" t="inlineStr">
        <is>
          <t>2295-0081</t>
        </is>
      </c>
      <c r="U1122" t="n">
        <v>2.5</v>
      </c>
      <c r="V1122" t="n">
        <v>1</v>
      </c>
      <c r="W1122" t="n">
        <v>0</v>
      </c>
      <c r="X1122">
        <f>IFERROR(U1122*V1122*(1-W1122/100),"")</f>
        <v/>
      </c>
      <c r="Y1122">
        <f>IFERROR(ROUND(X1122*0.13,2),"")</f>
        <v/>
      </c>
      <c r="Z1122">
        <f>IFERROR(X1122+Y1122,"")</f>
        <v/>
      </c>
      <c r="AA1122" t="inlineStr">
        <is>
          <t>Transferencia</t>
        </is>
      </c>
      <c r="AB1122" t="inlineStr">
        <is>
          <t>Llamar al 7788-1234 antes de entregar</t>
        </is>
      </c>
    </row>
    <row r="1123">
      <c r="A1123" t="inlineStr">
        <is>
          <t>F-11332</t>
        </is>
      </c>
      <c r="B1123" s="3" t="n">
        <v>46224</v>
      </c>
      <c r="C1123" t="inlineStr">
        <is>
          <t>Factura</t>
        </is>
      </c>
      <c r="D1123" t="inlineStr">
        <is>
          <t>LL02</t>
        </is>
      </c>
      <c r="E1123" t="inlineStr">
        <is>
          <t>Puerto de La Libertad</t>
        </is>
      </c>
      <c r="F1123" t="inlineStr">
        <is>
          <t>Calle El Malecón, Local 4</t>
        </is>
      </c>
      <c r="G1123" t="inlineStr">
        <is>
          <t>La Libertad</t>
        </is>
      </c>
      <c r="H1123" t="inlineStr">
        <is>
          <t>La Libertad</t>
        </is>
      </c>
      <c r="I1123" t="inlineStr">
        <is>
          <t>Wendy Aguilar</t>
        </is>
      </c>
      <c r="J1123" t="inlineStr">
        <is>
          <t>2335-6140</t>
        </is>
      </c>
      <c r="K1123" t="inlineStr">
        <is>
          <t>Gabriela Saravia</t>
        </is>
      </c>
      <c r="L1123" t="inlineStr">
        <is>
          <t>Brenda Pérez Martínez</t>
        </is>
      </c>
      <c r="M1123" t="inlineStr">
        <is>
          <t>09183075-6</t>
        </is>
      </c>
      <c r="N1123" t="inlineStr">
        <is>
          <t>2300-3840</t>
        </is>
      </c>
      <c r="O1123" t="inlineStr">
        <is>
          <t>Consumidor final</t>
        </is>
      </c>
      <c r="P1123" t="inlineStr">
        <is>
          <t>BEB-001</t>
        </is>
      </c>
      <c r="Q1123" t="inlineStr">
        <is>
          <t>Gaseosa 2.5L</t>
        </is>
      </c>
      <c r="R1123" t="inlineStr">
        <is>
          <t>Bebidas</t>
        </is>
      </c>
      <c r="S1123" t="inlineStr">
        <is>
          <t>Bebidas Izalco</t>
        </is>
      </c>
      <c r="T1123" t="inlineStr">
        <is>
          <t>2450-7700</t>
        </is>
      </c>
      <c r="U1123" t="n">
        <v>1.95</v>
      </c>
      <c r="V1123" t="n">
        <v>1</v>
      </c>
      <c r="W1123" t="n">
        <v>0</v>
      </c>
      <c r="X1123">
        <f>IFERROR(U1123*V1123*(1-W1123/100),"")</f>
        <v/>
      </c>
      <c r="Y1123">
        <f>IFERROR(ROUND(X1123*0.13,2),"")</f>
        <v/>
      </c>
      <c r="Z1123">
        <f>IFERROR(X1123+Y1123,"")</f>
        <v/>
      </c>
      <c r="AA1123" t="inlineStr">
        <is>
          <t>Transferencia</t>
        </is>
      </c>
      <c r="AB1123" t="inlineStr"/>
    </row>
    <row r="1124">
      <c r="A1124" t="inlineStr">
        <is>
          <t>F-11334</t>
        </is>
      </c>
      <c r="B1124" s="3" t="n">
        <v>46284</v>
      </c>
      <c r="C1124" t="inlineStr">
        <is>
          <t>Factura</t>
        </is>
      </c>
      <c r="D1124" t="inlineStr">
        <is>
          <t>SS02</t>
        </is>
      </c>
      <c r="E1124" t="inlineStr">
        <is>
          <t>Col. Escalón</t>
        </is>
      </c>
      <c r="F1124" t="inlineStr">
        <is>
          <t>Paseo General Escalón #3910</t>
        </is>
      </c>
      <c r="G1124" t="inlineStr">
        <is>
          <t>San Salvador</t>
        </is>
      </c>
      <c r="H1124" t="inlineStr">
        <is>
          <t>San Salvador</t>
        </is>
      </c>
      <c r="I1124" t="inlineStr">
        <is>
          <t>Claudia Menjívar</t>
        </is>
      </c>
      <c r="J1124" t="inlineStr">
        <is>
          <t>2264-1190</t>
        </is>
      </c>
      <c r="K1124" t="inlineStr">
        <is>
          <t>Fátima Rosales</t>
        </is>
      </c>
      <c r="L1124" t="inlineStr">
        <is>
          <t>Mario Castillo Lemus</t>
        </is>
      </c>
      <c r="M1124" t="inlineStr">
        <is>
          <t>01650441-7</t>
        </is>
      </c>
      <c r="N1124" t="inlineStr">
        <is>
          <t>7833-9440</t>
        </is>
      </c>
      <c r="O1124" t="inlineStr">
        <is>
          <t>Consumidor final</t>
        </is>
      </c>
      <c r="P1124" t="inlineStr">
        <is>
          <t>AZU-001</t>
        </is>
      </c>
      <c r="Q1124" t="inlineStr">
        <is>
          <t>Azúcar blanca 2.5kg</t>
        </is>
      </c>
      <c r="R1124" t="inlineStr">
        <is>
          <t>Abarrotes</t>
        </is>
      </c>
      <c r="S1124" t="inlineStr">
        <is>
          <t>Granos del Pacífico</t>
        </is>
      </c>
      <c r="T1124" t="inlineStr">
        <is>
          <t>2234-8890</t>
        </is>
      </c>
      <c r="U1124" t="n">
        <v>3.1</v>
      </c>
      <c r="V1124" t="n">
        <v>2</v>
      </c>
      <c r="W1124" t="n">
        <v>0</v>
      </c>
      <c r="X1124">
        <f>IFERROR(U1124*V1124*(1-W1124/100),"")</f>
        <v/>
      </c>
      <c r="Y1124">
        <f>IFERROR(ROUND(X1124*0.13,2),"")</f>
        <v/>
      </c>
      <c r="Z1124">
        <f>IFERROR(X1124+Y1124,"")</f>
        <v/>
      </c>
      <c r="AA1124" t="inlineStr">
        <is>
          <t>Efectivo</t>
        </is>
      </c>
      <c r="AB1124" t="inlineStr"/>
    </row>
    <row r="1125">
      <c r="A1125" t="inlineStr">
        <is>
          <t>F-11334</t>
        </is>
      </c>
      <c r="B1125" s="3" t="n">
        <v>46284</v>
      </c>
      <c r="C1125" t="inlineStr">
        <is>
          <t>Factura</t>
        </is>
      </c>
      <c r="D1125" t="inlineStr">
        <is>
          <t>SS02</t>
        </is>
      </c>
      <c r="E1125" t="inlineStr">
        <is>
          <t>ESCALON</t>
        </is>
      </c>
      <c r="F1125" t="inlineStr">
        <is>
          <t>Paseo General Escalón #3910</t>
        </is>
      </c>
      <c r="G1125" t="inlineStr">
        <is>
          <t>San Salvador</t>
        </is>
      </c>
      <c r="H1125" t="inlineStr">
        <is>
          <t>San Salvador</t>
        </is>
      </c>
      <c r="I1125" t="inlineStr">
        <is>
          <t>Claudia Menjívar</t>
        </is>
      </c>
      <c r="J1125" t="inlineStr">
        <is>
          <t>2264-1190</t>
        </is>
      </c>
      <c r="K1125" t="inlineStr">
        <is>
          <t>Fátima Rosales</t>
        </is>
      </c>
      <c r="L1125" t="inlineStr">
        <is>
          <t>Mario Castillo Lemus</t>
        </is>
      </c>
      <c r="M1125" t="inlineStr">
        <is>
          <t>01650441-7</t>
        </is>
      </c>
      <c r="N1125" t="inlineStr">
        <is>
          <t>7833-9440</t>
        </is>
      </c>
      <c r="O1125" t="inlineStr">
        <is>
          <t>Consumidor final</t>
        </is>
      </c>
      <c r="P1125" t="inlineStr">
        <is>
          <t>ARR-001</t>
        </is>
      </c>
      <c r="Q1125" t="inlineStr">
        <is>
          <t>Arroz blanco 5lb</t>
        </is>
      </c>
      <c r="R1125" t="inlineStr">
        <is>
          <t>Abarrotes</t>
        </is>
      </c>
      <c r="S1125" t="inlineStr">
        <is>
          <t>Granos del Pacífico</t>
        </is>
      </c>
      <c r="T1125" t="inlineStr">
        <is>
          <t>2234-8890</t>
        </is>
      </c>
      <c r="U1125" t="n">
        <v>3.95</v>
      </c>
      <c r="V1125" t="n">
        <v>1</v>
      </c>
      <c r="W1125" t="n">
        <v>0</v>
      </c>
      <c r="X1125">
        <f>IFERROR(U1125*V1125*(1-W1125/100),"")</f>
        <v/>
      </c>
      <c r="Y1125">
        <f>IFERROR(ROUND(X1125*0.13,2),"")</f>
        <v/>
      </c>
      <c r="Z1125">
        <f>IFERROR(X1125+Y1125,"")</f>
        <v/>
      </c>
      <c r="AA1125" t="inlineStr">
        <is>
          <t>Efectivo</t>
        </is>
      </c>
      <c r="AB1125" t="inlineStr">
        <is>
          <t>pagó con billete de $100</t>
        </is>
      </c>
    </row>
    <row r="1126">
      <c r="A1126" t="inlineStr">
        <is>
          <t>F-11334</t>
        </is>
      </c>
      <c r="B1126" s="3" t="n">
        <v>46284</v>
      </c>
      <c r="C1126" t="inlineStr">
        <is>
          <t>Factura</t>
        </is>
      </c>
      <c r="D1126" t="inlineStr">
        <is>
          <t>SS02</t>
        </is>
      </c>
      <c r="E1126" t="inlineStr">
        <is>
          <t>ESCALON</t>
        </is>
      </c>
      <c r="F1126" t="inlineStr">
        <is>
          <t>Paseo General Escalón #3910</t>
        </is>
      </c>
      <c r="G1126" t="inlineStr">
        <is>
          <t>San Salvador</t>
        </is>
      </c>
      <c r="H1126" t="inlineStr">
        <is>
          <t>San Salvador</t>
        </is>
      </c>
      <c r="I1126" t="inlineStr">
        <is>
          <t>Claudia Menjívar</t>
        </is>
      </c>
      <c r="J1126" t="inlineStr">
        <is>
          <t>2264-1190</t>
        </is>
      </c>
      <c r="K1126" t="inlineStr">
        <is>
          <t>Fátima Rosales</t>
        </is>
      </c>
      <c r="L1126" t="inlineStr">
        <is>
          <t>Mario Castillo Lemus</t>
        </is>
      </c>
      <c r="M1126" t="inlineStr">
        <is>
          <t>01650441-7</t>
        </is>
      </c>
      <c r="N1126" t="inlineStr">
        <is>
          <t>7833-9440</t>
        </is>
      </c>
      <c r="O1126" t="inlineStr">
        <is>
          <t>Consumidor final</t>
        </is>
      </c>
      <c r="P1126" t="inlineStr">
        <is>
          <t>PAN-001</t>
        </is>
      </c>
      <c r="Q1126" t="inlineStr">
        <is>
          <t>Pan francés bolsa 10u</t>
        </is>
      </c>
      <c r="R1126" t="inlineStr">
        <is>
          <t>Panaderia</t>
        </is>
      </c>
      <c r="S1126" t="inlineStr">
        <is>
          <t>Panificadora Ilopango</t>
        </is>
      </c>
      <c r="T1126" t="inlineStr">
        <is>
          <t>2295-0081</t>
        </is>
      </c>
      <c r="U1126" t="n">
        <v>1</v>
      </c>
      <c r="V1126" t="n">
        <v>1</v>
      </c>
      <c r="W1126" t="n">
        <v>0</v>
      </c>
      <c r="X1126">
        <f>IFERROR(U1126*V1126*(1-W1126/100),"")</f>
        <v/>
      </c>
      <c r="Y1126">
        <f>IFERROR(ROUND(X1126*0.13,2),"")</f>
        <v/>
      </c>
      <c r="Z1126">
        <f>IFERROR(X1126+Y1126,"")</f>
        <v/>
      </c>
      <c r="AA1126" t="inlineStr">
        <is>
          <t>Efectivo</t>
        </is>
      </c>
      <c r="AB1126" t="inlineStr">
        <is>
          <t>Llamar al 7788-1234 antes de entregar</t>
        </is>
      </c>
    </row>
    <row r="1127">
      <c r="A1127" t="inlineStr">
        <is>
          <t>F-11335</t>
        </is>
      </c>
      <c r="B1127" s="3" t="n">
        <v>46259</v>
      </c>
      <c r="C1127" t="inlineStr">
        <is>
          <t>Factura</t>
        </is>
      </c>
      <c r="D1127" t="inlineStr">
        <is>
          <t>LL01</t>
        </is>
      </c>
      <c r="E1127" t="inlineStr">
        <is>
          <t>Santa Tecla</t>
        </is>
      </c>
      <c r="F1127" t="inlineStr">
        <is>
          <t>Calle Daniel Hernández #18</t>
        </is>
      </c>
      <c r="G1127" t="inlineStr">
        <is>
          <t>Santa Tecla</t>
        </is>
      </c>
      <c r="H1127" t="inlineStr">
        <is>
          <t>La Libertad</t>
        </is>
      </c>
      <c r="I1127" t="inlineStr">
        <is>
          <t>Óscar Rivas</t>
        </is>
      </c>
      <c r="J1127" t="inlineStr">
        <is>
          <t>2228-7731</t>
        </is>
      </c>
      <c r="K1127" t="inlineStr">
        <is>
          <t>Luis Escobar</t>
        </is>
      </c>
      <c r="L1127" t="inlineStr">
        <is>
          <t>Sandra Rivera Pérez</t>
        </is>
      </c>
      <c r="M1127" t="inlineStr"/>
      <c r="N1127" t="inlineStr">
        <is>
          <t>6654-8845</t>
        </is>
      </c>
      <c r="O1127" t="inlineStr">
        <is>
          <t>Consumidor final</t>
        </is>
      </c>
      <c r="P1127" t="inlineStr">
        <is>
          <t>ARR-001</t>
        </is>
      </c>
      <c r="Q1127" t="inlineStr">
        <is>
          <t>Arroz blanco 5lb</t>
        </is>
      </c>
      <c r="R1127" t="inlineStr">
        <is>
          <t>Abarrotes</t>
        </is>
      </c>
      <c r="S1127" t="inlineStr">
        <is>
          <t>Granos del Pacífico</t>
        </is>
      </c>
      <c r="T1127" t="inlineStr">
        <is>
          <t>2234-8890</t>
        </is>
      </c>
      <c r="U1127" t="n">
        <v>3.95</v>
      </c>
      <c r="V1127" t="n">
        <v>1</v>
      </c>
      <c r="W1127" t="n">
        <v>0</v>
      </c>
      <c r="X1127">
        <f>IFERROR(U1127*V1127*(1-W1127/100),"")</f>
        <v/>
      </c>
      <c r="Y1127">
        <f>IFERROR(ROUND(X1127*0.13,2),"")</f>
        <v/>
      </c>
      <c r="Z1127">
        <f>IFERROR(X1127+Y1127,"")</f>
        <v/>
      </c>
      <c r="AA1127" t="inlineStr">
        <is>
          <t>Tarjeta</t>
        </is>
      </c>
      <c r="AB1127" t="inlineStr">
        <is>
          <t>Llamar al 7788-1234 antes de entregar</t>
        </is>
      </c>
    </row>
    <row r="1128">
      <c r="A1128" t="inlineStr">
        <is>
          <t>F-11335</t>
        </is>
      </c>
      <c r="B1128" s="3" t="n">
        <v>46259</v>
      </c>
      <c r="C1128" t="inlineStr">
        <is>
          <t>Factura</t>
        </is>
      </c>
      <c r="D1128" t="inlineStr">
        <is>
          <t>LL01</t>
        </is>
      </c>
      <c r="E1128" t="inlineStr">
        <is>
          <t>SANTA TECLA</t>
        </is>
      </c>
      <c r="F1128" t="inlineStr">
        <is>
          <t>Calle Daniel Hernández #18</t>
        </is>
      </c>
      <c r="G1128" t="inlineStr">
        <is>
          <t>Santa Tecla</t>
        </is>
      </c>
      <c r="H1128" t="inlineStr">
        <is>
          <t>La Libertad</t>
        </is>
      </c>
      <c r="I1128" t="inlineStr">
        <is>
          <t>Óscar Rivas</t>
        </is>
      </c>
      <c r="J1128" t="inlineStr">
        <is>
          <t>2228-7731</t>
        </is>
      </c>
      <c r="K1128" t="inlineStr">
        <is>
          <t>Luis Escobar</t>
        </is>
      </c>
      <c r="L1128" t="inlineStr">
        <is>
          <t>Sandra Rivera Pérez</t>
        </is>
      </c>
      <c r="M1128" t="inlineStr">
        <is>
          <t>00391949-0</t>
        </is>
      </c>
      <c r="N1128" t="inlineStr">
        <is>
          <t>6654-8845</t>
        </is>
      </c>
      <c r="O1128" t="inlineStr">
        <is>
          <t>Consumidor final</t>
        </is>
      </c>
      <c r="P1128" t="inlineStr">
        <is>
          <t>BEB-002</t>
        </is>
      </c>
      <c r="Q1128" t="inlineStr">
        <is>
          <t>Agua purificada 1 galón</t>
        </is>
      </c>
      <c r="R1128" t="inlineStr">
        <is>
          <t>Bebidas</t>
        </is>
      </c>
      <c r="S1128" t="inlineStr">
        <is>
          <t>Bebidas Izalco</t>
        </is>
      </c>
      <c r="T1128" t="inlineStr">
        <is>
          <t>2450-7700</t>
        </is>
      </c>
      <c r="U1128" t="n">
        <v>1.1</v>
      </c>
      <c r="V1128" t="n">
        <v>3</v>
      </c>
      <c r="W1128" t="n">
        <v>0</v>
      </c>
      <c r="X1128">
        <f>IFERROR(U1128*V1128*(1-W1128/100),"")</f>
        <v/>
      </c>
      <c r="Y1128">
        <f>IFERROR(ROUND(X1128*0.13,2),"")</f>
        <v/>
      </c>
      <c r="Z1128">
        <f>IFERROR(X1128+Y1128,"")</f>
        <v/>
      </c>
      <c r="AA1128" t="inlineStr">
        <is>
          <t>Tarjeta</t>
        </is>
      </c>
      <c r="AB1128" t="inlineStr">
        <is>
          <t>entregar en bodega</t>
        </is>
      </c>
    </row>
    <row r="1129">
      <c r="A1129" t="inlineStr">
        <is>
          <t>F-11335</t>
        </is>
      </c>
      <c r="B1129" t="inlineStr">
        <is>
          <t>2026-08-25</t>
        </is>
      </c>
      <c r="C1129" t="inlineStr">
        <is>
          <t>Factura</t>
        </is>
      </c>
      <c r="D1129" t="inlineStr">
        <is>
          <t>LL01</t>
        </is>
      </c>
      <c r="E1129" t="inlineStr">
        <is>
          <t>SANTA TECLA</t>
        </is>
      </c>
      <c r="F1129" t="inlineStr">
        <is>
          <t>Calle Daniel Hernández #18</t>
        </is>
      </c>
      <c r="G1129" t="inlineStr">
        <is>
          <t>Santa Tecla</t>
        </is>
      </c>
      <c r="H1129" t="inlineStr">
        <is>
          <t>La Libertad</t>
        </is>
      </c>
      <c r="I1129" t="inlineStr">
        <is>
          <t>Óscar Rivas</t>
        </is>
      </c>
      <c r="J1129" t="inlineStr">
        <is>
          <t>2228-7731</t>
        </is>
      </c>
      <c r="K1129" t="inlineStr">
        <is>
          <t>Luis Escobar</t>
        </is>
      </c>
      <c r="L1129" t="inlineStr">
        <is>
          <t>Sandra Rivera Pérez</t>
        </is>
      </c>
      <c r="M1129" t="inlineStr">
        <is>
          <t>00391949-0</t>
        </is>
      </c>
      <c r="N1129" t="inlineStr">
        <is>
          <t>6654-8845</t>
        </is>
      </c>
      <c r="O1129" t="inlineStr">
        <is>
          <t>Consumidor final</t>
        </is>
      </c>
      <c r="P1129" t="inlineStr">
        <is>
          <t>HIG-001</t>
        </is>
      </c>
      <c r="Q1129" t="inlineStr">
        <is>
          <t>Detergente 1kg</t>
        </is>
      </c>
      <c r="R1129" t="inlineStr">
        <is>
          <t>Limpieza</t>
        </is>
      </c>
      <c r="S1129" t="inlineStr">
        <is>
          <t>Higiene Total C.A.</t>
        </is>
      </c>
      <c r="T1129" t="inlineStr">
        <is>
          <t>2207-5566</t>
        </is>
      </c>
      <c r="U1129" t="n">
        <v>3.45</v>
      </c>
      <c r="V1129" t="n">
        <v>24</v>
      </c>
      <c r="W1129" t="n">
        <v>0</v>
      </c>
      <c r="X1129">
        <f>IFERROR(U1129*V1129*(1-W1129/100),"")</f>
        <v/>
      </c>
      <c r="Y1129">
        <f>IFERROR(ROUND(X1129*0.13,2),"")</f>
        <v/>
      </c>
      <c r="Z1129">
        <f>IFERROR(X1129+Y1129,"")</f>
        <v/>
      </c>
      <c r="AA1129" t="inlineStr">
        <is>
          <t>Tarjeta</t>
        </is>
      </c>
      <c r="AB1129" t="inlineStr"/>
    </row>
    <row r="1130">
      <c r="A1130" t="inlineStr">
        <is>
          <t>F-11338</t>
        </is>
      </c>
      <c r="B1130" s="3" t="n">
        <v>46213</v>
      </c>
      <c r="C1130" t="inlineStr">
        <is>
          <t>factura</t>
        </is>
      </c>
      <c r="D1130" t="inlineStr">
        <is>
          <t>SS02</t>
        </is>
      </c>
      <c r="E1130" t="inlineStr">
        <is>
          <t>Escalón</t>
        </is>
      </c>
      <c r="F1130" t="inlineStr">
        <is>
          <t>Paseo General Escalón #3910</t>
        </is>
      </c>
      <c r="G1130" t="inlineStr">
        <is>
          <t>San Salvador</t>
        </is>
      </c>
      <c r="H1130" t="inlineStr">
        <is>
          <t>San Salvador</t>
        </is>
      </c>
      <c r="I1130" t="inlineStr">
        <is>
          <t>Claudia Menjívar</t>
        </is>
      </c>
      <c r="J1130" t="inlineStr">
        <is>
          <t>2264-1190</t>
        </is>
      </c>
      <c r="K1130" t="inlineStr">
        <is>
          <t>Kevin Benítez</t>
        </is>
      </c>
      <c r="L1130" t="inlineStr">
        <is>
          <t>José Cornejo Hernández</t>
        </is>
      </c>
      <c r="M1130" t="inlineStr">
        <is>
          <t>07580296-3</t>
        </is>
      </c>
      <c r="N1130" t="inlineStr">
        <is>
          <t>6828-1335</t>
        </is>
      </c>
      <c r="O1130" t="inlineStr">
        <is>
          <t>Consumidor final</t>
        </is>
      </c>
      <c r="P1130" t="inlineStr">
        <is>
          <t>AZU-001</t>
        </is>
      </c>
      <c r="Q1130" t="inlineStr">
        <is>
          <t>Azúcar blanca 2.5kg</t>
        </is>
      </c>
      <c r="R1130" t="inlineStr">
        <is>
          <t>Abarrotes</t>
        </is>
      </c>
      <c r="S1130" t="inlineStr">
        <is>
          <t>Granos del Pacífico</t>
        </is>
      </c>
      <c r="T1130" t="inlineStr">
        <is>
          <t>2234-8890</t>
        </is>
      </c>
      <c r="U1130" t="inlineStr">
        <is>
          <t>3,10</t>
        </is>
      </c>
      <c r="V1130" t="n">
        <v>3</v>
      </c>
      <c r="W1130" t="n">
        <v>0</v>
      </c>
      <c r="X1130">
        <f>IFERROR(U1130*V1130*(1-W1130/100),"")</f>
        <v/>
      </c>
      <c r="Y1130">
        <f>IFERROR(ROUND(X1130*0.13,2),"")</f>
        <v/>
      </c>
      <c r="Z1130">
        <f>IFERROR(X1130+Y1130,"")</f>
        <v/>
      </c>
      <c r="AA1130" t="inlineStr">
        <is>
          <t>Tarjeta</t>
        </is>
      </c>
      <c r="AB1130" t="inlineStr">
        <is>
          <t>pagó con billete de $100</t>
        </is>
      </c>
    </row>
    <row r="1131">
      <c r="A1131" t="inlineStr">
        <is>
          <t>F-11338</t>
        </is>
      </c>
      <c r="B1131" s="3" t="n">
        <v>46213</v>
      </c>
      <c r="C1131" t="inlineStr">
        <is>
          <t>factura</t>
        </is>
      </c>
      <c r="D1131" t="inlineStr">
        <is>
          <t>SS02</t>
        </is>
      </c>
      <c r="E1131" t="inlineStr">
        <is>
          <t>Escalon</t>
        </is>
      </c>
      <c r="F1131" t="inlineStr">
        <is>
          <t>Paseo General Escalón #3910</t>
        </is>
      </c>
      <c r="G1131" t="inlineStr">
        <is>
          <t>San Salvador</t>
        </is>
      </c>
      <c r="H1131" t="inlineStr">
        <is>
          <t>San Salvador</t>
        </is>
      </c>
      <c r="I1131" t="inlineStr">
        <is>
          <t>Claudia Menjívar</t>
        </is>
      </c>
      <c r="J1131" t="inlineStr">
        <is>
          <t>2264-1190</t>
        </is>
      </c>
      <c r="K1131" t="inlineStr">
        <is>
          <t>Kevin Benítez</t>
        </is>
      </c>
      <c r="L1131" t="inlineStr">
        <is>
          <t>José Cornejo Hernández</t>
        </is>
      </c>
      <c r="M1131" t="inlineStr">
        <is>
          <t>07580296-3</t>
        </is>
      </c>
      <c r="N1131" t="inlineStr">
        <is>
          <t>6828-1335</t>
        </is>
      </c>
      <c r="O1131" t="inlineStr">
        <is>
          <t>Consumidor final</t>
        </is>
      </c>
      <c r="P1131" t="inlineStr">
        <is>
          <t>LAC-003</t>
        </is>
      </c>
      <c r="Q1131" t="inlineStr">
        <is>
          <t>Leche entera 1L</t>
        </is>
      </c>
      <c r="R1131" t="inlineStr">
        <is>
          <t>Lácteos</t>
        </is>
      </c>
      <c r="S1131" t="inlineStr">
        <is>
          <t>Lácteos Chalate</t>
        </is>
      </c>
      <c r="T1131" t="inlineStr">
        <is>
          <t>2335-1020</t>
        </is>
      </c>
      <c r="U1131" t="n">
        <v>1.2</v>
      </c>
      <c r="V1131" t="n">
        <v>6</v>
      </c>
      <c r="W1131" t="n">
        <v>0</v>
      </c>
      <c r="X1131">
        <f>IFERROR(U1131*V1131*(1-W1131/100),"")</f>
        <v/>
      </c>
      <c r="Y1131">
        <f>IFERROR(ROUND(X1131*0.13,2),"")</f>
        <v/>
      </c>
      <c r="Z1131">
        <f>IFERROR(X1131+Y1131,"")</f>
        <v/>
      </c>
      <c r="AA1131" t="inlineStr">
        <is>
          <t>Tarjeta</t>
        </is>
      </c>
      <c r="AB1131" t="inlineStr">
        <is>
          <t>Llamar al 7788-1234 antes de entregar</t>
        </is>
      </c>
    </row>
    <row r="1132">
      <c r="A1132" t="inlineStr">
        <is>
          <t>F-11341</t>
        </is>
      </c>
      <c r="B1132" t="inlineStr">
        <is>
          <t>31/08/2026</t>
        </is>
      </c>
      <c r="C1132" t="inlineStr">
        <is>
          <t>CCF</t>
        </is>
      </c>
      <c r="D1132" t="inlineStr">
        <is>
          <t>SS02</t>
        </is>
      </c>
      <c r="E1132" t="inlineStr">
        <is>
          <t>Escalon</t>
        </is>
      </c>
      <c r="F1132" t="inlineStr">
        <is>
          <t>Paseo General Escalón #3910</t>
        </is>
      </c>
      <c r="G1132" t="inlineStr">
        <is>
          <t>San Salvador</t>
        </is>
      </c>
      <c r="H1132" t="inlineStr">
        <is>
          <t>San Salvador</t>
        </is>
      </c>
      <c r="I1132" t="inlineStr">
        <is>
          <t>Claudia Menjívar</t>
        </is>
      </c>
      <c r="J1132" t="inlineStr">
        <is>
          <t>2264-1190</t>
        </is>
      </c>
      <c r="K1132" t="inlineStr">
        <is>
          <t>Fátima Rosales</t>
        </is>
      </c>
      <c r="L1132" t="inlineStr">
        <is>
          <t>Tienda La Bendición</t>
        </is>
      </c>
      <c r="M1132" t="inlineStr">
        <is>
          <t>95045-4</t>
        </is>
      </c>
      <c r="N1132" t="inlineStr">
        <is>
          <t>6142-4109</t>
        </is>
      </c>
      <c r="O1132" t="inlineStr">
        <is>
          <t>Contribuyente</t>
        </is>
      </c>
      <c r="P1132" t="inlineStr">
        <is>
          <t>ARR-001</t>
        </is>
      </c>
      <c r="Q1132" t="inlineStr">
        <is>
          <t>Arroz blanco 5lb</t>
        </is>
      </c>
      <c r="R1132" t="inlineStr">
        <is>
          <t>Abarrotes</t>
        </is>
      </c>
      <c r="S1132" t="inlineStr">
        <is>
          <t>Granos del Pacífico</t>
        </is>
      </c>
      <c r="T1132" t="inlineStr">
        <is>
          <t>2234-8890</t>
        </is>
      </c>
      <c r="U1132" t="n">
        <v>3.95</v>
      </c>
      <c r="V1132" t="n">
        <v>4</v>
      </c>
      <c r="W1132" t="n">
        <v>0</v>
      </c>
      <c r="X1132">
        <f>IFERROR(U1132*V1132*(1-W1132/100),"")</f>
        <v/>
      </c>
      <c r="Y1132">
        <f>IFERROR(ROUND(X1132*0.13,2),"")</f>
        <v/>
      </c>
      <c r="Z1132">
        <f>IFERROR(X1132+Y1132,"")</f>
        <v/>
      </c>
      <c r="AA1132" t="inlineStr">
        <is>
          <t>Tarjeta</t>
        </is>
      </c>
      <c r="AB1132" t="inlineStr">
        <is>
          <t>precio especial autorizado por gerente</t>
        </is>
      </c>
    </row>
    <row r="1133">
      <c r="A1133" t="inlineStr">
        <is>
          <t>F-11342</t>
        </is>
      </c>
      <c r="B1133" s="3" t="n">
        <v>46211</v>
      </c>
      <c r="C1133" t="inlineStr">
        <is>
          <t>Factura</t>
        </is>
      </c>
      <c r="D1133" t="inlineStr"/>
      <c r="E1133" t="inlineStr">
        <is>
          <t>Soyapango</t>
        </is>
      </c>
      <c r="F1133" t="inlineStr">
        <is>
          <t>Blvd. del Ejército km 4</t>
        </is>
      </c>
      <c r="G1133" t="inlineStr">
        <is>
          <t>Soyapango</t>
        </is>
      </c>
      <c r="H1133" t="inlineStr">
        <is>
          <t>San Salvador</t>
        </is>
      </c>
      <c r="I1133" t="inlineStr">
        <is>
          <t>Karla Henríquez</t>
        </is>
      </c>
      <c r="J1133" t="inlineStr">
        <is>
          <t>2277-3402</t>
        </is>
      </c>
      <c r="K1133" t="inlineStr">
        <is>
          <t>Carlos Molina</t>
        </is>
      </c>
      <c r="L1133" t="inlineStr">
        <is>
          <t>Luis Alvarado Flores</t>
        </is>
      </c>
      <c r="M1133" t="inlineStr">
        <is>
          <t>04419851-7</t>
        </is>
      </c>
      <c r="N1133" t="inlineStr">
        <is>
          <t>6898-7811</t>
        </is>
      </c>
      <c r="O1133" t="inlineStr">
        <is>
          <t>Consumidor final</t>
        </is>
      </c>
      <c r="P1133" t="inlineStr">
        <is>
          <t>BEB-001</t>
        </is>
      </c>
      <c r="Q1133" t="inlineStr">
        <is>
          <t>Gaseosa 2.5L</t>
        </is>
      </c>
      <c r="R1133" t="inlineStr">
        <is>
          <t>bebidas</t>
        </is>
      </c>
      <c r="S1133" t="inlineStr">
        <is>
          <t>Bebidas Izalco</t>
        </is>
      </c>
      <c r="T1133" t="inlineStr">
        <is>
          <t>2450-7700</t>
        </is>
      </c>
      <c r="U1133" t="n">
        <v>1.95</v>
      </c>
      <c r="V1133" t="n">
        <v>1</v>
      </c>
      <c r="W1133" t="n">
        <v>0</v>
      </c>
      <c r="X1133">
        <f>IFERROR(U1133*V1133*(1-W1133/100),"")</f>
        <v/>
      </c>
      <c r="Y1133">
        <f>IFERROR(ROUND(X1133*0.13,2),"")</f>
        <v/>
      </c>
      <c r="Z1133">
        <f>IFERROR(X1133+Y1133,"")</f>
        <v/>
      </c>
      <c r="AA1133" t="inlineStr">
        <is>
          <t>Efectivo</t>
        </is>
      </c>
      <c r="AB1133" t="inlineStr"/>
    </row>
    <row r="1134">
      <c r="A1134" t="inlineStr">
        <is>
          <t>F-11345</t>
        </is>
      </c>
      <c r="B1134" s="3" t="n">
        <v>46221</v>
      </c>
      <c r="C1134" t="inlineStr">
        <is>
          <t>Factura</t>
        </is>
      </c>
      <c r="D1134" t="inlineStr">
        <is>
          <t>SS02</t>
        </is>
      </c>
      <c r="E1134" t="inlineStr">
        <is>
          <t>Col. Escalón</t>
        </is>
      </c>
      <c r="F1134" t="inlineStr">
        <is>
          <t>Paseo General Escalón #3910</t>
        </is>
      </c>
      <c r="G1134" t="inlineStr">
        <is>
          <t>San Salvador</t>
        </is>
      </c>
      <c r="H1134" t="inlineStr">
        <is>
          <t>San Salvador</t>
        </is>
      </c>
      <c r="I1134" t="inlineStr">
        <is>
          <t>Claudia Menjívar</t>
        </is>
      </c>
      <c r="J1134" t="inlineStr">
        <is>
          <t>2264-1190</t>
        </is>
      </c>
      <c r="K1134" t="inlineStr">
        <is>
          <t>Kevin Benítez</t>
        </is>
      </c>
      <c r="L1134" t="inlineStr">
        <is>
          <t>René Alvarado Lemus</t>
        </is>
      </c>
      <c r="M1134" t="inlineStr">
        <is>
          <t>07676586-8</t>
        </is>
      </c>
      <c r="N1134" t="inlineStr">
        <is>
          <t>6907-6114</t>
        </is>
      </c>
      <c r="O1134" t="inlineStr">
        <is>
          <t>Consumidor final</t>
        </is>
      </c>
      <c r="P1134" t="inlineStr">
        <is>
          <t>HIG-003</t>
        </is>
      </c>
      <c r="Q1134" t="inlineStr">
        <is>
          <t>Jabón de lavar barra</t>
        </is>
      </c>
      <c r="R1134" t="inlineStr">
        <is>
          <t>Limpieza</t>
        </is>
      </c>
      <c r="S1134" t="inlineStr">
        <is>
          <t>Higiene Total C.A.</t>
        </is>
      </c>
      <c r="T1134" t="inlineStr">
        <is>
          <t>2207-5566</t>
        </is>
      </c>
      <c r="U1134" t="n">
        <v>0.75</v>
      </c>
      <c r="V1134" t="n">
        <v>6</v>
      </c>
      <c r="W1134" t="n">
        <v>0</v>
      </c>
      <c r="X1134">
        <f>IFERROR(U1134*V1134*(1-W1134/100),"")</f>
        <v/>
      </c>
      <c r="Y1134">
        <f>IFERROR(ROUND(X1134*0.13,2),"")</f>
        <v/>
      </c>
      <c r="Z1134">
        <f>IFERROR(X1134+Y1134,"")</f>
        <v/>
      </c>
      <c r="AA1134" t="inlineStr">
        <is>
          <t>Transferencia</t>
        </is>
      </c>
      <c r="AB1134" t="inlineStr">
        <is>
          <t>Cliente frecuente</t>
        </is>
      </c>
    </row>
    <row r="1135">
      <c r="A1135" t="inlineStr">
        <is>
          <t>F-11345</t>
        </is>
      </c>
      <c r="B1135" s="3" t="n">
        <v>46221</v>
      </c>
      <c r="C1135" t="inlineStr">
        <is>
          <t>Factura</t>
        </is>
      </c>
      <c r="D1135" t="inlineStr">
        <is>
          <t>SS02</t>
        </is>
      </c>
      <c r="E1135" t="inlineStr">
        <is>
          <t>Col. Escalón</t>
        </is>
      </c>
      <c r="F1135" t="inlineStr">
        <is>
          <t>Paseo General Escalón #3910</t>
        </is>
      </c>
      <c r="G1135" t="inlineStr">
        <is>
          <t>San Salvador</t>
        </is>
      </c>
      <c r="H1135" t="inlineStr">
        <is>
          <t>San Salvador</t>
        </is>
      </c>
      <c r="I1135" t="inlineStr">
        <is>
          <t>Claudia Menjívar</t>
        </is>
      </c>
      <c r="J1135" t="inlineStr">
        <is>
          <t>2264-1190</t>
        </is>
      </c>
      <c r="K1135" t="inlineStr">
        <is>
          <t>Kevin Benítez</t>
        </is>
      </c>
      <c r="L1135" t="inlineStr">
        <is>
          <t>René Alvarado Lemus</t>
        </is>
      </c>
      <c r="M1135" t="inlineStr">
        <is>
          <t>07676586-8</t>
        </is>
      </c>
      <c r="N1135" t="inlineStr">
        <is>
          <t>6907-6114</t>
        </is>
      </c>
      <c r="O1135" t="inlineStr">
        <is>
          <t>Consumidor final</t>
        </is>
      </c>
      <c r="P1135" t="inlineStr">
        <is>
          <t>FRI-001</t>
        </is>
      </c>
      <c r="Q1135" t="inlineStr">
        <is>
          <t>Frijol rojo de seda 2lb</t>
        </is>
      </c>
      <c r="R1135" t="inlineStr">
        <is>
          <t>Granos básicos</t>
        </is>
      </c>
      <c r="S1135" t="inlineStr">
        <is>
          <t>Granos del Pacífico</t>
        </is>
      </c>
      <c r="T1135" t="inlineStr">
        <is>
          <t>2234-8890</t>
        </is>
      </c>
      <c r="U1135" t="n">
        <v>2.4</v>
      </c>
      <c r="V1135" t="n">
        <v>1</v>
      </c>
      <c r="W1135" t="n">
        <v>0</v>
      </c>
      <c r="X1135">
        <f>IFERROR(U1135*V1135*(1-W1135/100),"")</f>
        <v/>
      </c>
      <c r="Y1135">
        <f>IFERROR(ROUND(X1135*0.13,2),"")</f>
        <v/>
      </c>
      <c r="Z1135">
        <f>IFERROR(X1135+Y1135,"")</f>
        <v/>
      </c>
      <c r="AA1135" t="inlineStr">
        <is>
          <t>Transferencia</t>
        </is>
      </c>
      <c r="AB1135" t="inlineStr"/>
    </row>
    <row r="1136">
      <c r="A1136" t="inlineStr">
        <is>
          <t>F-11345</t>
        </is>
      </c>
      <c r="B1136" t="inlineStr">
        <is>
          <t>18-Jul-26</t>
        </is>
      </c>
      <c r="C1136" t="inlineStr">
        <is>
          <t>Factura</t>
        </is>
      </c>
      <c r="D1136" t="inlineStr">
        <is>
          <t>SS02</t>
        </is>
      </c>
      <c r="E1136" t="inlineStr">
        <is>
          <t>Escalón</t>
        </is>
      </c>
      <c r="F1136" t="inlineStr">
        <is>
          <t>Paseo General Escalón #3910</t>
        </is>
      </c>
      <c r="G1136" t="inlineStr">
        <is>
          <t>San Salvador</t>
        </is>
      </c>
      <c r="H1136" t="inlineStr">
        <is>
          <t>San Salvador</t>
        </is>
      </c>
      <c r="I1136" t="inlineStr">
        <is>
          <t>Claudia Menjívar</t>
        </is>
      </c>
      <c r="J1136" t="inlineStr">
        <is>
          <t>2264-1190</t>
        </is>
      </c>
      <c r="K1136" t="inlineStr">
        <is>
          <t>Kevin Benítez</t>
        </is>
      </c>
      <c r="L1136" t="inlineStr">
        <is>
          <t>René Alvarado Lemus</t>
        </is>
      </c>
      <c r="M1136" t="inlineStr">
        <is>
          <t>07676586-8</t>
        </is>
      </c>
      <c r="N1136" t="inlineStr">
        <is>
          <t>6907-6114</t>
        </is>
      </c>
      <c r="O1136" t="inlineStr">
        <is>
          <t>Consumidor final</t>
        </is>
      </c>
      <c r="P1136" t="inlineStr">
        <is>
          <t>BEB-002</t>
        </is>
      </c>
      <c r="Q1136" t="inlineStr">
        <is>
          <t>Agua purificada 1 galón</t>
        </is>
      </c>
      <c r="R1136" t="inlineStr">
        <is>
          <t>Bebidas</t>
        </is>
      </c>
      <c r="S1136" t="inlineStr">
        <is>
          <t>Bebidas Izalco</t>
        </is>
      </c>
      <c r="T1136" t="inlineStr">
        <is>
          <t>2450-7700</t>
        </is>
      </c>
      <c r="U1136" t="n">
        <v>1.1</v>
      </c>
      <c r="V1136" t="n">
        <v>6</v>
      </c>
      <c r="W1136" t="n">
        <v>0</v>
      </c>
      <c r="X1136">
        <f>IFERROR(U1136*V1136*(1-W1136/100),"")</f>
        <v/>
      </c>
      <c r="Y1136">
        <f>IFERROR(ROUND(X1136*0.13,2),"")</f>
        <v/>
      </c>
      <c r="Z1136">
        <f>IFERROR(X1136+Y1136,"")</f>
        <v/>
      </c>
      <c r="AA1136" t="inlineStr">
        <is>
          <t>Transferencia</t>
        </is>
      </c>
      <c r="AB1136" t="inlineStr"/>
    </row>
    <row r="1137">
      <c r="A1137" t="inlineStr">
        <is>
          <t>F-11346</t>
        </is>
      </c>
      <c r="B1137" s="3" t="n">
        <v>46227</v>
      </c>
      <c r="C1137" t="inlineStr">
        <is>
          <t>factura</t>
        </is>
      </c>
      <c r="D1137" t="inlineStr">
        <is>
          <t>SS02</t>
        </is>
      </c>
      <c r="E1137" t="inlineStr">
        <is>
          <t>Escalón</t>
        </is>
      </c>
      <c r="F1137" t="inlineStr">
        <is>
          <t>Paseo General Escalón #3910</t>
        </is>
      </c>
      <c r="G1137" t="inlineStr">
        <is>
          <t>San Salvador</t>
        </is>
      </c>
      <c r="H1137" t="inlineStr">
        <is>
          <t>San Salvador</t>
        </is>
      </c>
      <c r="I1137" t="inlineStr">
        <is>
          <t>Claudia Menjívar</t>
        </is>
      </c>
      <c r="J1137" t="inlineStr">
        <is>
          <t>2264-1190</t>
        </is>
      </c>
      <c r="K1137" t="inlineStr">
        <is>
          <t>Kevin Benítez</t>
        </is>
      </c>
      <c r="L1137" t="inlineStr">
        <is>
          <t>Rosa López Castillo</t>
        </is>
      </c>
      <c r="M1137" t="inlineStr">
        <is>
          <t>09782214-9</t>
        </is>
      </c>
      <c r="N1137" t="inlineStr">
        <is>
          <t>6806-3209</t>
        </is>
      </c>
      <c r="O1137" t="inlineStr">
        <is>
          <t>Consumidor final</t>
        </is>
      </c>
      <c r="P1137" t="inlineStr">
        <is>
          <t>BEB-002</t>
        </is>
      </c>
      <c r="Q1137" t="inlineStr">
        <is>
          <t>Agua purificada 1 galón</t>
        </is>
      </c>
      <c r="R1137" t="inlineStr">
        <is>
          <t>Bebidas</t>
        </is>
      </c>
      <c r="S1137" t="inlineStr">
        <is>
          <t>Bebidas Izalco</t>
        </is>
      </c>
      <c r="T1137" t="inlineStr">
        <is>
          <t>2450-7700</t>
        </is>
      </c>
      <c r="U1137" t="n">
        <v>1.1</v>
      </c>
      <c r="V1137" t="n">
        <v>4</v>
      </c>
      <c r="W1137" t="n">
        <v>0</v>
      </c>
      <c r="X1137">
        <f>IFERROR(U1137*V1137*(1-W1137/100),"")</f>
        <v/>
      </c>
      <c r="Y1137">
        <f>IFERROR(ROUND(X1137*0.13,2),"")</f>
        <v/>
      </c>
      <c r="Z1137">
        <f>IFERROR(X1137+Y1137,"")</f>
        <v/>
      </c>
      <c r="AA1137" t="inlineStr">
        <is>
          <t>Tarjeta</t>
        </is>
      </c>
      <c r="AB1137" t="inlineStr"/>
    </row>
    <row r="1138">
      <c r="A1138" t="inlineStr">
        <is>
          <t>F-11346</t>
        </is>
      </c>
      <c r="B1138" s="3" t="n">
        <v>46227</v>
      </c>
      <c r="C1138" t="inlineStr">
        <is>
          <t>factura</t>
        </is>
      </c>
      <c r="D1138" t="inlineStr">
        <is>
          <t>SS02</t>
        </is>
      </c>
      <c r="E1138" t="inlineStr">
        <is>
          <t>Escalon</t>
        </is>
      </c>
      <c r="F1138" t="inlineStr">
        <is>
          <t>Paseo General Escalón #3910</t>
        </is>
      </c>
      <c r="G1138" t="inlineStr">
        <is>
          <t>San Salvador</t>
        </is>
      </c>
      <c r="H1138" t="inlineStr">
        <is>
          <t>San Salvador</t>
        </is>
      </c>
      <c r="I1138" t="inlineStr">
        <is>
          <t>Claudia Menjívar</t>
        </is>
      </c>
      <c r="J1138" t="inlineStr">
        <is>
          <t>2264-1190</t>
        </is>
      </c>
      <c r="K1138" t="inlineStr">
        <is>
          <t>Kevin Benítez</t>
        </is>
      </c>
      <c r="L1138" t="inlineStr">
        <is>
          <t>Rosa López Castillo</t>
        </is>
      </c>
      <c r="M1138" t="inlineStr">
        <is>
          <t>09782214-9</t>
        </is>
      </c>
      <c r="N1138" t="inlineStr">
        <is>
          <t>6806-3209</t>
        </is>
      </c>
      <c r="O1138" t="inlineStr">
        <is>
          <t>Consumidor final</t>
        </is>
      </c>
      <c r="P1138" t="inlineStr">
        <is>
          <t>PAN-001</t>
        </is>
      </c>
      <c r="Q1138" t="inlineStr">
        <is>
          <t>Pan francés bolsa 10u</t>
        </is>
      </c>
      <c r="R1138" t="inlineStr">
        <is>
          <t>Panadería</t>
        </is>
      </c>
      <c r="S1138" t="inlineStr">
        <is>
          <t>Panificadora Ilopango</t>
        </is>
      </c>
      <c r="T1138" t="inlineStr">
        <is>
          <t>2295-0081</t>
        </is>
      </c>
      <c r="U1138" t="inlineStr">
        <is>
          <t>$1.00</t>
        </is>
      </c>
      <c r="V1138" t="n">
        <v>1</v>
      </c>
      <c r="W1138" t="n">
        <v>0</v>
      </c>
      <c r="X1138">
        <f>IFERROR(U1138*V1138*(1-W1138/100),"")</f>
        <v/>
      </c>
      <c r="Y1138">
        <f>IFERROR(ROUND(X1138*0.13,2),"")</f>
        <v/>
      </c>
      <c r="Z1138">
        <f>IFERROR(X1138+Y1138,"")</f>
        <v/>
      </c>
      <c r="AA1138" t="inlineStr">
        <is>
          <t>Tarjeta</t>
        </is>
      </c>
      <c r="AB1138" t="inlineStr">
        <is>
          <t>Cliente frecuente</t>
        </is>
      </c>
    </row>
    <row r="1139">
      <c r="A1139" t="inlineStr">
        <is>
          <t>F-11346</t>
        </is>
      </c>
      <c r="B1139" s="4" t="n">
        <v>46227</v>
      </c>
      <c r="C1139" t="inlineStr">
        <is>
          <t>factura</t>
        </is>
      </c>
      <c r="D1139" t="inlineStr">
        <is>
          <t>SS02</t>
        </is>
      </c>
      <c r="E1139" t="inlineStr">
        <is>
          <t>Escalon</t>
        </is>
      </c>
      <c r="F1139" t="inlineStr">
        <is>
          <t>Paseo General Escalón #3910</t>
        </is>
      </c>
      <c r="G1139" t="inlineStr">
        <is>
          <t>San Salvador</t>
        </is>
      </c>
      <c r="H1139" t="inlineStr">
        <is>
          <t>San Salvador</t>
        </is>
      </c>
      <c r="I1139" t="inlineStr">
        <is>
          <t>Claudia Menjívar</t>
        </is>
      </c>
      <c r="J1139" t="inlineStr">
        <is>
          <t>2264-1190</t>
        </is>
      </c>
      <c r="K1139" t="inlineStr">
        <is>
          <t>Kevin Benítez</t>
        </is>
      </c>
      <c r="L1139" t="inlineStr">
        <is>
          <t>Rosa López Castillo</t>
        </is>
      </c>
      <c r="M1139" t="inlineStr">
        <is>
          <t>09782214-9</t>
        </is>
      </c>
      <c r="N1139" t="inlineStr">
        <is>
          <t>6806-3209</t>
        </is>
      </c>
      <c r="O1139" t="inlineStr">
        <is>
          <t>Consumidor final</t>
        </is>
      </c>
      <c r="P1139" t="inlineStr">
        <is>
          <t>PAN-001</t>
        </is>
      </c>
      <c r="Q1139" t="inlineStr">
        <is>
          <t>Pan francés bolsa 10u</t>
        </is>
      </c>
      <c r="R1139" t="inlineStr">
        <is>
          <t>Panadería</t>
        </is>
      </c>
      <c r="S1139" t="inlineStr">
        <is>
          <t>Panificadora Ilopango</t>
        </is>
      </c>
      <c r="T1139" t="inlineStr">
        <is>
          <t>2295-0081</t>
        </is>
      </c>
      <c r="U1139" t="inlineStr">
        <is>
          <t>$1.00</t>
        </is>
      </c>
      <c r="V1139" t="n">
        <v>1</v>
      </c>
      <c r="W1139" t="n">
        <v>0</v>
      </c>
      <c r="X1139">
        <f>IFERROR(U1139*V1139*(1-W1139/100),"")</f>
        <v/>
      </c>
      <c r="Y1139">
        <f>IFERROR(ROUND(X1139*0.13,2),"")</f>
        <v/>
      </c>
      <c r="Z1139">
        <f>IFERROR(X1139+Y1139,"")</f>
        <v/>
      </c>
      <c r="AA1139" t="inlineStr">
        <is>
          <t>Tarjeta</t>
        </is>
      </c>
      <c r="AB1139" t="inlineStr">
        <is>
          <t>Cliente frecuente</t>
        </is>
      </c>
    </row>
    <row r="1140">
      <c r="A1140" t="inlineStr">
        <is>
          <t>F-11346</t>
        </is>
      </c>
      <c r="B1140" s="3" t="n">
        <v>46227</v>
      </c>
      <c r="C1140" t="inlineStr">
        <is>
          <t>factura</t>
        </is>
      </c>
      <c r="D1140" t="inlineStr"/>
      <c r="E1140" t="inlineStr">
        <is>
          <t>ESCALON</t>
        </is>
      </c>
      <c r="F1140" t="inlineStr">
        <is>
          <t>Paseo General Escalón #3910</t>
        </is>
      </c>
      <c r="G1140" t="inlineStr">
        <is>
          <t>San Salvador</t>
        </is>
      </c>
      <c r="H1140" t="inlineStr">
        <is>
          <t>San Salvador</t>
        </is>
      </c>
      <c r="I1140" t="inlineStr">
        <is>
          <t>Claudia Menjívar</t>
        </is>
      </c>
      <c r="J1140" t="inlineStr">
        <is>
          <t>2264-1190</t>
        </is>
      </c>
      <c r="K1140" t="inlineStr">
        <is>
          <t>Kevin Benítez</t>
        </is>
      </c>
      <c r="L1140" t="inlineStr">
        <is>
          <t>Rosa López Castillo</t>
        </is>
      </c>
      <c r="M1140" t="inlineStr">
        <is>
          <t>09782214-9</t>
        </is>
      </c>
      <c r="N1140" t="inlineStr">
        <is>
          <t>6806-3209</t>
        </is>
      </c>
      <c r="O1140" t="inlineStr">
        <is>
          <t>Consumidor final</t>
        </is>
      </c>
      <c r="P1140" t="inlineStr">
        <is>
          <t>HIG-002</t>
        </is>
      </c>
      <c r="Q1140" t="inlineStr">
        <is>
          <t>Papel higiénico 4 rollos</t>
        </is>
      </c>
      <c r="R1140" t="inlineStr">
        <is>
          <t>Higiene</t>
        </is>
      </c>
      <c r="S1140" t="inlineStr">
        <is>
          <t>Higiene Total C.A.</t>
        </is>
      </c>
      <c r="T1140" t="inlineStr">
        <is>
          <t>2207-5566</t>
        </is>
      </c>
      <c r="U1140" t="n">
        <v>2.15</v>
      </c>
      <c r="V1140" t="n">
        <v>2</v>
      </c>
      <c r="W1140" t="n">
        <v>0</v>
      </c>
      <c r="X1140">
        <f>IFERROR(U1140*V1140*(1-W1140/100),"")</f>
        <v/>
      </c>
      <c r="Y1140">
        <f>IFERROR(ROUND(X1140*0.13,2),"")</f>
        <v/>
      </c>
      <c r="Z1140">
        <f>IFERROR(X1140+Y1140,"")</f>
        <v/>
      </c>
      <c r="AA1140" t="inlineStr">
        <is>
          <t>Tarjeta</t>
        </is>
      </c>
      <c r="AB1140" t="inlineStr"/>
    </row>
    <row r="1141">
      <c r="A1141" t="inlineStr">
        <is>
          <t>F-11349</t>
        </is>
      </c>
      <c r="B1141" t="inlineStr">
        <is>
          <t>08/07/2026</t>
        </is>
      </c>
      <c r="C1141" t="inlineStr">
        <is>
          <t>factura</t>
        </is>
      </c>
      <c r="D1141" t="inlineStr">
        <is>
          <t>SA01</t>
        </is>
      </c>
      <c r="E1141" t="inlineStr">
        <is>
          <t>Santa  Ana</t>
        </is>
      </c>
      <c r="F1141" t="inlineStr">
        <is>
          <t>Av. Independencia Sur #12</t>
        </is>
      </c>
      <c r="G1141" t="inlineStr">
        <is>
          <t>Santa Ana</t>
        </is>
      </c>
      <c r="H1141" t="inlineStr">
        <is>
          <t>Santa Ana</t>
        </is>
      </c>
      <c r="I1141" t="inlineStr">
        <is>
          <t>Mauricio Linares</t>
        </is>
      </c>
      <c r="J1141" t="inlineStr">
        <is>
          <t>2440-9921</t>
        </is>
      </c>
      <c r="K1141" t="inlineStr">
        <is>
          <t>Diego Zelaya</t>
        </is>
      </c>
      <c r="L1141" t="inlineStr">
        <is>
          <t>Patricia Argueta Mejía</t>
        </is>
      </c>
      <c r="M1141" t="inlineStr">
        <is>
          <t>01586554-3</t>
        </is>
      </c>
      <c r="N1141" t="inlineStr">
        <is>
          <t>2105-2525</t>
        </is>
      </c>
      <c r="O1141" t="inlineStr">
        <is>
          <t>Consumidor final</t>
        </is>
      </c>
      <c r="P1141" t="inlineStr">
        <is>
          <t>HAR-001</t>
        </is>
      </c>
      <c r="Q1141" t="inlineStr">
        <is>
          <t>Harina de maíz 2lb</t>
        </is>
      </c>
      <c r="R1141" t="inlineStr">
        <is>
          <t>Abarrotes</t>
        </is>
      </c>
      <c r="S1141" t="inlineStr">
        <is>
          <t>Granos del Pacífico</t>
        </is>
      </c>
      <c r="T1141" t="inlineStr">
        <is>
          <t>2234-8890</t>
        </is>
      </c>
      <c r="U1141" t="n">
        <v>1.35</v>
      </c>
      <c r="V1141" t="n">
        <v>6</v>
      </c>
      <c r="W1141" t="n">
        <v>0</v>
      </c>
      <c r="X1141">
        <f>IFERROR(U1141*V1141*(1-W1141/100),"")</f>
        <v/>
      </c>
      <c r="Y1141">
        <f>IFERROR(ROUND(X1141*0.13,2),"")</f>
        <v/>
      </c>
      <c r="Z1141">
        <f>IFERROR(X1141+Y1141,"")</f>
        <v/>
      </c>
      <c r="AA1141" t="inlineStr">
        <is>
          <t>Tarjeta</t>
        </is>
      </c>
      <c r="AB1141" t="inlineStr">
        <is>
          <t>Cliente frecuente</t>
        </is>
      </c>
    </row>
    <row r="1142">
      <c r="A1142" t="inlineStr">
        <is>
          <t>F-11349</t>
        </is>
      </c>
      <c r="B1142" s="3" t="n">
        <v>46211</v>
      </c>
      <c r="C1142" t="inlineStr">
        <is>
          <t>factura</t>
        </is>
      </c>
      <c r="D1142" t="inlineStr">
        <is>
          <t>SA01</t>
        </is>
      </c>
      <c r="E1142" t="inlineStr">
        <is>
          <t>Santa Ana</t>
        </is>
      </c>
      <c r="F1142" t="inlineStr">
        <is>
          <t>Av. Independencia Sur #12</t>
        </is>
      </c>
      <c r="G1142" t="inlineStr">
        <is>
          <t>Santa Ana</t>
        </is>
      </c>
      <c r="H1142" t="inlineStr">
        <is>
          <t>Santa Ana</t>
        </is>
      </c>
      <c r="I1142" t="inlineStr">
        <is>
          <t>Mauricio Linares</t>
        </is>
      </c>
      <c r="J1142" t="inlineStr">
        <is>
          <t>2440-9921</t>
        </is>
      </c>
      <c r="K1142" t="inlineStr">
        <is>
          <t>Diego Zelaya</t>
        </is>
      </c>
      <c r="L1142" t="inlineStr">
        <is>
          <t>Patricia Argueta Mejía</t>
        </is>
      </c>
      <c r="M1142" t="inlineStr"/>
      <c r="N1142" t="inlineStr">
        <is>
          <t>2105-2525</t>
        </is>
      </c>
      <c r="O1142" t="inlineStr">
        <is>
          <t>Consumidor final</t>
        </is>
      </c>
      <c r="P1142" t="inlineStr">
        <is>
          <t>ARR-001</t>
        </is>
      </c>
      <c r="Q1142" t="inlineStr">
        <is>
          <t>Arroz blanco 5lb</t>
        </is>
      </c>
      <c r="R1142" t="inlineStr">
        <is>
          <t>Granos básicos</t>
        </is>
      </c>
      <c r="S1142" t="inlineStr">
        <is>
          <t>Granos del Pacífico</t>
        </is>
      </c>
      <c r="T1142" t="inlineStr">
        <is>
          <t>2234-8890</t>
        </is>
      </c>
      <c r="U1142" t="inlineStr">
        <is>
          <t>$3.95</t>
        </is>
      </c>
      <c r="V1142" t="n">
        <v>24</v>
      </c>
      <c r="W1142" t="n">
        <v>0</v>
      </c>
      <c r="X1142">
        <f>IFERROR(U1142*V1142*(1-W1142/100),"")</f>
        <v/>
      </c>
      <c r="Y1142">
        <f>IFERROR(ROUND(X1142*0.13,2),"")</f>
        <v/>
      </c>
      <c r="Z1142">
        <f>IFERROR(X1142+Y1142,"")</f>
        <v/>
      </c>
      <c r="AA1142" t="inlineStr">
        <is>
          <t>Tarjeta</t>
        </is>
      </c>
      <c r="AB1142" t="inlineStr"/>
    </row>
    <row r="1143">
      <c r="A1143" t="inlineStr">
        <is>
          <t>F-11349</t>
        </is>
      </c>
      <c r="B1143" t="inlineStr">
        <is>
          <t>08-Jul-26</t>
        </is>
      </c>
      <c r="C1143" t="inlineStr">
        <is>
          <t>factura</t>
        </is>
      </c>
      <c r="D1143" t="inlineStr">
        <is>
          <t>SA01</t>
        </is>
      </c>
      <c r="E1143" t="inlineStr">
        <is>
          <t>Santa Ana</t>
        </is>
      </c>
      <c r="F1143" t="inlineStr">
        <is>
          <t>Av. Independencia Sur #12</t>
        </is>
      </c>
      <c r="G1143" t="inlineStr">
        <is>
          <t>Santa Ana</t>
        </is>
      </c>
      <c r="H1143" t="inlineStr">
        <is>
          <t>Santa Ana</t>
        </is>
      </c>
      <c r="I1143" t="inlineStr">
        <is>
          <t>Mauricio Linares</t>
        </is>
      </c>
      <c r="J1143" t="inlineStr">
        <is>
          <t>2440-9921</t>
        </is>
      </c>
      <c r="K1143" t="inlineStr">
        <is>
          <t>Diego Zelaya</t>
        </is>
      </c>
      <c r="L1143" t="inlineStr">
        <is>
          <t>PATRICIA ARGUETA MEJÍA</t>
        </is>
      </c>
      <c r="M1143" t="inlineStr">
        <is>
          <t>01586554-3</t>
        </is>
      </c>
      <c r="N1143" t="inlineStr">
        <is>
          <t>2105-2525</t>
        </is>
      </c>
      <c r="O1143" t="inlineStr">
        <is>
          <t>Consumidor final</t>
        </is>
      </c>
      <c r="P1143" t="inlineStr">
        <is>
          <t>BEB-001</t>
        </is>
      </c>
      <c r="Q1143" t="inlineStr">
        <is>
          <t>Gaseosa 2.5L</t>
        </is>
      </c>
      <c r="R1143" t="inlineStr">
        <is>
          <t>Bebidas</t>
        </is>
      </c>
      <c r="S1143" t="inlineStr">
        <is>
          <t>Bebidas Izalco</t>
        </is>
      </c>
      <c r="T1143" t="inlineStr">
        <is>
          <t>2450-7700</t>
        </is>
      </c>
      <c r="U1143" t="n">
        <v>1.95</v>
      </c>
      <c r="V1143" t="n">
        <v>3</v>
      </c>
      <c r="W1143" t="n">
        <v>0</v>
      </c>
      <c r="X1143">
        <f>IFERROR(U1143*V1143*(1-W1143/100),"")</f>
        <v/>
      </c>
      <c r="Y1143">
        <f>IFERROR(ROUND(X1143*0.13,2),"")</f>
        <v/>
      </c>
      <c r="Z1143">
        <f>IFERROR(X1143+Y1143,"")</f>
        <v/>
      </c>
      <c r="AA1143" t="inlineStr">
        <is>
          <t>Tarjeta</t>
        </is>
      </c>
      <c r="AB1143" t="inlineStr"/>
    </row>
    <row r="1144">
      <c r="A1144" t="inlineStr">
        <is>
          <t>F-11349</t>
        </is>
      </c>
      <c r="B1144" s="3" t="n">
        <v>46211</v>
      </c>
      <c r="C1144" t="inlineStr">
        <is>
          <t>factura</t>
        </is>
      </c>
      <c r="D1144" t="inlineStr">
        <is>
          <t>SA01</t>
        </is>
      </c>
      <c r="E1144" t="inlineStr">
        <is>
          <t>STA ANA</t>
        </is>
      </c>
      <c r="F1144" t="inlineStr">
        <is>
          <t>Av. Independencia Sur #12</t>
        </is>
      </c>
      <c r="G1144" t="inlineStr">
        <is>
          <t>Santa Ana</t>
        </is>
      </c>
      <c r="H1144" t="inlineStr">
        <is>
          <t>Santa Ana</t>
        </is>
      </c>
      <c r="I1144" t="inlineStr">
        <is>
          <t>Mauricio Linares</t>
        </is>
      </c>
      <c r="J1144" t="inlineStr">
        <is>
          <t>2440-9921</t>
        </is>
      </c>
      <c r="K1144" t="inlineStr">
        <is>
          <t>Diego Zelaya</t>
        </is>
      </c>
      <c r="L1144" t="inlineStr">
        <is>
          <t>Patricia Argueta Mejía</t>
        </is>
      </c>
      <c r="M1144" t="inlineStr">
        <is>
          <t>01586554-3</t>
        </is>
      </c>
      <c r="N1144" t="inlineStr">
        <is>
          <t>2105-2525</t>
        </is>
      </c>
      <c r="O1144" t="inlineStr">
        <is>
          <t>Consumidor final</t>
        </is>
      </c>
      <c r="P1144" t="inlineStr">
        <is>
          <t>PAN-002</t>
        </is>
      </c>
      <c r="Q1144" t="inlineStr">
        <is>
          <t>Semita alta</t>
        </is>
      </c>
      <c r="R1144" t="inlineStr">
        <is>
          <t>Panadería</t>
        </is>
      </c>
      <c r="S1144" t="inlineStr">
        <is>
          <t>Panificadora Ilopango</t>
        </is>
      </c>
      <c r="T1144" t="inlineStr">
        <is>
          <t>2295-0081</t>
        </is>
      </c>
      <c r="U1144" t="n">
        <v>1.75</v>
      </c>
      <c r="V1144" t="n">
        <v>1</v>
      </c>
      <c r="W1144" t="n">
        <v>0</v>
      </c>
      <c r="X1144">
        <f>IFERROR(U1144*V1144*(1-W1144/100),"")</f>
        <v/>
      </c>
      <c r="Y1144">
        <f>IFERROR(ROUND(X1144*0.13,2),"")</f>
        <v/>
      </c>
      <c r="Z1144">
        <f>IFERROR(X1144+Y1144,"")</f>
        <v/>
      </c>
      <c r="AA1144" t="inlineStr">
        <is>
          <t>Tarjeta</t>
        </is>
      </c>
      <c r="AB1144" t="inlineStr"/>
    </row>
    <row r="1145">
      <c r="A1145" t="inlineStr">
        <is>
          <t>F-11352</t>
        </is>
      </c>
      <c r="B1145" s="3" t="n">
        <v>46269</v>
      </c>
      <c r="C1145" t="inlineStr">
        <is>
          <t>Factura</t>
        </is>
      </c>
      <c r="D1145" t="inlineStr"/>
      <c r="E1145" t="inlineStr">
        <is>
          <t>Usulutan</t>
        </is>
      </c>
      <c r="F1145" t="inlineStr">
        <is>
          <t>2a Av. Norte #9</t>
        </is>
      </c>
      <c r="G1145" t="inlineStr">
        <is>
          <t>Usulután</t>
        </is>
      </c>
      <c r="H1145" t="inlineStr">
        <is>
          <t>Usulután</t>
        </is>
      </c>
      <c r="I1145" t="inlineStr">
        <is>
          <t>Nelson Fuentes</t>
        </is>
      </c>
      <c r="J1145" t="inlineStr">
        <is>
          <t>2662-8810</t>
        </is>
      </c>
      <c r="K1145" t="inlineStr">
        <is>
          <t>Miguel Bonilla</t>
        </is>
      </c>
      <c r="L1145" t="inlineStr">
        <is>
          <t>Edwin Rivera Guevara</t>
        </is>
      </c>
      <c r="M1145" t="inlineStr">
        <is>
          <t>03840762-1</t>
        </is>
      </c>
      <c r="N1145" t="inlineStr">
        <is>
          <t>7817-8484</t>
        </is>
      </c>
      <c r="O1145" t="inlineStr">
        <is>
          <t>Consumidor final</t>
        </is>
      </c>
      <c r="P1145" t="inlineStr">
        <is>
          <t>ARR-001</t>
        </is>
      </c>
      <c r="Q1145" t="inlineStr">
        <is>
          <t>Arroz blanco 5lb</t>
        </is>
      </c>
      <c r="R1145" t="inlineStr">
        <is>
          <t>Granos básicos</t>
        </is>
      </c>
      <c r="S1145" t="inlineStr">
        <is>
          <t>Granos del Pacífico</t>
        </is>
      </c>
      <c r="T1145" t="inlineStr">
        <is>
          <t>2234-8890</t>
        </is>
      </c>
      <c r="U1145" t="n">
        <v>3.95</v>
      </c>
      <c r="V1145" t="n">
        <v>6</v>
      </c>
      <c r="W1145" t="n">
        <v>0</v>
      </c>
      <c r="X1145">
        <f>IFERROR(U1145*V1145*(1-W1145/100),"")</f>
        <v/>
      </c>
      <c r="Y1145">
        <f>IFERROR(ROUND(X1145*0.13,2),"")</f>
        <v/>
      </c>
      <c r="Z1145">
        <f>IFERROR(X1145+Y1145,"")</f>
        <v/>
      </c>
      <c r="AA1145" t="inlineStr">
        <is>
          <t>Transferencia</t>
        </is>
      </c>
      <c r="AB1145" t="inlineStr">
        <is>
          <t>entregar en bodega</t>
        </is>
      </c>
    </row>
    <row r="1146">
      <c r="A1146" t="inlineStr">
        <is>
          <t>F-11352</t>
        </is>
      </c>
      <c r="B1146" s="3" t="n">
        <v>46269</v>
      </c>
      <c r="C1146" t="inlineStr">
        <is>
          <t>Factura</t>
        </is>
      </c>
      <c r="D1146" t="inlineStr">
        <is>
          <t>US01</t>
        </is>
      </c>
      <c r="E1146" t="inlineStr">
        <is>
          <t>Usulután</t>
        </is>
      </c>
      <c r="F1146" t="inlineStr">
        <is>
          <t>2a Av. Norte #9</t>
        </is>
      </c>
      <c r="G1146" t="inlineStr">
        <is>
          <t>Usulután</t>
        </is>
      </c>
      <c r="H1146" t="inlineStr">
        <is>
          <t>Usulután</t>
        </is>
      </c>
      <c r="I1146" t="inlineStr">
        <is>
          <t>Nelson Fuentes</t>
        </is>
      </c>
      <c r="J1146" t="inlineStr">
        <is>
          <t>2662-8810</t>
        </is>
      </c>
      <c r="K1146" t="inlineStr">
        <is>
          <t>Miguel Bonilla</t>
        </is>
      </c>
      <c r="L1146" t="inlineStr">
        <is>
          <t>Edwin Rivera Guevara</t>
        </is>
      </c>
      <c r="M1146" t="inlineStr">
        <is>
          <t>03840762-1</t>
        </is>
      </c>
      <c r="N1146" t="inlineStr">
        <is>
          <t>7817-8484</t>
        </is>
      </c>
      <c r="O1146" t="inlineStr">
        <is>
          <t>Consumidor final</t>
        </is>
      </c>
      <c r="P1146" t="inlineStr">
        <is>
          <t>HIG-003</t>
        </is>
      </c>
      <c r="Q1146" t="inlineStr">
        <is>
          <t>Jabón de lavar barra</t>
        </is>
      </c>
      <c r="R1146" t="inlineStr">
        <is>
          <t>Limpieza</t>
        </is>
      </c>
      <c r="S1146" t="inlineStr">
        <is>
          <t>Higiene Total C.A.</t>
        </is>
      </c>
      <c r="T1146" t="inlineStr">
        <is>
          <t>2207-5566</t>
        </is>
      </c>
      <c r="U1146" t="n">
        <v>0.75</v>
      </c>
      <c r="V1146" t="n">
        <v>2</v>
      </c>
      <c r="W1146" t="n">
        <v>0</v>
      </c>
      <c r="X1146">
        <f>IFERROR(U1146*V1146*(1-W1146/100),"")</f>
        <v/>
      </c>
      <c r="Y1146">
        <f>IFERROR(ROUND(X1146*0.13,2),"")</f>
        <v/>
      </c>
      <c r="Z1146">
        <f>IFERROR(X1146+Y1146,"")</f>
        <v/>
      </c>
      <c r="AA1146" t="inlineStr">
        <is>
          <t>Transferencia</t>
        </is>
      </c>
      <c r="AB1146" t="inlineStr">
        <is>
          <t>precio especial autorizado por gerente</t>
        </is>
      </c>
    </row>
    <row r="1147">
      <c r="A1147" t="inlineStr">
        <is>
          <t>F-11352</t>
        </is>
      </c>
      <c r="B1147" t="inlineStr">
        <is>
          <t>2026-09-04</t>
        </is>
      </c>
      <c r="C1147" t="inlineStr">
        <is>
          <t>Factura</t>
        </is>
      </c>
      <c r="D1147" t="inlineStr">
        <is>
          <t>US01</t>
        </is>
      </c>
      <c r="E1147" t="inlineStr">
        <is>
          <t>Usulután</t>
        </is>
      </c>
      <c r="F1147" t="inlineStr">
        <is>
          <t>2a Av. Norte #9</t>
        </is>
      </c>
      <c r="G1147" t="inlineStr">
        <is>
          <t>Usulután</t>
        </is>
      </c>
      <c r="H1147" t="inlineStr">
        <is>
          <t>Usulután</t>
        </is>
      </c>
      <c r="I1147" t="inlineStr">
        <is>
          <t>Nelson Fuentes</t>
        </is>
      </c>
      <c r="J1147" t="inlineStr">
        <is>
          <t>2662-8810</t>
        </is>
      </c>
      <c r="K1147" t="inlineStr">
        <is>
          <t>Miguel Bonilla</t>
        </is>
      </c>
      <c r="L1147" t="inlineStr">
        <is>
          <t>Edwin Rivera Guevara</t>
        </is>
      </c>
      <c r="M1147" t="inlineStr">
        <is>
          <t>03840762-1</t>
        </is>
      </c>
      <c r="N1147" t="inlineStr">
        <is>
          <t>7817-8484</t>
        </is>
      </c>
      <c r="O1147" t="inlineStr">
        <is>
          <t>Consumidor final</t>
        </is>
      </c>
      <c r="P1147" t="inlineStr">
        <is>
          <t>AZU-001</t>
        </is>
      </c>
      <c r="Q1147" t="inlineStr">
        <is>
          <t>Azúcar blanca 2.5kg</t>
        </is>
      </c>
      <c r="R1147" t="inlineStr">
        <is>
          <t>Abarrotes</t>
        </is>
      </c>
      <c r="S1147" t="inlineStr">
        <is>
          <t>Granos del Pacífico</t>
        </is>
      </c>
      <c r="T1147" t="inlineStr">
        <is>
          <t>2234-8890</t>
        </is>
      </c>
      <c r="U1147" t="n">
        <v>3.1</v>
      </c>
      <c r="V1147" t="n">
        <v>1</v>
      </c>
      <c r="W1147" t="n">
        <v>0</v>
      </c>
      <c r="X1147">
        <f>IFERROR(U1147*V1147*(1-W1147/100),"")</f>
        <v/>
      </c>
      <c r="Y1147">
        <f>IFERROR(ROUND(X1147*0.13,2),"")</f>
        <v/>
      </c>
      <c r="Z1147">
        <f>IFERROR(X1147+Y1147,"")</f>
        <v/>
      </c>
      <c r="AA1147" t="inlineStr">
        <is>
          <t>Transferencia</t>
        </is>
      </c>
      <c r="AB1147" t="inlineStr"/>
    </row>
    <row r="1148">
      <c r="A1148" t="inlineStr">
        <is>
          <t>F-11352</t>
        </is>
      </c>
      <c r="B1148" s="3" t="n">
        <v>46269</v>
      </c>
      <c r="C1148" t="inlineStr">
        <is>
          <t>Factura</t>
        </is>
      </c>
      <c r="D1148" t="inlineStr">
        <is>
          <t>US01</t>
        </is>
      </c>
      <c r="E1148" t="inlineStr">
        <is>
          <t>Usulután</t>
        </is>
      </c>
      <c r="F1148" t="inlineStr">
        <is>
          <t>2a Av. Norte #9</t>
        </is>
      </c>
      <c r="G1148" t="inlineStr">
        <is>
          <t>Usulután</t>
        </is>
      </c>
      <c r="H1148" t="inlineStr">
        <is>
          <t>Usulután</t>
        </is>
      </c>
      <c r="I1148" t="inlineStr">
        <is>
          <t>Nelson Fuentes</t>
        </is>
      </c>
      <c r="J1148" t="inlineStr">
        <is>
          <t>2662-8810</t>
        </is>
      </c>
      <c r="K1148" t="inlineStr">
        <is>
          <t>Miguel Bonilla</t>
        </is>
      </c>
      <c r="L1148" t="inlineStr">
        <is>
          <t>Edwin Rivera Guevara</t>
        </is>
      </c>
      <c r="M1148" t="inlineStr"/>
      <c r="N1148" t="inlineStr">
        <is>
          <t>7817-8484</t>
        </is>
      </c>
      <c r="O1148" t="inlineStr">
        <is>
          <t>Consumidor final</t>
        </is>
      </c>
      <c r="P1148" t="inlineStr">
        <is>
          <t>CAF-002</t>
        </is>
      </c>
      <c r="Q1148" t="inlineStr">
        <is>
          <t>Café en grano 1lb</t>
        </is>
      </c>
      <c r="R1148" t="inlineStr">
        <is>
          <t>Abarrotes</t>
        </is>
      </c>
      <c r="S1148" t="inlineStr">
        <is>
          <t>Café Volcán S.A.</t>
        </is>
      </c>
      <c r="T1148" t="inlineStr">
        <is>
          <t>2510-3344</t>
        </is>
      </c>
      <c r="U1148" t="n">
        <v>6.75</v>
      </c>
      <c r="V1148" t="n">
        <v>2</v>
      </c>
      <c r="W1148" t="n">
        <v>0</v>
      </c>
      <c r="X1148">
        <f>IFERROR(U1148*V1148*(1-W1148/100),"")</f>
        <v/>
      </c>
      <c r="Y1148">
        <f>IFERROR(ROUND(X1148*0.13,2),"")</f>
        <v/>
      </c>
      <c r="Z1148">
        <f>IFERROR(X1148+Y1148,"")</f>
        <v/>
      </c>
      <c r="AA1148" t="inlineStr">
        <is>
          <t>Transferencia</t>
        </is>
      </c>
      <c r="AB1148" t="inlineStr"/>
    </row>
    <row r="1149">
      <c r="A1149" t="inlineStr">
        <is>
          <t>F-11354</t>
        </is>
      </c>
      <c r="B1149" s="3" t="n">
        <v>46287</v>
      </c>
      <c r="C1149" t="inlineStr">
        <is>
          <t>Factura</t>
        </is>
      </c>
      <c r="D1149" t="inlineStr">
        <is>
          <t>SS03</t>
        </is>
      </c>
      <c r="E1149" t="inlineStr">
        <is>
          <t xml:space="preserve">SOYAPANGO </t>
        </is>
      </c>
      <c r="F1149" t="inlineStr">
        <is>
          <t>Blvd. del Ejército km 4</t>
        </is>
      </c>
      <c r="G1149" t="inlineStr">
        <is>
          <t>Soyapango</t>
        </is>
      </c>
      <c r="H1149" t="inlineStr">
        <is>
          <t>San Salvador</t>
        </is>
      </c>
      <c r="I1149" t="inlineStr">
        <is>
          <t>Karla Henríquez</t>
        </is>
      </c>
      <c r="J1149" t="inlineStr">
        <is>
          <t>2277-3402</t>
        </is>
      </c>
      <c r="K1149" t="inlineStr">
        <is>
          <t>Carlos Molina</t>
        </is>
      </c>
      <c r="L1149" t="inlineStr">
        <is>
          <t>Rosa Argueta Alvarado</t>
        </is>
      </c>
      <c r="M1149" t="inlineStr">
        <is>
          <t>05070765-0</t>
        </is>
      </c>
      <c r="N1149" t="inlineStr">
        <is>
          <t>6692-3069</t>
        </is>
      </c>
      <c r="O1149" t="inlineStr">
        <is>
          <t>Consumidor final</t>
        </is>
      </c>
      <c r="P1149" t="inlineStr">
        <is>
          <t>HAR-001</t>
        </is>
      </c>
      <c r="Q1149" t="inlineStr">
        <is>
          <t>Harina de maíz 2lb</t>
        </is>
      </c>
      <c r="R1149" t="inlineStr">
        <is>
          <t>Abarrotes</t>
        </is>
      </c>
      <c r="S1149" t="inlineStr">
        <is>
          <t>Granos del Pacífico</t>
        </is>
      </c>
      <c r="T1149" t="inlineStr">
        <is>
          <t>2234-8890</t>
        </is>
      </c>
      <c r="U1149" t="n">
        <v>1.35</v>
      </c>
      <c r="V1149" t="n">
        <v>6</v>
      </c>
      <c r="W1149" t="n">
        <v>0</v>
      </c>
      <c r="X1149">
        <f>IFERROR(U1149*V1149*(1-W1149/100),"")</f>
        <v/>
      </c>
      <c r="Y1149">
        <f>IFERROR(ROUND(X1149*0.13,2),"")</f>
        <v/>
      </c>
      <c r="Z1149">
        <f>IFERROR(X1149+Y1149,"")</f>
        <v/>
      </c>
      <c r="AA1149" t="inlineStr">
        <is>
          <t>Transferencia</t>
        </is>
      </c>
      <c r="AB1149" t="inlineStr"/>
    </row>
    <row r="1150">
      <c r="A1150" t="inlineStr">
        <is>
          <t>F-11354</t>
        </is>
      </c>
      <c r="B1150" s="3" t="n">
        <v>46287</v>
      </c>
      <c r="C1150" t="inlineStr">
        <is>
          <t>Factura</t>
        </is>
      </c>
      <c r="D1150" t="inlineStr">
        <is>
          <t>SS03</t>
        </is>
      </c>
      <c r="E1150" t="inlineStr">
        <is>
          <t>Soyapango</t>
        </is>
      </c>
      <c r="F1150" t="inlineStr">
        <is>
          <t>Blvd. del Ejército km 4</t>
        </is>
      </c>
      <c r="G1150" t="inlineStr">
        <is>
          <t>Soyapango</t>
        </is>
      </c>
      <c r="H1150" t="inlineStr">
        <is>
          <t>San Salvador</t>
        </is>
      </c>
      <c r="I1150" t="inlineStr">
        <is>
          <t>Karla Henríquez</t>
        </is>
      </c>
      <c r="J1150" t="inlineStr">
        <is>
          <t>2277-3402</t>
        </is>
      </c>
      <c r="K1150" t="inlineStr">
        <is>
          <t>Carlos Molina</t>
        </is>
      </c>
      <c r="L1150" t="inlineStr">
        <is>
          <t>Rosa Argueta Alvarado</t>
        </is>
      </c>
      <c r="M1150" t="inlineStr">
        <is>
          <t>05070765-0</t>
        </is>
      </c>
      <c r="N1150" t="inlineStr">
        <is>
          <t>6692-3069</t>
        </is>
      </c>
      <c r="O1150" t="inlineStr">
        <is>
          <t>Consumidor final</t>
        </is>
      </c>
      <c r="P1150" t="inlineStr">
        <is>
          <t>ARR-001</t>
        </is>
      </c>
      <c r="Q1150" t="inlineStr">
        <is>
          <t>Arroz blanco 5lb</t>
        </is>
      </c>
      <c r="R1150" t="inlineStr">
        <is>
          <t>Abarrotes</t>
        </is>
      </c>
      <c r="S1150" t="inlineStr">
        <is>
          <t>Granos del Pacífico</t>
        </is>
      </c>
      <c r="T1150" t="inlineStr">
        <is>
          <t>2234-8890</t>
        </is>
      </c>
      <c r="U1150" t="n">
        <v>3.95</v>
      </c>
      <c r="V1150" t="n">
        <v>2</v>
      </c>
      <c r="W1150" t="n">
        <v>0</v>
      </c>
      <c r="X1150">
        <f>IFERROR(U1150*V1150*(1-W1150/100),"")</f>
        <v/>
      </c>
      <c r="Y1150">
        <f>IFERROR(ROUND(X1150*0.13,2),"")</f>
        <v/>
      </c>
      <c r="Z1150">
        <f>IFERROR(X1150+Y1150,"")</f>
        <v/>
      </c>
      <c r="AA1150" t="inlineStr">
        <is>
          <t>Transferencia</t>
        </is>
      </c>
      <c r="AB1150" t="inlineStr"/>
    </row>
    <row r="1151">
      <c r="A1151" t="inlineStr">
        <is>
          <t>F-11354</t>
        </is>
      </c>
      <c r="B1151" s="4" t="n">
        <v>46287</v>
      </c>
      <c r="C1151" t="inlineStr">
        <is>
          <t>Factura</t>
        </is>
      </c>
      <c r="D1151" t="inlineStr">
        <is>
          <t>SS03</t>
        </is>
      </c>
      <c r="E1151" t="inlineStr">
        <is>
          <t>Soyapango</t>
        </is>
      </c>
      <c r="F1151" t="inlineStr">
        <is>
          <t>Blvd. del Ejército km 4</t>
        </is>
      </c>
      <c r="G1151" t="inlineStr">
        <is>
          <t>Soyapango</t>
        </is>
      </c>
      <c r="H1151" t="inlineStr">
        <is>
          <t>San Salvador</t>
        </is>
      </c>
      <c r="I1151" t="inlineStr">
        <is>
          <t>Karla Henríquez</t>
        </is>
      </c>
      <c r="J1151" t="inlineStr">
        <is>
          <t>2277-3402</t>
        </is>
      </c>
      <c r="K1151" t="inlineStr">
        <is>
          <t>Carlos Molina</t>
        </is>
      </c>
      <c r="L1151" t="inlineStr">
        <is>
          <t>Rosa Argueta Alvarado</t>
        </is>
      </c>
      <c r="M1151" t="inlineStr">
        <is>
          <t>05070765-0</t>
        </is>
      </c>
      <c r="N1151" t="inlineStr">
        <is>
          <t>6692-3069</t>
        </is>
      </c>
      <c r="O1151" t="inlineStr">
        <is>
          <t>Consumidor final</t>
        </is>
      </c>
      <c r="P1151" t="inlineStr">
        <is>
          <t>ARR-001</t>
        </is>
      </c>
      <c r="Q1151" t="inlineStr">
        <is>
          <t>Arroz blanco 5lb</t>
        </is>
      </c>
      <c r="R1151" t="inlineStr">
        <is>
          <t>Abarrotes</t>
        </is>
      </c>
      <c r="S1151" t="inlineStr">
        <is>
          <t>Granos del Pacífico</t>
        </is>
      </c>
      <c r="T1151" t="inlineStr">
        <is>
          <t>2234-8890</t>
        </is>
      </c>
      <c r="U1151" t="n">
        <v>3.95</v>
      </c>
      <c r="V1151" t="n">
        <v>2</v>
      </c>
      <c r="W1151" t="n">
        <v>0</v>
      </c>
      <c r="X1151">
        <f>IFERROR(U1151*V1151*(1-W1151/100),"")</f>
        <v/>
      </c>
      <c r="Y1151">
        <f>IFERROR(ROUND(X1151*0.13,2),"")</f>
        <v/>
      </c>
      <c r="Z1151">
        <f>IFERROR(X1151+Y1151,"")</f>
        <v/>
      </c>
      <c r="AA1151" t="inlineStr">
        <is>
          <t>Transferencia</t>
        </is>
      </c>
      <c r="AB1151" t="inlineStr"/>
    </row>
    <row r="1152">
      <c r="A1152" t="inlineStr">
        <is>
          <t>F-11354</t>
        </is>
      </c>
      <c r="B1152" s="3" t="n">
        <v>46287</v>
      </c>
      <c r="C1152" t="inlineStr">
        <is>
          <t>Factura</t>
        </is>
      </c>
      <c r="D1152" t="inlineStr">
        <is>
          <t>SS03</t>
        </is>
      </c>
      <c r="E1152" t="inlineStr">
        <is>
          <t>Soyapango</t>
        </is>
      </c>
      <c r="F1152" t="inlineStr">
        <is>
          <t>Blvd. del Ejército km 4</t>
        </is>
      </c>
      <c r="G1152" t="inlineStr">
        <is>
          <t>Soyapango</t>
        </is>
      </c>
      <c r="H1152" t="inlineStr">
        <is>
          <t>San Salvador</t>
        </is>
      </c>
      <c r="I1152" t="inlineStr">
        <is>
          <t>Karla Henríquez</t>
        </is>
      </c>
      <c r="J1152" t="inlineStr">
        <is>
          <t>2277-3402</t>
        </is>
      </c>
      <c r="K1152" t="inlineStr">
        <is>
          <t>Carlos Molina</t>
        </is>
      </c>
      <c r="L1152" t="inlineStr">
        <is>
          <t>Rosa Argueta Alvarado</t>
        </is>
      </c>
      <c r="M1152" t="inlineStr">
        <is>
          <t>05070765-0</t>
        </is>
      </c>
      <c r="N1152" t="inlineStr">
        <is>
          <t>6692-3069</t>
        </is>
      </c>
      <c r="O1152" t="inlineStr">
        <is>
          <t>Consumidor final</t>
        </is>
      </c>
      <c r="P1152" t="inlineStr">
        <is>
          <t>PAN-002</t>
        </is>
      </c>
      <c r="Q1152" t="inlineStr">
        <is>
          <t>Semita alta</t>
        </is>
      </c>
      <c r="R1152" t="inlineStr">
        <is>
          <t>Panadería</t>
        </is>
      </c>
      <c r="S1152" t="inlineStr">
        <is>
          <t>Panificadora Ilopango</t>
        </is>
      </c>
      <c r="T1152" t="inlineStr">
        <is>
          <t>2295-0081</t>
        </is>
      </c>
      <c r="U1152" t="n">
        <v>1.75</v>
      </c>
      <c r="V1152" t="n">
        <v>2</v>
      </c>
      <c r="W1152" t="n">
        <v>0</v>
      </c>
      <c r="X1152">
        <f>IFERROR(U1152*V1152*(1-W1152/100),"")</f>
        <v/>
      </c>
      <c r="Y1152">
        <f>IFERROR(ROUND(X1152*0.13,2),"")</f>
        <v/>
      </c>
      <c r="Z1152">
        <f>IFERROR(X1152+Y1152,"")</f>
        <v/>
      </c>
      <c r="AA1152" t="inlineStr">
        <is>
          <t>Transferencia</t>
        </is>
      </c>
      <c r="AB1152" t="inlineStr">
        <is>
          <t>precio especial autorizado por gerente</t>
        </is>
      </c>
    </row>
    <row r="1153">
      <c r="A1153" t="inlineStr">
        <is>
          <t>F-11354</t>
        </is>
      </c>
      <c r="B1153" s="3" t="n">
        <v>46287</v>
      </c>
      <c r="C1153" t="inlineStr">
        <is>
          <t>Factura</t>
        </is>
      </c>
      <c r="D1153" t="inlineStr">
        <is>
          <t>SS03</t>
        </is>
      </c>
      <c r="E1153" t="inlineStr">
        <is>
          <t xml:space="preserve">SOYAPANGO </t>
        </is>
      </c>
      <c r="F1153" t="inlineStr">
        <is>
          <t>Blvd. del Ejército km 4</t>
        </is>
      </c>
      <c r="G1153" t="inlineStr">
        <is>
          <t>Soyapango</t>
        </is>
      </c>
      <c r="H1153" t="inlineStr">
        <is>
          <t>San Salvador</t>
        </is>
      </c>
      <c r="I1153" t="inlineStr">
        <is>
          <t>Karla Henríquez</t>
        </is>
      </c>
      <c r="J1153" t="inlineStr">
        <is>
          <t>2277-3402</t>
        </is>
      </c>
      <c r="K1153" t="inlineStr">
        <is>
          <t>Carlos Molina</t>
        </is>
      </c>
      <c r="L1153" t="inlineStr">
        <is>
          <t>Rosa Argueta Alvarado</t>
        </is>
      </c>
      <c r="M1153" t="inlineStr">
        <is>
          <t>05070765-0</t>
        </is>
      </c>
      <c r="N1153" t="inlineStr">
        <is>
          <t>6692-3069</t>
        </is>
      </c>
      <c r="O1153" t="inlineStr">
        <is>
          <t>Consumidor final</t>
        </is>
      </c>
      <c r="P1153" t="inlineStr">
        <is>
          <t>HIG-002</t>
        </is>
      </c>
      <c r="Q1153" t="inlineStr">
        <is>
          <t>Papel higiénico 4 rollos</t>
        </is>
      </c>
      <c r="R1153" t="inlineStr">
        <is>
          <t>Higiene</t>
        </is>
      </c>
      <c r="S1153" t="inlineStr">
        <is>
          <t>Higiene Total C.A.</t>
        </is>
      </c>
      <c r="T1153" t="inlineStr">
        <is>
          <t>2207-5566</t>
        </is>
      </c>
      <c r="U1153" t="inlineStr">
        <is>
          <t>$2.15</t>
        </is>
      </c>
      <c r="V1153" t="n">
        <v>24</v>
      </c>
      <c r="W1153" t="n">
        <v>0</v>
      </c>
      <c r="X1153">
        <f>IFERROR(U1153*V1153*(1-W1153/100),"")</f>
        <v/>
      </c>
      <c r="Y1153">
        <f>IFERROR(ROUND(X1153*0.13,2),"")</f>
        <v/>
      </c>
      <c r="Z1153">
        <f>IFERROR(X1153+Y1153,"")</f>
        <v/>
      </c>
      <c r="AA1153" t="inlineStr">
        <is>
          <t>Transferencia</t>
        </is>
      </c>
      <c r="AB1153" t="inlineStr">
        <is>
          <t>entregar en bodega</t>
        </is>
      </c>
    </row>
    <row r="1154">
      <c r="A1154" t="inlineStr">
        <is>
          <t>F-11355</t>
        </is>
      </c>
      <c r="B1154" s="3" t="n">
        <v>46249</v>
      </c>
      <c r="C1154" t="inlineStr">
        <is>
          <t>FCF</t>
        </is>
      </c>
      <c r="D1154" t="inlineStr">
        <is>
          <t>SS03</t>
        </is>
      </c>
      <c r="E1154" t="inlineStr">
        <is>
          <t>Soyapango</t>
        </is>
      </c>
      <c r="F1154" t="inlineStr">
        <is>
          <t>Blvd. del Ejército km 4</t>
        </is>
      </c>
      <c r="G1154" t="inlineStr">
        <is>
          <t>Soyapango</t>
        </is>
      </c>
      <c r="H1154" t="inlineStr">
        <is>
          <t>San Salvador</t>
        </is>
      </c>
      <c r="I1154" t="inlineStr">
        <is>
          <t>Karla Henríquez</t>
        </is>
      </c>
      <c r="J1154" t="inlineStr">
        <is>
          <t>2277-3402</t>
        </is>
      </c>
      <c r="K1154" t="inlineStr">
        <is>
          <t>Carlos Molina</t>
        </is>
      </c>
      <c r="L1154" t="inlineStr">
        <is>
          <t>Silvia Mejía Sorto</t>
        </is>
      </c>
      <c r="M1154" t="inlineStr">
        <is>
          <t>08942439-6</t>
        </is>
      </c>
      <c r="N1154" t="inlineStr">
        <is>
          <t>2492-5995</t>
        </is>
      </c>
      <c r="O1154" t="inlineStr">
        <is>
          <t>Consumidor final</t>
        </is>
      </c>
      <c r="P1154" t="inlineStr">
        <is>
          <t>HAR-001</t>
        </is>
      </c>
      <c r="Q1154" t="inlineStr">
        <is>
          <t>Harina de maíz 2lb</t>
        </is>
      </c>
      <c r="R1154" t="inlineStr">
        <is>
          <t>Abarrotes</t>
        </is>
      </c>
      <c r="S1154" t="inlineStr">
        <is>
          <t>Granos del Pacífico</t>
        </is>
      </c>
      <c r="T1154" t="inlineStr">
        <is>
          <t>2234-8890</t>
        </is>
      </c>
      <c r="U1154" t="n">
        <v>1.35</v>
      </c>
      <c r="V1154" t="n">
        <v>24</v>
      </c>
      <c r="W1154" t="n">
        <v>0</v>
      </c>
      <c r="X1154">
        <f>IFERROR(U1154*V1154*(1-W1154/100),"")</f>
        <v/>
      </c>
      <c r="Y1154">
        <f>IFERROR(ROUND(X1154*0.13,2),"")</f>
        <v/>
      </c>
      <c r="Z1154">
        <f>IFERROR(X1154+Y1154,"")</f>
        <v/>
      </c>
      <c r="AA1154" t="inlineStr">
        <is>
          <t>Transferencia</t>
        </is>
      </c>
      <c r="AB1154" t="inlineStr">
        <is>
          <t>Cliente frecuente</t>
        </is>
      </c>
    </row>
    <row r="1155">
      <c r="A1155" t="inlineStr">
        <is>
          <t>F-11357</t>
        </is>
      </c>
      <c r="B1155" s="3" t="n">
        <v>46273</v>
      </c>
      <c r="C1155" t="inlineStr">
        <is>
          <t>Factura</t>
        </is>
      </c>
      <c r="D1155" t="inlineStr">
        <is>
          <t>SO01</t>
        </is>
      </c>
      <c r="E1155" t="inlineStr">
        <is>
          <t>Sonsonate</t>
        </is>
      </c>
      <c r="F1155" t="inlineStr">
        <is>
          <t>Calle Obispo Marroquín #3</t>
        </is>
      </c>
      <c r="G1155" t="inlineStr">
        <is>
          <t>Sonsonate</t>
        </is>
      </c>
      <c r="H1155" t="inlineStr">
        <is>
          <t>Sonsonate</t>
        </is>
      </c>
      <c r="I1155" t="inlineStr">
        <is>
          <t>Ernesto Chávez</t>
        </is>
      </c>
      <c r="J1155" t="inlineStr">
        <is>
          <t>2451-2288</t>
        </is>
      </c>
      <c r="K1155" t="inlineStr">
        <is>
          <t>Ricardo Funes</t>
        </is>
      </c>
      <c r="L1155" t="inlineStr">
        <is>
          <t>Mario Lemus Flores</t>
        </is>
      </c>
      <c r="M1155" t="inlineStr"/>
      <c r="N1155" t="inlineStr">
        <is>
          <t>6555-2967</t>
        </is>
      </c>
      <c r="O1155" t="inlineStr">
        <is>
          <t>Consumidor final</t>
        </is>
      </c>
      <c r="P1155" t="inlineStr">
        <is>
          <t>PAN-002</t>
        </is>
      </c>
      <c r="Q1155" t="inlineStr">
        <is>
          <t>Semita alta</t>
        </is>
      </c>
      <c r="R1155" t="inlineStr">
        <is>
          <t>Panadería</t>
        </is>
      </c>
      <c r="S1155" t="inlineStr">
        <is>
          <t>Panificadora Ilopango</t>
        </is>
      </c>
      <c r="T1155" t="inlineStr">
        <is>
          <t>2295-0081</t>
        </is>
      </c>
      <c r="U1155" t="inlineStr">
        <is>
          <t>1,75</t>
        </is>
      </c>
      <c r="V1155" t="n">
        <v>6</v>
      </c>
      <c r="W1155" t="n">
        <v>0</v>
      </c>
      <c r="X1155">
        <f>IFERROR(U1155*V1155*(1-W1155/100),"")</f>
        <v/>
      </c>
      <c r="Y1155">
        <f>IFERROR(ROUND(X1155*0.13,2),"")</f>
        <v/>
      </c>
      <c r="Z1155">
        <f>IFERROR(X1155+Y1155,"")</f>
        <v/>
      </c>
      <c r="AA1155" t="inlineStr">
        <is>
          <t>Efectivo</t>
        </is>
      </c>
      <c r="AB1155" t="inlineStr"/>
    </row>
    <row r="1156">
      <c r="A1156" t="inlineStr">
        <is>
          <t>F-11359</t>
        </is>
      </c>
      <c r="B1156" s="3" t="n">
        <v>46254</v>
      </c>
      <c r="C1156" t="inlineStr">
        <is>
          <t>factura</t>
        </is>
      </c>
      <c r="D1156" t="inlineStr">
        <is>
          <t>SS01</t>
        </is>
      </c>
      <c r="E1156" t="inlineStr">
        <is>
          <t xml:space="preserve">san salvador centro </t>
        </is>
      </c>
      <c r="F1156" t="inlineStr">
        <is>
          <t>4a Calle Poniente #215</t>
        </is>
      </c>
      <c r="G1156" t="inlineStr">
        <is>
          <t>San Salvador</t>
        </is>
      </c>
      <c r="H1156" t="inlineStr">
        <is>
          <t>San Salvador</t>
        </is>
      </c>
      <c r="I1156" t="inlineStr">
        <is>
          <t>Roberto Alfaro</t>
        </is>
      </c>
      <c r="J1156" t="inlineStr">
        <is>
          <t>2221-4580</t>
        </is>
      </c>
      <c r="K1156" t="inlineStr">
        <is>
          <t>José Martínez</t>
        </is>
      </c>
      <c r="L1156" t="inlineStr">
        <is>
          <t>Douglas Hernández García</t>
        </is>
      </c>
      <c r="M1156" t="inlineStr">
        <is>
          <t>02719991-9</t>
        </is>
      </c>
      <c r="N1156" t="inlineStr">
        <is>
          <t>2221-1611</t>
        </is>
      </c>
      <c r="O1156" t="inlineStr">
        <is>
          <t>Consumidor final</t>
        </is>
      </c>
      <c r="P1156" t="inlineStr">
        <is>
          <t>ARR-001</t>
        </is>
      </c>
      <c r="Q1156" t="inlineStr">
        <is>
          <t>Arroz blanco 5lb</t>
        </is>
      </c>
      <c r="R1156" t="inlineStr">
        <is>
          <t>Granos básicos</t>
        </is>
      </c>
      <c r="S1156" t="inlineStr">
        <is>
          <t>Granos del Pacífico</t>
        </is>
      </c>
      <c r="T1156" t="inlineStr">
        <is>
          <t>2234-8890</t>
        </is>
      </c>
      <c r="U1156" t="n">
        <v>3.95</v>
      </c>
      <c r="V1156" t="n">
        <v>1</v>
      </c>
      <c r="W1156" t="n">
        <v>0</v>
      </c>
      <c r="X1156">
        <f>IFERROR(U1156*V1156*(1-W1156/100),"")</f>
        <v/>
      </c>
      <c r="Y1156">
        <f>IFERROR(ROUND(X1156*0.13,2),"")</f>
        <v/>
      </c>
      <c r="Z1156">
        <f>IFERROR(X1156+Y1156,"")</f>
        <v/>
      </c>
      <c r="AA1156" t="inlineStr">
        <is>
          <t>efectivo</t>
        </is>
      </c>
      <c r="AB1156" t="inlineStr"/>
    </row>
    <row r="1157">
      <c r="A1157" t="inlineStr">
        <is>
          <t>11359</t>
        </is>
      </c>
      <c r="B1157" t="inlineStr">
        <is>
          <t>20/08/2026</t>
        </is>
      </c>
      <c r="C1157" t="inlineStr">
        <is>
          <t>factura</t>
        </is>
      </c>
      <c r="D1157" t="inlineStr">
        <is>
          <t>SS01</t>
        </is>
      </c>
      <c r="E1157" t="inlineStr">
        <is>
          <t>SAN SALVADOR CENTRO</t>
        </is>
      </c>
      <c r="F1157" t="inlineStr">
        <is>
          <t>4a Calle Poniente #215</t>
        </is>
      </c>
      <c r="G1157" t="inlineStr">
        <is>
          <t>San Salvador</t>
        </is>
      </c>
      <c r="H1157" t="inlineStr">
        <is>
          <t>San Salvador</t>
        </is>
      </c>
      <c r="I1157" t="inlineStr">
        <is>
          <t>Roberto Alfaro</t>
        </is>
      </c>
      <c r="J1157" t="inlineStr">
        <is>
          <t>2221-4580</t>
        </is>
      </c>
      <c r="K1157" t="inlineStr">
        <is>
          <t>José Martínez</t>
        </is>
      </c>
      <c r="L1157" t="inlineStr">
        <is>
          <t>Douglas Hernández García</t>
        </is>
      </c>
      <c r="M1157" t="inlineStr">
        <is>
          <t>02719991-9</t>
        </is>
      </c>
      <c r="N1157" t="inlineStr">
        <is>
          <t>2221-1611</t>
        </is>
      </c>
      <c r="O1157" t="inlineStr">
        <is>
          <t>Consumidor final</t>
        </is>
      </c>
      <c r="P1157" t="inlineStr">
        <is>
          <t>FRI-001</t>
        </is>
      </c>
      <c r="Q1157" t="inlineStr">
        <is>
          <t>Frijol rojo de seda 2lb</t>
        </is>
      </c>
      <c r="R1157" t="inlineStr">
        <is>
          <t>Abarrotes</t>
        </is>
      </c>
      <c r="S1157" t="inlineStr">
        <is>
          <t>Granos del Pacífico</t>
        </is>
      </c>
      <c r="T1157" t="inlineStr">
        <is>
          <t>2234-8890</t>
        </is>
      </c>
      <c r="U1157" t="n">
        <v>2.4</v>
      </c>
      <c r="V1157" t="n">
        <v>4</v>
      </c>
      <c r="W1157" t="n">
        <v>0</v>
      </c>
      <c r="X1157">
        <f>IFERROR(U1157*V1157*(1-W1157/100),"")</f>
        <v/>
      </c>
      <c r="Y1157">
        <f>IFERROR(ROUND(X1157*0.13,2),"")</f>
        <v/>
      </c>
      <c r="Z1157">
        <f>IFERROR(X1157+Y1157,"")</f>
        <v/>
      </c>
      <c r="AA1157" t="inlineStr">
        <is>
          <t>efectivo</t>
        </is>
      </c>
      <c r="AB1157" t="inlineStr">
        <is>
          <t>Llamar al 7788-1234 antes de entregar</t>
        </is>
      </c>
    </row>
    <row r="1158">
      <c r="A1158" t="inlineStr">
        <is>
          <t>F-11362</t>
        </is>
      </c>
      <c r="B1158" s="3" t="n">
        <v>46267</v>
      </c>
      <c r="C1158" t="inlineStr">
        <is>
          <t>FCF</t>
        </is>
      </c>
      <c r="D1158" t="inlineStr">
        <is>
          <t>SA01</t>
        </is>
      </c>
      <c r="E1158" t="inlineStr">
        <is>
          <t>Santa Ana</t>
        </is>
      </c>
      <c r="F1158" t="inlineStr">
        <is>
          <t>Av. Independencia Sur #12</t>
        </is>
      </c>
      <c r="G1158" t="inlineStr">
        <is>
          <t>Santa Ana</t>
        </is>
      </c>
      <c r="H1158" t="inlineStr">
        <is>
          <t>Santa Ana</t>
        </is>
      </c>
      <c r="I1158" t="inlineStr">
        <is>
          <t>Verónica Sandoval</t>
        </is>
      </c>
      <c r="J1158" t="inlineStr">
        <is>
          <t>2440-9921</t>
        </is>
      </c>
      <c r="K1158" t="inlineStr">
        <is>
          <t>Sofía Cáceres</t>
        </is>
      </c>
      <c r="L1158" t="inlineStr">
        <is>
          <t>RENÉ CORNEJO CORNEJO</t>
        </is>
      </c>
      <c r="M1158" t="inlineStr">
        <is>
          <t>03632979-1</t>
        </is>
      </c>
      <c r="N1158" t="inlineStr">
        <is>
          <t>7833-5595</t>
        </is>
      </c>
      <c r="O1158" t="inlineStr">
        <is>
          <t>Consumidor final</t>
        </is>
      </c>
      <c r="P1158" t="inlineStr">
        <is>
          <t>BEB-002</t>
        </is>
      </c>
      <c r="Q1158" t="inlineStr">
        <is>
          <t>Agua purificada 1 galón</t>
        </is>
      </c>
      <c r="R1158" t="inlineStr">
        <is>
          <t>Bebidas</t>
        </is>
      </c>
      <c r="S1158" t="inlineStr">
        <is>
          <t>Bebidas Izalco</t>
        </is>
      </c>
      <c r="T1158" t="inlineStr">
        <is>
          <t>2450-7700</t>
        </is>
      </c>
      <c r="U1158" t="n">
        <v>1.1</v>
      </c>
      <c r="V1158" t="n">
        <v>4</v>
      </c>
      <c r="W1158" t="n">
        <v>0</v>
      </c>
      <c r="X1158">
        <f>IFERROR(U1158*V1158*(1-W1158/100),"")</f>
        <v/>
      </c>
      <c r="Y1158">
        <f>IFERROR(ROUND(X1158*0.13,2),"")</f>
        <v/>
      </c>
      <c r="Z1158">
        <f>IFERROR(X1158+Y1158,"")</f>
        <v/>
      </c>
      <c r="AA1158" t="inlineStr">
        <is>
          <t>efectivo</t>
        </is>
      </c>
      <c r="AB1158" t="inlineStr">
        <is>
          <t>Llamar al 7788-1234 antes de entregar</t>
        </is>
      </c>
    </row>
    <row r="1159">
      <c r="A1159" t="inlineStr">
        <is>
          <t>F-11362</t>
        </is>
      </c>
      <c r="B1159" s="3" t="n">
        <v>46267</v>
      </c>
      <c r="C1159" t="inlineStr">
        <is>
          <t>FCF</t>
        </is>
      </c>
      <c r="D1159" t="inlineStr">
        <is>
          <t>SA01</t>
        </is>
      </c>
      <c r="E1159" t="inlineStr">
        <is>
          <t>Santa  Ana</t>
        </is>
      </c>
      <c r="F1159" t="inlineStr">
        <is>
          <t>Av. Independencia Sur #12</t>
        </is>
      </c>
      <c r="G1159" t="inlineStr">
        <is>
          <t>Santa Ana</t>
        </is>
      </c>
      <c r="H1159" t="inlineStr">
        <is>
          <t>Santa Ana</t>
        </is>
      </c>
      <c r="I1159" t="inlineStr">
        <is>
          <t>Verónica Sandoval</t>
        </is>
      </c>
      <c r="J1159" t="inlineStr">
        <is>
          <t>2440-9921</t>
        </is>
      </c>
      <c r="K1159" t="inlineStr">
        <is>
          <t>Sofía Cáceres</t>
        </is>
      </c>
      <c r="L1159" t="inlineStr">
        <is>
          <t>René Cornejo Cornejo</t>
        </is>
      </c>
      <c r="M1159" t="inlineStr">
        <is>
          <t>03632979-1</t>
        </is>
      </c>
      <c r="N1159" t="inlineStr">
        <is>
          <t>7833-5595</t>
        </is>
      </c>
      <c r="O1159" t="inlineStr">
        <is>
          <t>Consumidor final</t>
        </is>
      </c>
      <c r="P1159" t="inlineStr">
        <is>
          <t>BEB-003</t>
        </is>
      </c>
      <c r="Q1159" t="inlineStr">
        <is>
          <t>Horchata en polvo 400g</t>
        </is>
      </c>
      <c r="R1159" t="inlineStr">
        <is>
          <t>Abarrotes</t>
        </is>
      </c>
      <c r="S1159" t="inlineStr">
        <is>
          <t>Bebidas Izalco</t>
        </is>
      </c>
      <c r="T1159" t="inlineStr">
        <is>
          <t>2450-7700</t>
        </is>
      </c>
      <c r="U1159" t="n">
        <v>2.6</v>
      </c>
      <c r="V1159" t="n">
        <v>2</v>
      </c>
      <c r="W1159" t="n">
        <v>0</v>
      </c>
      <c r="X1159">
        <f>IFERROR(U1159*V1159*(1-W1159/100),"")</f>
        <v/>
      </c>
      <c r="Y1159">
        <f>IFERROR(ROUND(X1159*0.13,2),"")</f>
        <v/>
      </c>
      <c r="Z1159">
        <f>IFERROR(X1159+Y1159,"")</f>
        <v/>
      </c>
      <c r="AA1159" t="inlineStr">
        <is>
          <t>efectivo</t>
        </is>
      </c>
      <c r="AB1159" t="inlineStr">
        <is>
          <t>Cliente frecuente</t>
        </is>
      </c>
    </row>
    <row r="1160">
      <c r="A1160" t="inlineStr">
        <is>
          <t>F-11364</t>
        </is>
      </c>
      <c r="B1160" s="3" t="n">
        <v>46253</v>
      </c>
      <c r="C1160" t="inlineStr">
        <is>
          <t>factura</t>
        </is>
      </c>
      <c r="D1160" t="inlineStr">
        <is>
          <t>LL01</t>
        </is>
      </c>
      <c r="E1160" t="inlineStr">
        <is>
          <t>SANTA TECLA</t>
        </is>
      </c>
      <c r="F1160" t="inlineStr">
        <is>
          <t>Calle Daniel Hernández #18</t>
        </is>
      </c>
      <c r="G1160" t="inlineStr">
        <is>
          <t>Santa Tecla</t>
        </is>
      </c>
      <c r="H1160" t="inlineStr">
        <is>
          <t>La Libertad</t>
        </is>
      </c>
      <c r="I1160" t="inlineStr">
        <is>
          <t>Óscar Rivas</t>
        </is>
      </c>
      <c r="J1160" t="inlineStr">
        <is>
          <t>2228-7731</t>
        </is>
      </c>
      <c r="K1160" t="inlineStr">
        <is>
          <t>Luis Escobar</t>
        </is>
      </c>
      <c r="L1160" t="inlineStr">
        <is>
          <t>Carlos Mejía García</t>
        </is>
      </c>
      <c r="M1160" t="inlineStr">
        <is>
          <t>07315753-2</t>
        </is>
      </c>
      <c r="N1160" t="inlineStr">
        <is>
          <t>2800-1990</t>
        </is>
      </c>
      <c r="O1160" t="inlineStr">
        <is>
          <t>Consumidor final</t>
        </is>
      </c>
      <c r="P1160" t="inlineStr">
        <is>
          <t>BEB-002</t>
        </is>
      </c>
      <c r="Q1160" t="inlineStr">
        <is>
          <t>Agua purificada 1 galón</t>
        </is>
      </c>
      <c r="R1160" t="inlineStr">
        <is>
          <t>Bebidas</t>
        </is>
      </c>
      <c r="S1160" t="inlineStr">
        <is>
          <t>Bebidas Izalco</t>
        </is>
      </c>
      <c r="T1160" t="inlineStr">
        <is>
          <t>2450-7700</t>
        </is>
      </c>
      <c r="U1160" t="n">
        <v>1.1</v>
      </c>
      <c r="V1160" t="n">
        <v>1</v>
      </c>
      <c r="W1160" t="n">
        <v>0</v>
      </c>
      <c r="X1160">
        <f>IFERROR(U1160*V1160*(1-W1160/100),"")</f>
        <v/>
      </c>
      <c r="Y1160">
        <f>IFERROR(ROUND(X1160*0.13,2),"")</f>
        <v/>
      </c>
      <c r="Z1160">
        <f>IFERROR(X1160+Y1160,"")</f>
        <v/>
      </c>
      <c r="AA1160" t="inlineStr">
        <is>
          <t>Tarjeta</t>
        </is>
      </c>
      <c r="AB1160" t="inlineStr">
        <is>
          <t>pagó con billete de $100</t>
        </is>
      </c>
    </row>
    <row r="1161">
      <c r="A1161" t="inlineStr">
        <is>
          <t>F-11364</t>
        </is>
      </c>
      <c r="B1161" s="3" t="n">
        <v>46253</v>
      </c>
      <c r="C1161" t="inlineStr">
        <is>
          <t>factura</t>
        </is>
      </c>
      <c r="D1161" t="inlineStr">
        <is>
          <t>LL01</t>
        </is>
      </c>
      <c r="E1161" t="inlineStr">
        <is>
          <t>Santa Tecla</t>
        </is>
      </c>
      <c r="F1161" t="inlineStr">
        <is>
          <t>Calle Daniel Hernández #18</t>
        </is>
      </c>
      <c r="G1161" t="inlineStr">
        <is>
          <t>Santa Tecla</t>
        </is>
      </c>
      <c r="H1161" t="inlineStr">
        <is>
          <t>La Libertad</t>
        </is>
      </c>
      <c r="I1161" t="inlineStr">
        <is>
          <t>Óscar Rivas</t>
        </is>
      </c>
      <c r="J1161" t="inlineStr">
        <is>
          <t>2228-7731</t>
        </is>
      </c>
      <c r="K1161" t="inlineStr">
        <is>
          <t>Luis Escobar</t>
        </is>
      </c>
      <c r="L1161" t="inlineStr">
        <is>
          <t>Carlos Mejía García</t>
        </is>
      </c>
      <c r="M1161" t="inlineStr">
        <is>
          <t>07315753-2</t>
        </is>
      </c>
      <c r="N1161" t="inlineStr">
        <is>
          <t>2800-1990</t>
        </is>
      </c>
      <c r="O1161" t="inlineStr">
        <is>
          <t>Consumidor final</t>
        </is>
      </c>
      <c r="P1161" t="inlineStr">
        <is>
          <t>PAN-003</t>
        </is>
      </c>
      <c r="Q1161" t="inlineStr">
        <is>
          <t>Quesadilla salvadoreña</t>
        </is>
      </c>
      <c r="R1161" t="inlineStr">
        <is>
          <t>PANADERIA</t>
        </is>
      </c>
      <c r="S1161" t="inlineStr">
        <is>
          <t>Panificadora Ilopango</t>
        </is>
      </c>
      <c r="T1161" t="inlineStr">
        <is>
          <t>2295-0081</t>
        </is>
      </c>
      <c r="U1161" t="inlineStr">
        <is>
          <t>2,50</t>
        </is>
      </c>
      <c r="V1161" t="n">
        <v>4</v>
      </c>
      <c r="W1161" t="n">
        <v>0</v>
      </c>
      <c r="X1161">
        <f>IFERROR(U1161*V1161*(1-W1161/100),"")</f>
        <v/>
      </c>
      <c r="Y1161">
        <f>IFERROR(ROUND(X1161*0.13,2),"")</f>
        <v/>
      </c>
      <c r="Z1161">
        <f>IFERROR(X1161+Y1161,"")</f>
        <v/>
      </c>
      <c r="AA1161" t="inlineStr">
        <is>
          <t>Tarjeta</t>
        </is>
      </c>
      <c r="AB1161" t="inlineStr"/>
    </row>
    <row r="1162">
      <c r="A1162" t="inlineStr">
        <is>
          <t>F-11366</t>
        </is>
      </c>
      <c r="B1162" t="inlineStr">
        <is>
          <t>2026-09-04</t>
        </is>
      </c>
      <c r="C1162" t="inlineStr">
        <is>
          <t>Factura</t>
        </is>
      </c>
      <c r="D1162" t="inlineStr">
        <is>
          <t>LL01</t>
        </is>
      </c>
      <c r="E1162" t="inlineStr">
        <is>
          <t>Sta. Tecla</t>
        </is>
      </c>
      <c r="F1162" t="inlineStr">
        <is>
          <t>Calle Daniel Hernández #18</t>
        </is>
      </c>
      <c r="G1162" t="inlineStr">
        <is>
          <t>Santa Tecla</t>
        </is>
      </c>
      <c r="H1162" t="inlineStr">
        <is>
          <t>La Libertad</t>
        </is>
      </c>
      <c r="I1162" t="inlineStr">
        <is>
          <t>Óscar Rivas</t>
        </is>
      </c>
      <c r="J1162" t="inlineStr">
        <is>
          <t>2228-7731</t>
        </is>
      </c>
      <c r="K1162" t="inlineStr">
        <is>
          <t>Andrea Pineda</t>
        </is>
      </c>
      <c r="L1162" t="inlineStr">
        <is>
          <t>Edwin Alvarado García</t>
        </is>
      </c>
      <c r="M1162" t="inlineStr">
        <is>
          <t>03264621-6</t>
        </is>
      </c>
      <c r="N1162" t="inlineStr">
        <is>
          <t>2560-1229</t>
        </is>
      </c>
      <c r="O1162" t="inlineStr">
        <is>
          <t>Consumidor final</t>
        </is>
      </c>
      <c r="P1162" t="inlineStr">
        <is>
          <t>LAC-002</t>
        </is>
      </c>
      <c r="Q1162" t="inlineStr">
        <is>
          <t>Crema 500ml</t>
        </is>
      </c>
      <c r="R1162" t="inlineStr">
        <is>
          <t>Lacteos</t>
        </is>
      </c>
      <c r="S1162" t="inlineStr">
        <is>
          <t>Lácteos Chalate</t>
        </is>
      </c>
      <c r="T1162" t="inlineStr">
        <is>
          <t>2335-1020</t>
        </is>
      </c>
      <c r="U1162" t="n">
        <v>2.25</v>
      </c>
      <c r="V1162" t="n">
        <v>3</v>
      </c>
      <c r="W1162" t="n">
        <v>0</v>
      </c>
      <c r="X1162">
        <f>IFERROR(U1162*V1162*(1-W1162/100),"")</f>
        <v/>
      </c>
      <c r="Y1162">
        <f>IFERROR(ROUND(X1162*0.13,2),"")</f>
        <v/>
      </c>
      <c r="Z1162">
        <f>IFERROR(X1162+Y1162,"")</f>
        <v/>
      </c>
      <c r="AA1162" t="inlineStr">
        <is>
          <t>Efectivo</t>
        </is>
      </c>
      <c r="AB1162" t="inlineStr"/>
    </row>
    <row r="1163">
      <c r="A1163" t="inlineStr">
        <is>
          <t>F-11366</t>
        </is>
      </c>
      <c r="B1163" s="3" t="n">
        <v>46269</v>
      </c>
      <c r="C1163" t="inlineStr">
        <is>
          <t>Factura</t>
        </is>
      </c>
      <c r="D1163" t="inlineStr">
        <is>
          <t>LL01</t>
        </is>
      </c>
      <c r="E1163" t="inlineStr">
        <is>
          <t>SANTA TECLA</t>
        </is>
      </c>
      <c r="F1163" t="inlineStr">
        <is>
          <t>Calle Daniel Hernández #18</t>
        </is>
      </c>
      <c r="G1163" t="inlineStr">
        <is>
          <t>Santa Tecla</t>
        </is>
      </c>
      <c r="H1163" t="inlineStr">
        <is>
          <t>La Libertad</t>
        </is>
      </c>
      <c r="I1163" t="inlineStr">
        <is>
          <t>Óscar Rivas</t>
        </is>
      </c>
      <c r="J1163" t="inlineStr">
        <is>
          <t>2228-7731</t>
        </is>
      </c>
      <c r="K1163" t="inlineStr">
        <is>
          <t>Andrea Pineda</t>
        </is>
      </c>
      <c r="L1163" t="inlineStr">
        <is>
          <t>Edwin Alvarado García</t>
        </is>
      </c>
      <c r="M1163" t="inlineStr">
        <is>
          <t>03264621-6</t>
        </is>
      </c>
      <c r="N1163" t="inlineStr">
        <is>
          <t>2560-1229</t>
        </is>
      </c>
      <c r="O1163" t="inlineStr">
        <is>
          <t>Consumidor final</t>
        </is>
      </c>
      <c r="P1163" t="inlineStr">
        <is>
          <t>HAR-001</t>
        </is>
      </c>
      <c r="Q1163" t="inlineStr">
        <is>
          <t>Harina de maíz 2lb</t>
        </is>
      </c>
      <c r="R1163" t="inlineStr">
        <is>
          <t>Abarrotes</t>
        </is>
      </c>
      <c r="S1163" t="inlineStr">
        <is>
          <t>Granos del Pacífico</t>
        </is>
      </c>
      <c r="T1163" t="inlineStr">
        <is>
          <t>2234-8890</t>
        </is>
      </c>
      <c r="U1163" t="inlineStr">
        <is>
          <t>$1.35</t>
        </is>
      </c>
      <c r="V1163" t="n">
        <v>2</v>
      </c>
      <c r="W1163" t="n">
        <v>0</v>
      </c>
      <c r="X1163">
        <f>IFERROR(U1163*V1163*(1-W1163/100),"")</f>
        <v/>
      </c>
      <c r="Y1163">
        <f>IFERROR(ROUND(X1163*0.13,2),"")</f>
        <v/>
      </c>
      <c r="Z1163">
        <f>IFERROR(X1163+Y1163,"")</f>
        <v/>
      </c>
      <c r="AA1163" t="inlineStr">
        <is>
          <t>Efectivo</t>
        </is>
      </c>
      <c r="AB1163" t="inlineStr">
        <is>
          <t>precio especial autorizado por gerente</t>
        </is>
      </c>
    </row>
    <row r="1164">
      <c r="A1164" t="inlineStr">
        <is>
          <t>F-11366</t>
        </is>
      </c>
      <c r="B1164" s="3" t="n">
        <v>46269</v>
      </c>
      <c r="C1164" t="inlineStr">
        <is>
          <t>Factura</t>
        </is>
      </c>
      <c r="D1164" t="inlineStr">
        <is>
          <t>LL01</t>
        </is>
      </c>
      <c r="E1164" t="inlineStr">
        <is>
          <t>Sta. Tecla</t>
        </is>
      </c>
      <c r="F1164" t="inlineStr">
        <is>
          <t>Calle Daniel Hernández #18</t>
        </is>
      </c>
      <c r="G1164" t="inlineStr">
        <is>
          <t>Santa Tecla</t>
        </is>
      </c>
      <c r="H1164" t="inlineStr">
        <is>
          <t>La Libertad</t>
        </is>
      </c>
      <c r="I1164" t="inlineStr">
        <is>
          <t>Óscar Rivas</t>
        </is>
      </c>
      <c r="J1164" t="inlineStr">
        <is>
          <t>2228-7731</t>
        </is>
      </c>
      <c r="K1164" t="inlineStr">
        <is>
          <t>Andrea Pineda</t>
        </is>
      </c>
      <c r="L1164" t="inlineStr">
        <is>
          <t>Edwin Alvarado García</t>
        </is>
      </c>
      <c r="M1164" t="inlineStr">
        <is>
          <t>03264621-6</t>
        </is>
      </c>
      <c r="N1164" t="inlineStr">
        <is>
          <t>2560-1229</t>
        </is>
      </c>
      <c r="O1164" t="inlineStr">
        <is>
          <t>Consumidor final</t>
        </is>
      </c>
      <c r="P1164" t="inlineStr">
        <is>
          <t>ARR-001</t>
        </is>
      </c>
      <c r="Q1164" t="inlineStr">
        <is>
          <t>Arroz blanco 5lb</t>
        </is>
      </c>
      <c r="R1164" t="inlineStr">
        <is>
          <t>Granos básicos</t>
        </is>
      </c>
      <c r="S1164" t="inlineStr">
        <is>
          <t>Granos del Pacífico</t>
        </is>
      </c>
      <c r="T1164" t="inlineStr">
        <is>
          <t>2234-8890</t>
        </is>
      </c>
      <c r="U1164" t="n">
        <v>3.95</v>
      </c>
      <c r="V1164" t="n">
        <v>12</v>
      </c>
      <c r="W1164" t="n">
        <v>0</v>
      </c>
      <c r="X1164">
        <f>IFERROR(U1164*V1164*(1-W1164/100),"")</f>
        <v/>
      </c>
      <c r="Y1164">
        <f>IFERROR(ROUND(X1164*0.13,2),"")</f>
        <v/>
      </c>
      <c r="Z1164">
        <f>IFERROR(X1164+Y1164,"")</f>
        <v/>
      </c>
      <c r="AA1164" t="inlineStr">
        <is>
          <t>Efectivo</t>
        </is>
      </c>
      <c r="AB1164" t="inlineStr">
        <is>
          <t>pagó con billete de $100</t>
        </is>
      </c>
    </row>
    <row r="1165">
      <c r="A1165" t="inlineStr">
        <is>
          <t>F-11366</t>
        </is>
      </c>
      <c r="B1165" s="3" t="n">
        <v>46269</v>
      </c>
      <c r="C1165" t="inlineStr">
        <is>
          <t>Factura</t>
        </is>
      </c>
      <c r="D1165" t="inlineStr">
        <is>
          <t>LL01</t>
        </is>
      </c>
      <c r="E1165" t="inlineStr">
        <is>
          <t>Santa Tecla</t>
        </is>
      </c>
      <c r="F1165" t="inlineStr">
        <is>
          <t>Calle Daniel Hernández #18</t>
        </is>
      </c>
      <c r="G1165" t="inlineStr">
        <is>
          <t>Santa Tecla</t>
        </is>
      </c>
      <c r="H1165" t="inlineStr">
        <is>
          <t>La Libertad</t>
        </is>
      </c>
      <c r="I1165" t="inlineStr">
        <is>
          <t>Óscar Rivas</t>
        </is>
      </c>
      <c r="J1165" t="inlineStr">
        <is>
          <t>2228-7731</t>
        </is>
      </c>
      <c r="K1165" t="inlineStr">
        <is>
          <t>Andrea Pineda</t>
        </is>
      </c>
      <c r="L1165" t="inlineStr">
        <is>
          <t>Edwin Alvarado García</t>
        </is>
      </c>
      <c r="M1165" t="inlineStr">
        <is>
          <t>03264621-6</t>
        </is>
      </c>
      <c r="N1165" t="inlineStr">
        <is>
          <t>2560-1229</t>
        </is>
      </c>
      <c r="O1165" t="inlineStr">
        <is>
          <t>Consumidor final</t>
        </is>
      </c>
      <c r="P1165" t="inlineStr">
        <is>
          <t>AZU-001</t>
        </is>
      </c>
      <c r="Q1165" t="inlineStr">
        <is>
          <t>Azúcar blanca 2.5kg</t>
        </is>
      </c>
      <c r="R1165" t="inlineStr">
        <is>
          <t>Abarrotes</t>
        </is>
      </c>
      <c r="S1165" t="inlineStr">
        <is>
          <t>Granos del Pacífico</t>
        </is>
      </c>
      <c r="T1165" t="inlineStr">
        <is>
          <t>2234-8890</t>
        </is>
      </c>
      <c r="U1165" t="n">
        <v>3.1</v>
      </c>
      <c r="V1165" t="n">
        <v>24</v>
      </c>
      <c r="W1165" t="n">
        <v>0</v>
      </c>
      <c r="X1165">
        <f>IFERROR(U1165*V1165*(1-W1165/100),"")</f>
        <v/>
      </c>
      <c r="Y1165">
        <f>IFERROR(ROUND(X1165*0.13,2),"")</f>
        <v/>
      </c>
      <c r="Z1165">
        <f>IFERROR(X1165+Y1165,"")</f>
        <v/>
      </c>
      <c r="AA1165" t="inlineStr">
        <is>
          <t>Efectivo</t>
        </is>
      </c>
      <c r="AB1165" t="inlineStr"/>
    </row>
    <row r="1166">
      <c r="A1166" t="inlineStr">
        <is>
          <t>11368</t>
        </is>
      </c>
      <c r="B1166" t="inlineStr">
        <is>
          <t>2026-08-13</t>
        </is>
      </c>
      <c r="C1166" t="inlineStr">
        <is>
          <t>Factura</t>
        </is>
      </c>
      <c r="D1166" t="inlineStr">
        <is>
          <t>SM01</t>
        </is>
      </c>
      <c r="E1166" t="inlineStr">
        <is>
          <t>SAN MIGUEL</t>
        </is>
      </c>
      <c r="F1166" t="inlineStr">
        <is>
          <t>Av. Roosevelt Sur #7</t>
        </is>
      </c>
      <c r="G1166" t="inlineStr">
        <is>
          <t>San Miguel</t>
        </is>
      </c>
      <c r="H1166" t="inlineStr">
        <is>
          <t>San Miguel</t>
        </is>
      </c>
      <c r="I1166" t="inlineStr">
        <is>
          <t>Iris Portillo</t>
        </is>
      </c>
      <c r="J1166" t="inlineStr">
        <is>
          <t>2661-5076</t>
        </is>
      </c>
      <c r="K1166" t="inlineStr">
        <is>
          <t>Jorge Villalta</t>
        </is>
      </c>
      <c r="L1166" t="inlineStr">
        <is>
          <t>Mario Sorto Castillo</t>
        </is>
      </c>
      <c r="M1166" t="inlineStr">
        <is>
          <t>09824839-0</t>
        </is>
      </c>
      <c r="N1166" t="inlineStr">
        <is>
          <t>7450-4234</t>
        </is>
      </c>
      <c r="O1166" t="inlineStr">
        <is>
          <t>Consumidor final</t>
        </is>
      </c>
      <c r="P1166" t="inlineStr">
        <is>
          <t>FRI-001</t>
        </is>
      </c>
      <c r="Q1166" t="inlineStr">
        <is>
          <t>Frijol rojo de seda 2lb</t>
        </is>
      </c>
      <c r="R1166" t="inlineStr">
        <is>
          <t>Granos básicos</t>
        </is>
      </c>
      <c r="S1166" t="inlineStr">
        <is>
          <t>Granos del Pacífico</t>
        </is>
      </c>
      <c r="T1166" t="inlineStr">
        <is>
          <t>2234-8890</t>
        </is>
      </c>
      <c r="U1166" t="n">
        <v>2.4</v>
      </c>
      <c r="V1166" t="n">
        <v>24</v>
      </c>
      <c r="W1166" t="n">
        <v>0</v>
      </c>
      <c r="X1166">
        <f>IFERROR(U1166*V1166*(1-W1166/100),"")</f>
        <v/>
      </c>
      <c r="Y1166">
        <f>IFERROR(ROUND(X1166*0.13,2),"")</f>
        <v/>
      </c>
      <c r="Z1166">
        <f>IFERROR(X1166+Y1166,"")</f>
        <v/>
      </c>
      <c r="AA1166" t="inlineStr">
        <is>
          <t>Efectivo</t>
        </is>
      </c>
      <c r="AB1166" t="inlineStr"/>
    </row>
    <row r="1167">
      <c r="A1167" t="inlineStr">
        <is>
          <t>F-11368</t>
        </is>
      </c>
      <c r="B1167" s="3" t="n">
        <v>46247</v>
      </c>
      <c r="C1167" t="inlineStr">
        <is>
          <t>Factura</t>
        </is>
      </c>
      <c r="D1167" t="inlineStr">
        <is>
          <t>SM01</t>
        </is>
      </c>
      <c r="E1167" t="inlineStr">
        <is>
          <t>San Miguel</t>
        </is>
      </c>
      <c r="F1167" t="inlineStr">
        <is>
          <t>Av. Roosevelt Sur #7</t>
        </is>
      </c>
      <c r="G1167" t="inlineStr">
        <is>
          <t>San Miguel</t>
        </is>
      </c>
      <c r="H1167" t="inlineStr">
        <is>
          <t>San Miguel</t>
        </is>
      </c>
      <c r="I1167" t="inlineStr">
        <is>
          <t>Iris Portillo</t>
        </is>
      </c>
      <c r="J1167" t="inlineStr">
        <is>
          <t>2661-5076</t>
        </is>
      </c>
      <c r="K1167" t="inlineStr">
        <is>
          <t>Jorge Villalta</t>
        </is>
      </c>
      <c r="L1167" t="inlineStr">
        <is>
          <t>Mario Sorto Castillo</t>
        </is>
      </c>
      <c r="M1167" t="inlineStr">
        <is>
          <t>09824839-0</t>
        </is>
      </c>
      <c r="N1167" t="inlineStr">
        <is>
          <t>7450-4234</t>
        </is>
      </c>
      <c r="O1167" t="inlineStr">
        <is>
          <t>Consumidor final</t>
        </is>
      </c>
      <c r="P1167" t="inlineStr">
        <is>
          <t>AZU-001</t>
        </is>
      </c>
      <c r="Q1167" t="inlineStr">
        <is>
          <t>Azúcar blanca 2.5kg</t>
        </is>
      </c>
      <c r="R1167" t="inlineStr">
        <is>
          <t>Abarrotes</t>
        </is>
      </c>
      <c r="S1167" t="inlineStr">
        <is>
          <t>Granos del Pacífico</t>
        </is>
      </c>
      <c r="T1167" t="inlineStr">
        <is>
          <t>2234-8890</t>
        </is>
      </c>
      <c r="U1167" t="inlineStr">
        <is>
          <t>$3.10</t>
        </is>
      </c>
      <c r="V1167" t="n">
        <v>12</v>
      </c>
      <c r="W1167" t="n">
        <v>0</v>
      </c>
      <c r="X1167">
        <f>IFERROR(U1167*V1167*(1-W1167/100),"")</f>
        <v/>
      </c>
      <c r="Y1167">
        <f>IFERROR(ROUND(X1167*0.13,2),"")</f>
        <v/>
      </c>
      <c r="Z1167">
        <f>IFERROR(X1167+Y1167,"")</f>
        <v/>
      </c>
      <c r="AA1167" t="inlineStr">
        <is>
          <t>Efectivo</t>
        </is>
      </c>
      <c r="AB1167" t="inlineStr">
        <is>
          <t>pagó con billete de $100</t>
        </is>
      </c>
    </row>
    <row r="1168">
      <c r="A1168" t="inlineStr">
        <is>
          <t>F-11368</t>
        </is>
      </c>
      <c r="B1168" s="3" t="n">
        <v>46247</v>
      </c>
      <c r="C1168" t="inlineStr">
        <is>
          <t>Factura</t>
        </is>
      </c>
      <c r="D1168" t="inlineStr">
        <is>
          <t>SM01</t>
        </is>
      </c>
      <c r="E1168" t="inlineStr">
        <is>
          <t>SAN MIGUEL</t>
        </is>
      </c>
      <c r="F1168" t="inlineStr">
        <is>
          <t>Av. Roosevelt Sur #7</t>
        </is>
      </c>
      <c r="G1168" t="inlineStr">
        <is>
          <t>San Miguel</t>
        </is>
      </c>
      <c r="H1168" t="inlineStr">
        <is>
          <t>San Miguel</t>
        </is>
      </c>
      <c r="I1168" t="inlineStr">
        <is>
          <t>Iris Portillo</t>
        </is>
      </c>
      <c r="J1168" t="inlineStr">
        <is>
          <t>2661-5076</t>
        </is>
      </c>
      <c r="K1168" t="inlineStr">
        <is>
          <t>Jorge Villalta</t>
        </is>
      </c>
      <c r="L1168" t="inlineStr">
        <is>
          <t>Mario Sorto Castillo</t>
        </is>
      </c>
      <c r="M1168" t="inlineStr">
        <is>
          <t>09824839-0</t>
        </is>
      </c>
      <c r="N1168" t="inlineStr">
        <is>
          <t>7450-4234</t>
        </is>
      </c>
      <c r="O1168" t="inlineStr">
        <is>
          <t>Consumidor final</t>
        </is>
      </c>
      <c r="P1168" t="inlineStr">
        <is>
          <t>PAN-003</t>
        </is>
      </c>
      <c r="Q1168" t="inlineStr">
        <is>
          <t>Quesadilla salvadoreña</t>
        </is>
      </c>
      <c r="R1168" t="inlineStr">
        <is>
          <t>PANADERIA</t>
        </is>
      </c>
      <c r="S1168" t="inlineStr">
        <is>
          <t>Panificadora Ilopango</t>
        </is>
      </c>
      <c r="T1168" t="inlineStr">
        <is>
          <t>2295-0081</t>
        </is>
      </c>
      <c r="U1168" t="n">
        <v>2.5</v>
      </c>
      <c r="V1168" t="n">
        <v>3</v>
      </c>
      <c r="W1168" t="n">
        <v>0</v>
      </c>
      <c r="X1168">
        <f>IFERROR(U1168*V1168*(1-W1168/100),"")</f>
        <v/>
      </c>
      <c r="Y1168">
        <f>IFERROR(ROUND(X1168*0.13,2),"")</f>
        <v/>
      </c>
      <c r="Z1168">
        <f>IFERROR(X1168+Y1168,"")</f>
        <v/>
      </c>
      <c r="AA1168" t="inlineStr">
        <is>
          <t>Efectivo</t>
        </is>
      </c>
      <c r="AB1168" t="inlineStr">
        <is>
          <t>Llamar al 7788-1234 antes de entregar</t>
        </is>
      </c>
    </row>
    <row r="1169">
      <c r="A1169" t="inlineStr">
        <is>
          <t>F-11368</t>
        </is>
      </c>
      <c r="B1169" t="inlineStr">
        <is>
          <t>13/08/2026</t>
        </is>
      </c>
      <c r="C1169" t="inlineStr">
        <is>
          <t>Factura</t>
        </is>
      </c>
      <c r="D1169" t="inlineStr">
        <is>
          <t>SM01</t>
        </is>
      </c>
      <c r="E1169" t="inlineStr">
        <is>
          <t>San Miguel</t>
        </is>
      </c>
      <c r="F1169" t="inlineStr">
        <is>
          <t>Av. Roosevelt Sur #7</t>
        </is>
      </c>
      <c r="G1169" t="inlineStr">
        <is>
          <t>San Miguel</t>
        </is>
      </c>
      <c r="H1169" t="inlineStr">
        <is>
          <t>San Miguel</t>
        </is>
      </c>
      <c r="I1169" t="inlineStr">
        <is>
          <t>Iris Portillo</t>
        </is>
      </c>
      <c r="J1169" t="inlineStr">
        <is>
          <t>2661-5076</t>
        </is>
      </c>
      <c r="K1169" t="inlineStr">
        <is>
          <t>Jorge Villalta</t>
        </is>
      </c>
      <c r="L1169" t="inlineStr">
        <is>
          <t>Mario Sorto Castillo</t>
        </is>
      </c>
      <c r="M1169" t="inlineStr">
        <is>
          <t>09824839-0</t>
        </is>
      </c>
      <c r="N1169" t="inlineStr">
        <is>
          <t>7450-4234</t>
        </is>
      </c>
      <c r="O1169" t="inlineStr">
        <is>
          <t>Consumidor final</t>
        </is>
      </c>
      <c r="P1169" t="inlineStr">
        <is>
          <t>CAF-002</t>
        </is>
      </c>
      <c r="Q1169" t="inlineStr">
        <is>
          <t>Café en grano 1lb</t>
        </is>
      </c>
      <c r="R1169" t="inlineStr">
        <is>
          <t>Abarrotes</t>
        </is>
      </c>
      <c r="S1169" t="inlineStr">
        <is>
          <t>Café Volcán S.A.</t>
        </is>
      </c>
      <c r="T1169" t="inlineStr">
        <is>
          <t>2510-3344</t>
        </is>
      </c>
      <c r="U1169" t="n">
        <v>6.75</v>
      </c>
      <c r="V1169" t="n">
        <v>2</v>
      </c>
      <c r="W1169" t="n">
        <v>0</v>
      </c>
      <c r="X1169">
        <f>IFERROR(U1169*V1169*(1-W1169/100),"")</f>
        <v/>
      </c>
      <c r="Y1169">
        <f>IFERROR(ROUND(X1169*0.13,2),"")</f>
        <v/>
      </c>
      <c r="Z1169">
        <f>IFERROR(X1169+Y1169,"")</f>
        <v/>
      </c>
      <c r="AA1169" t="inlineStr">
        <is>
          <t>Efectivo</t>
        </is>
      </c>
      <c r="AB1169" t="inlineStr"/>
    </row>
    <row r="1170">
      <c r="A1170" t="inlineStr">
        <is>
          <t>F-11369</t>
        </is>
      </c>
      <c r="B1170" t="inlineStr">
        <is>
          <t>19/09/2026</t>
        </is>
      </c>
      <c r="C1170" t="inlineStr">
        <is>
          <t>Factura</t>
        </is>
      </c>
      <c r="D1170" t="inlineStr">
        <is>
          <t>SA01</t>
        </is>
      </c>
      <c r="E1170" t="inlineStr">
        <is>
          <t>Santa  Ana</t>
        </is>
      </c>
      <c r="F1170" t="inlineStr">
        <is>
          <t>Av. Independencia Sur #12</t>
        </is>
      </c>
      <c r="G1170" t="inlineStr">
        <is>
          <t>Santa Ana</t>
        </is>
      </c>
      <c r="H1170" t="inlineStr">
        <is>
          <t>Santa Ana</t>
        </is>
      </c>
      <c r="I1170" t="inlineStr">
        <is>
          <t>Verónica Sandoval</t>
        </is>
      </c>
      <c r="J1170" t="inlineStr">
        <is>
          <t>2440-9921</t>
        </is>
      </c>
      <c r="K1170" t="inlineStr">
        <is>
          <t>Sofía Cáceres</t>
        </is>
      </c>
      <c r="L1170" t="inlineStr">
        <is>
          <t>RENÉ ALVARADO LEMUS</t>
        </is>
      </c>
      <c r="M1170" t="inlineStr">
        <is>
          <t>07676586-8</t>
        </is>
      </c>
      <c r="N1170" t="inlineStr">
        <is>
          <t>6907-6114</t>
        </is>
      </c>
      <c r="O1170" t="inlineStr">
        <is>
          <t>Consumidor final</t>
        </is>
      </c>
      <c r="P1170" t="inlineStr">
        <is>
          <t>LAC-001</t>
        </is>
      </c>
      <c r="Q1170" t="inlineStr">
        <is>
          <t>Quesillo 1lb</t>
        </is>
      </c>
      <c r="R1170" t="inlineStr">
        <is>
          <t>LACTEOS</t>
        </is>
      </c>
      <c r="S1170" t="inlineStr">
        <is>
          <t>Lácteos Chalate</t>
        </is>
      </c>
      <c r="T1170" t="inlineStr">
        <is>
          <t>2335-1020</t>
        </is>
      </c>
      <c r="U1170" t="n">
        <v>3.8</v>
      </c>
      <c r="V1170" t="n">
        <v>1</v>
      </c>
      <c r="W1170" t="n">
        <v>0</v>
      </c>
      <c r="X1170">
        <f>IFERROR(U1170*V1170*(1-W1170/100),"")</f>
        <v/>
      </c>
      <c r="Y1170">
        <f>IFERROR(ROUND(X1170*0.13,2),"")</f>
        <v/>
      </c>
      <c r="Z1170">
        <f>IFERROR(X1170+Y1170,"")</f>
        <v/>
      </c>
      <c r="AA1170" t="inlineStr">
        <is>
          <t>Tarjeta</t>
        </is>
      </c>
      <c r="AB1170" t="inlineStr"/>
    </row>
    <row r="1171">
      <c r="A1171" t="inlineStr">
        <is>
          <t>F-11372</t>
        </is>
      </c>
      <c r="B1171" t="inlineStr">
        <is>
          <t>2026-08-22</t>
        </is>
      </c>
      <c r="C1171" t="inlineStr">
        <is>
          <t>Factura</t>
        </is>
      </c>
      <c r="D1171" t="inlineStr">
        <is>
          <t>SS03</t>
        </is>
      </c>
      <c r="E1171" t="inlineStr">
        <is>
          <t xml:space="preserve">SOYAPANGO </t>
        </is>
      </c>
      <c r="F1171" t="inlineStr">
        <is>
          <t>Blvd. del Ejército km 4</t>
        </is>
      </c>
      <c r="G1171" t="inlineStr">
        <is>
          <t>Soyapango</t>
        </is>
      </c>
      <c r="H1171" t="inlineStr">
        <is>
          <t>San Salvador</t>
        </is>
      </c>
      <c r="I1171" t="inlineStr">
        <is>
          <t>Karla Henríquez</t>
        </is>
      </c>
      <c r="J1171" t="inlineStr">
        <is>
          <t>2277-3402</t>
        </is>
      </c>
      <c r="K1171" t="inlineStr">
        <is>
          <t>Carlos Molina</t>
        </is>
      </c>
      <c r="L1171" t="inlineStr">
        <is>
          <t>René Cornejo Cornejo</t>
        </is>
      </c>
      <c r="M1171" t="inlineStr">
        <is>
          <t>03632979-1</t>
        </is>
      </c>
      <c r="N1171" t="inlineStr">
        <is>
          <t>7833-5595</t>
        </is>
      </c>
      <c r="O1171" t="inlineStr">
        <is>
          <t>Consumidor final</t>
        </is>
      </c>
      <c r="P1171" t="inlineStr">
        <is>
          <t>FRI-001</t>
        </is>
      </c>
      <c r="Q1171" t="inlineStr">
        <is>
          <t>Frijol rojo de seda 2lb</t>
        </is>
      </c>
      <c r="R1171" t="inlineStr">
        <is>
          <t>Abarrotes</t>
        </is>
      </c>
      <c r="S1171" t="inlineStr">
        <is>
          <t>Granos del Pacífico</t>
        </is>
      </c>
      <c r="T1171" t="inlineStr">
        <is>
          <t>2234-8890</t>
        </is>
      </c>
      <c r="U1171" t="n">
        <v>2.4</v>
      </c>
      <c r="V1171" t="n">
        <v>4</v>
      </c>
      <c r="W1171" t="n">
        <v>0</v>
      </c>
      <c r="X1171">
        <f>IFERROR(U1171*V1171*(1-W1171/100),"")</f>
        <v/>
      </c>
      <c r="Y1171">
        <f>IFERROR(ROUND(X1171*0.13,2),"")</f>
        <v/>
      </c>
      <c r="Z1171">
        <f>IFERROR(X1171+Y1171,"")</f>
        <v/>
      </c>
      <c r="AA1171" t="inlineStr">
        <is>
          <t>efectivo</t>
        </is>
      </c>
      <c r="AB1171" t="inlineStr">
        <is>
          <t>Llamar al 7788-1234 antes de entregar</t>
        </is>
      </c>
    </row>
    <row r="1172">
      <c r="A1172" t="inlineStr">
        <is>
          <t>F-11374</t>
        </is>
      </c>
      <c r="B1172" s="3" t="n">
        <v>46285</v>
      </c>
      <c r="C1172" t="inlineStr">
        <is>
          <t>Factura</t>
        </is>
      </c>
      <c r="D1172" t="inlineStr">
        <is>
          <t>US01</t>
        </is>
      </c>
      <c r="E1172" t="inlineStr">
        <is>
          <t>Usulután</t>
        </is>
      </c>
      <c r="F1172" t="inlineStr">
        <is>
          <t>2a Av. Norte #9</t>
        </is>
      </c>
      <c r="G1172" t="inlineStr">
        <is>
          <t>Usulután</t>
        </is>
      </c>
      <c r="H1172" t="inlineStr">
        <is>
          <t>Usulután</t>
        </is>
      </c>
      <c r="I1172" t="inlineStr">
        <is>
          <t>Nelson Fuentes</t>
        </is>
      </c>
      <c r="J1172" t="inlineStr">
        <is>
          <t>2662-8810</t>
        </is>
      </c>
      <c r="K1172" t="inlineStr">
        <is>
          <t>Miguel Bonilla</t>
        </is>
      </c>
      <c r="L1172" t="inlineStr">
        <is>
          <t>Xiomara Cornejo Guevara</t>
        </is>
      </c>
      <c r="M1172" t="inlineStr">
        <is>
          <t>09840186-7</t>
        </is>
      </c>
      <c r="N1172" t="inlineStr">
        <is>
          <t>2102-2322</t>
        </is>
      </c>
      <c r="O1172" t="inlineStr">
        <is>
          <t>Consumidor final</t>
        </is>
      </c>
      <c r="P1172" t="inlineStr">
        <is>
          <t>HIG-002</t>
        </is>
      </c>
      <c r="Q1172" t="inlineStr">
        <is>
          <t>Papel higiénico 4 rollos</t>
        </is>
      </c>
      <c r="R1172" t="inlineStr">
        <is>
          <t>Higiene</t>
        </is>
      </c>
      <c r="S1172" t="inlineStr">
        <is>
          <t>Higiene Total C.A.</t>
        </is>
      </c>
      <c r="T1172" t="inlineStr">
        <is>
          <t>2207-5566</t>
        </is>
      </c>
      <c r="U1172" t="n">
        <v>2.15</v>
      </c>
      <c r="V1172" t="n">
        <v>1</v>
      </c>
      <c r="W1172" t="n">
        <v>0</v>
      </c>
      <c r="X1172">
        <f>IFERROR(U1172*V1172*(1-W1172/100),"")</f>
        <v/>
      </c>
      <c r="Y1172">
        <f>IFERROR(ROUND(X1172*0.13,2),"")</f>
        <v/>
      </c>
      <c r="Z1172">
        <f>IFERROR(X1172+Y1172,"")</f>
        <v/>
      </c>
      <c r="AA1172" t="inlineStr">
        <is>
          <t>Efectivo</t>
        </is>
      </c>
      <c r="AB1172" t="inlineStr">
        <is>
          <t>Cliente frecuente</t>
        </is>
      </c>
    </row>
    <row r="1173">
      <c r="A1173" t="inlineStr">
        <is>
          <t>F-11377</t>
        </is>
      </c>
      <c r="B1173" s="3" t="n">
        <v>46248</v>
      </c>
      <c r="C1173" t="inlineStr">
        <is>
          <t>Factura</t>
        </is>
      </c>
      <c r="D1173" t="inlineStr">
        <is>
          <t>SS03</t>
        </is>
      </c>
      <c r="E1173" t="inlineStr">
        <is>
          <t>Soyapango</t>
        </is>
      </c>
      <c r="F1173" t="inlineStr">
        <is>
          <t>Blvd. del Ejército km 4</t>
        </is>
      </c>
      <c r="G1173" t="inlineStr">
        <is>
          <t>Soyapango</t>
        </is>
      </c>
      <c r="H1173" t="inlineStr">
        <is>
          <t>San Salvador</t>
        </is>
      </c>
      <c r="I1173" t="inlineStr">
        <is>
          <t>Karla Henríquez</t>
        </is>
      </c>
      <c r="J1173" t="inlineStr">
        <is>
          <t>2277-3402</t>
        </is>
      </c>
      <c r="K1173" t="inlineStr">
        <is>
          <t>Marta Gómez</t>
        </is>
      </c>
      <c r="L1173" t="inlineStr">
        <is>
          <t>Luis Alvarado Flores</t>
        </is>
      </c>
      <c r="M1173" t="inlineStr">
        <is>
          <t>04419851-7</t>
        </is>
      </c>
      <c r="N1173" t="inlineStr">
        <is>
          <t>6898-7811</t>
        </is>
      </c>
      <c r="O1173" t="inlineStr">
        <is>
          <t>Consumidor final</t>
        </is>
      </c>
      <c r="P1173" t="inlineStr">
        <is>
          <t>CAF-001</t>
        </is>
      </c>
      <c r="Q1173" t="inlineStr">
        <is>
          <t>Café molido 400g</t>
        </is>
      </c>
      <c r="R1173" t="inlineStr">
        <is>
          <t>abarrotes</t>
        </is>
      </c>
      <c r="S1173" t="inlineStr">
        <is>
          <t>Café Volcán S.A.</t>
        </is>
      </c>
      <c r="T1173" t="inlineStr">
        <is>
          <t>2510-3344</t>
        </is>
      </c>
      <c r="U1173" t="n">
        <v>4.25</v>
      </c>
      <c r="V1173" t="n">
        <v>1</v>
      </c>
      <c r="W1173" t="n">
        <v>0</v>
      </c>
      <c r="X1173">
        <f>IFERROR(U1173*V1173*(1-W1173/100),"")</f>
        <v/>
      </c>
      <c r="Y1173">
        <f>IFERROR(ROUND(X1173*0.13,2),"")</f>
        <v/>
      </c>
      <c r="Z1173">
        <f>IFERROR(X1173+Y1173,"")</f>
        <v/>
      </c>
      <c r="AA1173" t="inlineStr">
        <is>
          <t>Efectivo</t>
        </is>
      </c>
      <c r="AB1173" t="inlineStr">
        <is>
          <t>Cliente frecuente</t>
        </is>
      </c>
    </row>
    <row r="1174">
      <c r="A1174" t="inlineStr">
        <is>
          <t>F-11377</t>
        </is>
      </c>
      <c r="B1174" t="inlineStr">
        <is>
          <t>2026-08-14</t>
        </is>
      </c>
      <c r="C1174" t="inlineStr">
        <is>
          <t>Factura</t>
        </is>
      </c>
      <c r="D1174" t="inlineStr">
        <is>
          <t>SS03</t>
        </is>
      </c>
      <c r="E1174" t="inlineStr">
        <is>
          <t xml:space="preserve">SOYAPANGO </t>
        </is>
      </c>
      <c r="F1174" t="inlineStr">
        <is>
          <t>Blvd. del Ejército km 4</t>
        </is>
      </c>
      <c r="G1174" t="inlineStr">
        <is>
          <t>Soyapango</t>
        </is>
      </c>
      <c r="H1174" t="inlineStr">
        <is>
          <t>San Salvador</t>
        </is>
      </c>
      <c r="I1174" t="inlineStr">
        <is>
          <t>Karla Henríquez</t>
        </is>
      </c>
      <c r="J1174" t="inlineStr">
        <is>
          <t>2277-3402</t>
        </is>
      </c>
      <c r="K1174" t="inlineStr">
        <is>
          <t>Marta Gómez</t>
        </is>
      </c>
      <c r="L1174" t="inlineStr">
        <is>
          <t>Luis Alvarado Flores</t>
        </is>
      </c>
      <c r="M1174" t="inlineStr">
        <is>
          <t>04419851-7</t>
        </is>
      </c>
      <c r="N1174" t="inlineStr">
        <is>
          <t>6898-7811</t>
        </is>
      </c>
      <c r="O1174" t="inlineStr">
        <is>
          <t>Consumidor final</t>
        </is>
      </c>
      <c r="P1174" t="inlineStr">
        <is>
          <t>AZU-001</t>
        </is>
      </c>
      <c r="Q1174" t="inlineStr">
        <is>
          <t>Azúcar blanca 2.5kg</t>
        </is>
      </c>
      <c r="R1174" t="inlineStr">
        <is>
          <t>Abarrotes</t>
        </is>
      </c>
      <c r="S1174" t="inlineStr">
        <is>
          <t>Granos del Pacífico</t>
        </is>
      </c>
      <c r="T1174" t="inlineStr">
        <is>
          <t>2234-8890</t>
        </is>
      </c>
      <c r="U1174" t="n">
        <v>3.1</v>
      </c>
      <c r="V1174" t="n">
        <v>12</v>
      </c>
      <c r="W1174" t="n">
        <v>0</v>
      </c>
      <c r="X1174">
        <f>IFERROR(U1174*V1174*(1-W1174/100),"")</f>
        <v/>
      </c>
      <c r="Y1174">
        <f>IFERROR(ROUND(X1174*0.13,2),"")</f>
        <v/>
      </c>
      <c r="Z1174">
        <f>IFERROR(X1174+Y1174,"")</f>
        <v/>
      </c>
      <c r="AA1174" t="inlineStr">
        <is>
          <t>Efectivo</t>
        </is>
      </c>
      <c r="AB1174" t="inlineStr"/>
    </row>
    <row r="1175">
      <c r="A1175" t="inlineStr">
        <is>
          <t>F-11377</t>
        </is>
      </c>
      <c r="B1175" s="3" t="n">
        <v>46248</v>
      </c>
      <c r="C1175" t="inlineStr">
        <is>
          <t>Factura</t>
        </is>
      </c>
      <c r="D1175" t="inlineStr">
        <is>
          <t>SS03</t>
        </is>
      </c>
      <c r="E1175" t="inlineStr">
        <is>
          <t>soyapango</t>
        </is>
      </c>
      <c r="F1175" t="inlineStr">
        <is>
          <t>Blvd. del Ejército km 4</t>
        </is>
      </c>
      <c r="G1175" t="inlineStr">
        <is>
          <t>Soyapango</t>
        </is>
      </c>
      <c r="H1175" t="inlineStr">
        <is>
          <t>San Salvador</t>
        </is>
      </c>
      <c r="I1175" t="inlineStr">
        <is>
          <t>Karla Henríquez</t>
        </is>
      </c>
      <c r="J1175" t="inlineStr">
        <is>
          <t>2277-3402</t>
        </is>
      </c>
      <c r="K1175" t="inlineStr">
        <is>
          <t>Marta Gómez</t>
        </is>
      </c>
      <c r="L1175" t="inlineStr">
        <is>
          <t>Luis Alvarado Flores</t>
        </is>
      </c>
      <c r="M1175" t="inlineStr">
        <is>
          <t>04419851-7</t>
        </is>
      </c>
      <c r="N1175" t="inlineStr">
        <is>
          <t>6898-7811</t>
        </is>
      </c>
      <c r="O1175" t="inlineStr">
        <is>
          <t>Consumidor final</t>
        </is>
      </c>
      <c r="P1175" t="inlineStr">
        <is>
          <t>BEB-002</t>
        </is>
      </c>
      <c r="Q1175" t="inlineStr">
        <is>
          <t>Agua purificada 1 galón</t>
        </is>
      </c>
      <c r="R1175" t="inlineStr">
        <is>
          <t>Bebidas</t>
        </is>
      </c>
      <c r="S1175" t="inlineStr">
        <is>
          <t>Bebidas Izalco</t>
        </is>
      </c>
      <c r="T1175" t="inlineStr">
        <is>
          <t>2450-7700</t>
        </is>
      </c>
      <c r="U1175" t="n">
        <v>1.1</v>
      </c>
      <c r="V1175" t="n">
        <v>3</v>
      </c>
      <c r="W1175" t="n">
        <v>0</v>
      </c>
      <c r="X1175">
        <f>IFERROR(U1175*V1175*(1-W1175/100),"")</f>
        <v/>
      </c>
      <c r="Y1175">
        <f>IFERROR(ROUND(X1175*0.13,2),"")</f>
        <v/>
      </c>
      <c r="Z1175">
        <f>IFERROR(X1175+Y1175,"")</f>
        <v/>
      </c>
      <c r="AA1175" t="inlineStr">
        <is>
          <t>Efectivo</t>
        </is>
      </c>
      <c r="AB1175" t="inlineStr"/>
    </row>
    <row r="1176">
      <c r="A1176" t="inlineStr">
        <is>
          <t>F-11380</t>
        </is>
      </c>
      <c r="B1176" s="3" t="n">
        <v>46220</v>
      </c>
      <c r="C1176" t="inlineStr">
        <is>
          <t>Factura</t>
        </is>
      </c>
      <c r="D1176" t="inlineStr">
        <is>
          <t>SS02</t>
        </is>
      </c>
      <c r="E1176" t="inlineStr">
        <is>
          <t>ESCALON</t>
        </is>
      </c>
      <c r="F1176" t="inlineStr">
        <is>
          <t>Paseo General Escalón #3910</t>
        </is>
      </c>
      <c r="G1176" t="inlineStr">
        <is>
          <t>San Salvador</t>
        </is>
      </c>
      <c r="H1176" t="inlineStr">
        <is>
          <t>San Salvador</t>
        </is>
      </c>
      <c r="I1176" t="inlineStr">
        <is>
          <t>Claudia Menjívar</t>
        </is>
      </c>
      <c r="J1176" t="inlineStr">
        <is>
          <t>2264-1190</t>
        </is>
      </c>
      <c r="K1176" t="inlineStr">
        <is>
          <t>Fátima Rosales</t>
        </is>
      </c>
      <c r="L1176" t="inlineStr">
        <is>
          <t>Carlos García Cornejo</t>
        </is>
      </c>
      <c r="M1176" t="inlineStr">
        <is>
          <t>09671747-5</t>
        </is>
      </c>
      <c r="N1176" t="inlineStr">
        <is>
          <t>6898-8471</t>
        </is>
      </c>
      <c r="O1176" t="inlineStr">
        <is>
          <t>Consumidor final</t>
        </is>
      </c>
      <c r="P1176" t="inlineStr">
        <is>
          <t>LAC-003</t>
        </is>
      </c>
      <c r="Q1176" t="inlineStr">
        <is>
          <t>Leche entera 1L</t>
        </is>
      </c>
      <c r="R1176" t="inlineStr">
        <is>
          <t>Lácteos</t>
        </is>
      </c>
      <c r="S1176" t="inlineStr">
        <is>
          <t>Lácteos Chalate</t>
        </is>
      </c>
      <c r="T1176" t="inlineStr">
        <is>
          <t>2335-1020</t>
        </is>
      </c>
      <c r="U1176" t="n">
        <v>1.2</v>
      </c>
      <c r="V1176" t="n">
        <v>4</v>
      </c>
      <c r="W1176" t="n">
        <v>0</v>
      </c>
      <c r="X1176">
        <f>IFERROR(U1176*V1176*(1-W1176/100),"")</f>
        <v/>
      </c>
      <c r="Y1176">
        <f>IFERROR(ROUND(X1176*0.13,2),"")</f>
        <v/>
      </c>
      <c r="Z1176">
        <f>IFERROR(X1176+Y1176,"")</f>
        <v/>
      </c>
      <c r="AA1176" t="inlineStr">
        <is>
          <t>Transferencia</t>
        </is>
      </c>
      <c r="AB1176" t="inlineStr">
        <is>
          <t>precio especial autorizado por gerente</t>
        </is>
      </c>
    </row>
    <row r="1177">
      <c r="A1177" t="inlineStr">
        <is>
          <t>F-11380</t>
        </is>
      </c>
      <c r="B1177" s="3" t="n">
        <v>46220</v>
      </c>
      <c r="C1177" t="inlineStr">
        <is>
          <t>Factura</t>
        </is>
      </c>
      <c r="D1177" t="inlineStr">
        <is>
          <t>SS02</t>
        </is>
      </c>
      <c r="E1177" t="inlineStr">
        <is>
          <t>Col. Escalón</t>
        </is>
      </c>
      <c r="F1177" t="inlineStr">
        <is>
          <t>Paseo General Escalón #3910</t>
        </is>
      </c>
      <c r="G1177" t="inlineStr">
        <is>
          <t>San Salvador</t>
        </is>
      </c>
      <c r="H1177" t="inlineStr">
        <is>
          <t>San Salvador</t>
        </is>
      </c>
      <c r="I1177" t="inlineStr">
        <is>
          <t>Claudia Menjívar</t>
        </is>
      </c>
      <c r="J1177" t="inlineStr">
        <is>
          <t>2264-1190</t>
        </is>
      </c>
      <c r="K1177" t="inlineStr">
        <is>
          <t>Fátima Rosales</t>
        </is>
      </c>
      <c r="L1177" t="inlineStr">
        <is>
          <t>Carlos García Cornejo</t>
        </is>
      </c>
      <c r="M1177" t="inlineStr">
        <is>
          <t>09671747-5</t>
        </is>
      </c>
      <c r="N1177" t="inlineStr">
        <is>
          <t>6898-8471</t>
        </is>
      </c>
      <c r="O1177" t="inlineStr">
        <is>
          <t>Consumidor final</t>
        </is>
      </c>
      <c r="P1177" t="inlineStr">
        <is>
          <t>HIG-003</t>
        </is>
      </c>
      <c r="Q1177" t="inlineStr">
        <is>
          <t>Jabón de lavar barra</t>
        </is>
      </c>
      <c r="R1177" t="inlineStr">
        <is>
          <t>Limpieza</t>
        </is>
      </c>
      <c r="S1177" t="inlineStr">
        <is>
          <t>Higiene Total C.A.</t>
        </is>
      </c>
      <c r="T1177" t="inlineStr">
        <is>
          <t>2207-5566</t>
        </is>
      </c>
      <c r="U1177" t="n">
        <v>0.75</v>
      </c>
      <c r="V1177" t="n">
        <v>1</v>
      </c>
      <c r="W1177" t="n">
        <v>0</v>
      </c>
      <c r="X1177">
        <f>IFERROR(U1177*V1177*(1-W1177/100),"")</f>
        <v/>
      </c>
      <c r="Y1177">
        <f>IFERROR(ROUND(X1177*0.13,2),"")</f>
        <v/>
      </c>
      <c r="Z1177">
        <f>IFERROR(X1177+Y1177,"")</f>
        <v/>
      </c>
      <c r="AA1177" t="inlineStr">
        <is>
          <t>Transferencia</t>
        </is>
      </c>
      <c r="AB1177" t="inlineStr">
        <is>
          <t>Llamar al 7788-1234 antes de entregar</t>
        </is>
      </c>
    </row>
    <row r="1178">
      <c r="A1178" t="inlineStr">
        <is>
          <t>F-11380</t>
        </is>
      </c>
      <c r="B1178" t="inlineStr">
        <is>
          <t>2026-07-17</t>
        </is>
      </c>
      <c r="C1178" t="inlineStr">
        <is>
          <t>Factura</t>
        </is>
      </c>
      <c r="D1178" t="inlineStr">
        <is>
          <t>SS02</t>
        </is>
      </c>
      <c r="E1178" t="inlineStr">
        <is>
          <t>Escalón</t>
        </is>
      </c>
      <c r="F1178" t="inlineStr">
        <is>
          <t>Paseo General Escalón #3910</t>
        </is>
      </c>
      <c r="G1178" t="inlineStr">
        <is>
          <t>San Salvador</t>
        </is>
      </c>
      <c r="H1178" t="inlineStr">
        <is>
          <t>San Salvador</t>
        </is>
      </c>
      <c r="I1178" t="inlineStr">
        <is>
          <t>Claudia Menjívar</t>
        </is>
      </c>
      <c r="J1178" t="inlineStr">
        <is>
          <t>2264-1190</t>
        </is>
      </c>
      <c r="K1178" t="inlineStr">
        <is>
          <t>Fátima Rosales</t>
        </is>
      </c>
      <c r="L1178" t="inlineStr">
        <is>
          <t>Carlos García Cornejo</t>
        </is>
      </c>
      <c r="M1178" t="inlineStr"/>
      <c r="N1178" t="inlineStr">
        <is>
          <t>6898-8471</t>
        </is>
      </c>
      <c r="O1178" t="inlineStr">
        <is>
          <t>Consumidor final</t>
        </is>
      </c>
      <c r="P1178" t="inlineStr">
        <is>
          <t>HIG-002</t>
        </is>
      </c>
      <c r="Q1178" t="inlineStr">
        <is>
          <t>Papel higiénico 4 rollos</t>
        </is>
      </c>
      <c r="R1178" t="inlineStr">
        <is>
          <t>Limpieza</t>
        </is>
      </c>
      <c r="S1178" t="inlineStr">
        <is>
          <t>Higiene Total C.A.</t>
        </is>
      </c>
      <c r="T1178" t="inlineStr">
        <is>
          <t>2207-5566</t>
        </is>
      </c>
      <c r="U1178" t="inlineStr">
        <is>
          <t>$2.15</t>
        </is>
      </c>
      <c r="V1178" t="n">
        <v>2</v>
      </c>
      <c r="W1178" t="n">
        <v>0</v>
      </c>
      <c r="X1178">
        <f>IFERROR(U1178*V1178*(1-W1178/100),"")</f>
        <v/>
      </c>
      <c r="Y1178">
        <f>IFERROR(ROUND(X1178*0.13,2),"")</f>
        <v/>
      </c>
      <c r="Z1178">
        <f>IFERROR(X1178+Y1178,"")</f>
        <v/>
      </c>
      <c r="AA1178" t="inlineStr">
        <is>
          <t>Transferencia</t>
        </is>
      </c>
      <c r="AB1178" t="inlineStr">
        <is>
          <t>entregar en bodega</t>
        </is>
      </c>
    </row>
    <row r="1179">
      <c r="A1179" t="inlineStr">
        <is>
          <t>F-11381</t>
        </is>
      </c>
      <c r="B1179" s="3" t="n">
        <v>46234</v>
      </c>
      <c r="C1179" t="inlineStr">
        <is>
          <t>Factura</t>
        </is>
      </c>
      <c r="D1179" t="inlineStr">
        <is>
          <t>LL01</t>
        </is>
      </c>
      <c r="E1179" t="inlineStr">
        <is>
          <t>Sta. Tecla</t>
        </is>
      </c>
      <c r="F1179" t="inlineStr">
        <is>
          <t>Calle Daniel Hernández #18</t>
        </is>
      </c>
      <c r="G1179" t="inlineStr">
        <is>
          <t>Santa Tecla</t>
        </is>
      </c>
      <c r="H1179" t="inlineStr">
        <is>
          <t>La Libertad</t>
        </is>
      </c>
      <c r="I1179" t="inlineStr">
        <is>
          <t>Óscar Rivas</t>
        </is>
      </c>
      <c r="J1179" t="inlineStr">
        <is>
          <t>2228-7731</t>
        </is>
      </c>
      <c r="K1179" t="inlineStr">
        <is>
          <t>Andrea Pineda</t>
        </is>
      </c>
      <c r="L1179" t="inlineStr">
        <is>
          <t>José Cornejo Hernández</t>
        </is>
      </c>
      <c r="M1179" t="inlineStr">
        <is>
          <t>07580296-3</t>
        </is>
      </c>
      <c r="N1179" t="inlineStr">
        <is>
          <t>6828-1335</t>
        </is>
      </c>
      <c r="O1179" t="inlineStr">
        <is>
          <t>Consumidor final</t>
        </is>
      </c>
      <c r="P1179" t="inlineStr">
        <is>
          <t>BEB-003</t>
        </is>
      </c>
      <c r="Q1179" t="inlineStr">
        <is>
          <t>Horchata en polvo 400g</t>
        </is>
      </c>
      <c r="R1179" t="inlineStr">
        <is>
          <t>Abarrotes</t>
        </is>
      </c>
      <c r="S1179" t="inlineStr">
        <is>
          <t>Bebidas Izalco</t>
        </is>
      </c>
      <c r="T1179" t="inlineStr">
        <is>
          <t>2450-7700</t>
        </is>
      </c>
      <c r="U1179" t="n">
        <v>2.6</v>
      </c>
      <c r="V1179" t="n">
        <v>2</v>
      </c>
      <c r="W1179" t="n">
        <v>0</v>
      </c>
      <c r="X1179">
        <f>IFERROR(U1179*V1179*(1-W1179/100),"")</f>
        <v/>
      </c>
      <c r="Y1179">
        <f>IFERROR(ROUND(X1179*0.13,2),"")</f>
        <v/>
      </c>
      <c r="Z1179">
        <f>IFERROR(X1179+Y1179,"")</f>
        <v/>
      </c>
      <c r="AA1179" t="inlineStr">
        <is>
          <t>Tarjeta</t>
        </is>
      </c>
      <c r="AB1179" t="inlineStr"/>
    </row>
    <row r="1180">
      <c r="A1180" t="inlineStr">
        <is>
          <t>F-11383</t>
        </is>
      </c>
      <c r="B1180" s="3" t="n">
        <v>46245</v>
      </c>
      <c r="C1180" t="inlineStr">
        <is>
          <t>Factura</t>
        </is>
      </c>
      <c r="D1180" t="inlineStr">
        <is>
          <t>SS03</t>
        </is>
      </c>
      <c r="E1180" t="inlineStr">
        <is>
          <t>soyapango</t>
        </is>
      </c>
      <c r="F1180" t="inlineStr">
        <is>
          <t>Blvd. del Ejército km 4</t>
        </is>
      </c>
      <c r="G1180" t="inlineStr">
        <is>
          <t>Soyapango</t>
        </is>
      </c>
      <c r="H1180" t="inlineStr">
        <is>
          <t>San Salvador</t>
        </is>
      </c>
      <c r="I1180" t="inlineStr">
        <is>
          <t>Karla Henríquez</t>
        </is>
      </c>
      <c r="J1180" t="inlineStr">
        <is>
          <t>2277-3402</t>
        </is>
      </c>
      <c r="K1180" t="inlineStr">
        <is>
          <t>Carlos Molina</t>
        </is>
      </c>
      <c r="L1180" t="inlineStr">
        <is>
          <t>Mario Martínez Sorto</t>
        </is>
      </c>
      <c r="M1180" t="inlineStr">
        <is>
          <t>02686393-2</t>
        </is>
      </c>
      <c r="N1180" t="inlineStr">
        <is>
          <t>7413-9318</t>
        </is>
      </c>
      <c r="O1180" t="inlineStr">
        <is>
          <t>Consumidor final</t>
        </is>
      </c>
      <c r="P1180" t="inlineStr">
        <is>
          <t>PAN-001</t>
        </is>
      </c>
      <c r="Q1180" t="inlineStr">
        <is>
          <t>Pan francés bolsa 10u</t>
        </is>
      </c>
      <c r="R1180" t="inlineStr">
        <is>
          <t>Panaderia</t>
        </is>
      </c>
      <c r="S1180" t="inlineStr">
        <is>
          <t>Panificadora Ilopango</t>
        </is>
      </c>
      <c r="T1180" t="inlineStr">
        <is>
          <t>2295-0081</t>
        </is>
      </c>
      <c r="U1180" t="n">
        <v>1</v>
      </c>
      <c r="V1180" t="n">
        <v>6</v>
      </c>
      <c r="W1180" t="n">
        <v>0</v>
      </c>
      <c r="X1180">
        <f>IFERROR(U1180*V1180*(1-W1180/100),"")</f>
        <v/>
      </c>
      <c r="Y1180">
        <f>IFERROR(ROUND(X1180*0.13,2),"")</f>
        <v/>
      </c>
      <c r="Z1180">
        <f>IFERROR(X1180+Y1180,"")</f>
        <v/>
      </c>
      <c r="AA1180" t="inlineStr">
        <is>
          <t>Efectivo</t>
        </is>
      </c>
      <c r="AB1180" t="inlineStr"/>
    </row>
    <row r="1181">
      <c r="A1181" t="inlineStr">
        <is>
          <t>F-11383</t>
        </is>
      </c>
      <c r="B1181" t="inlineStr">
        <is>
          <t>11-Aug-26</t>
        </is>
      </c>
      <c r="C1181" t="inlineStr">
        <is>
          <t>Factura</t>
        </is>
      </c>
      <c r="D1181" t="inlineStr">
        <is>
          <t>SS03</t>
        </is>
      </c>
      <c r="E1181" t="inlineStr">
        <is>
          <t>soyapango</t>
        </is>
      </c>
      <c r="F1181" t="inlineStr">
        <is>
          <t>Blvd. del Ejército km 4</t>
        </is>
      </c>
      <c r="G1181" t="inlineStr">
        <is>
          <t>Soyapango</t>
        </is>
      </c>
      <c r="H1181" t="inlineStr">
        <is>
          <t>San Salvador</t>
        </is>
      </c>
      <c r="I1181" t="inlineStr">
        <is>
          <t>Karla Henríquez</t>
        </is>
      </c>
      <c r="J1181" t="inlineStr">
        <is>
          <t>2277-3402</t>
        </is>
      </c>
      <c r="K1181" t="inlineStr">
        <is>
          <t>Carlos Molina</t>
        </is>
      </c>
      <c r="L1181" t="inlineStr">
        <is>
          <t>Mario Martínez Sorto</t>
        </is>
      </c>
      <c r="M1181" t="inlineStr">
        <is>
          <t>02686393-2</t>
        </is>
      </c>
      <c r="N1181" t="inlineStr">
        <is>
          <t>7413-9318</t>
        </is>
      </c>
      <c r="O1181" t="inlineStr">
        <is>
          <t>Consumidor final</t>
        </is>
      </c>
      <c r="P1181" t="inlineStr">
        <is>
          <t>ARR-001</t>
        </is>
      </c>
      <c r="Q1181" t="inlineStr">
        <is>
          <t>Arroz blanco 5lb</t>
        </is>
      </c>
      <c r="R1181" t="inlineStr">
        <is>
          <t>Granos básicos</t>
        </is>
      </c>
      <c r="S1181" t="inlineStr">
        <is>
          <t>Granos del Pacífico</t>
        </is>
      </c>
      <c r="T1181" t="inlineStr">
        <is>
          <t>2234-8890</t>
        </is>
      </c>
      <c r="U1181" t="n">
        <v>3.95</v>
      </c>
      <c r="V1181" t="n">
        <v>2</v>
      </c>
      <c r="W1181" t="n">
        <v>0</v>
      </c>
      <c r="X1181">
        <f>IFERROR(U1181*V1181*(1-W1181/100),"")</f>
        <v/>
      </c>
      <c r="Y1181">
        <f>IFERROR(ROUND(X1181*0.13,2),"")</f>
        <v/>
      </c>
      <c r="Z1181">
        <f>IFERROR(X1181+Y1181,"")</f>
        <v/>
      </c>
      <c r="AA1181" t="inlineStr">
        <is>
          <t>Efectivo</t>
        </is>
      </c>
      <c r="AB1181" t="inlineStr">
        <is>
          <t>pagó con billete de $100</t>
        </is>
      </c>
    </row>
    <row r="1182">
      <c r="A1182" t="inlineStr">
        <is>
          <t>F-11383</t>
        </is>
      </c>
      <c r="B1182" t="inlineStr">
        <is>
          <t>11/08/2026</t>
        </is>
      </c>
      <c r="C1182" t="inlineStr">
        <is>
          <t>Factura</t>
        </is>
      </c>
      <c r="D1182" t="inlineStr">
        <is>
          <t>SS03</t>
        </is>
      </c>
      <c r="E1182" t="inlineStr">
        <is>
          <t>soyapango</t>
        </is>
      </c>
      <c r="F1182" t="inlineStr">
        <is>
          <t>Blvd. del Ejército km 4</t>
        </is>
      </c>
      <c r="G1182" t="inlineStr">
        <is>
          <t>Soyapango</t>
        </is>
      </c>
      <c r="H1182" t="inlineStr">
        <is>
          <t>San Salvador</t>
        </is>
      </c>
      <c r="I1182" t="inlineStr">
        <is>
          <t>Karla Henríquez</t>
        </is>
      </c>
      <c r="J1182" t="inlineStr">
        <is>
          <t>2277-3402</t>
        </is>
      </c>
      <c r="K1182" t="inlineStr">
        <is>
          <t>Carlos Molina</t>
        </is>
      </c>
      <c r="L1182" t="inlineStr">
        <is>
          <t>Mario Martínez Sorto</t>
        </is>
      </c>
      <c r="M1182" t="inlineStr"/>
      <c r="N1182" t="inlineStr">
        <is>
          <t>7413-9318</t>
        </is>
      </c>
      <c r="O1182" t="inlineStr">
        <is>
          <t>Consumidor final</t>
        </is>
      </c>
      <c r="P1182" t="inlineStr">
        <is>
          <t>CAF-002</t>
        </is>
      </c>
      <c r="Q1182" t="inlineStr">
        <is>
          <t>Café en grano 1lb</t>
        </is>
      </c>
      <c r="R1182" t="inlineStr">
        <is>
          <t>Abarrotes</t>
        </is>
      </c>
      <c r="S1182" t="inlineStr">
        <is>
          <t>Café Volcán S.A.</t>
        </is>
      </c>
      <c r="T1182" t="inlineStr">
        <is>
          <t>2510-3344</t>
        </is>
      </c>
      <c r="U1182" t="n">
        <v>6.75</v>
      </c>
      <c r="V1182" t="n">
        <v>1</v>
      </c>
      <c r="W1182" t="n">
        <v>0</v>
      </c>
      <c r="X1182">
        <f>IFERROR(U1182*V1182*(1-W1182/100),"")</f>
        <v/>
      </c>
      <c r="Y1182">
        <f>IFERROR(ROUND(X1182*0.13,2),"")</f>
        <v/>
      </c>
      <c r="Z1182">
        <f>IFERROR(X1182+Y1182,"")</f>
        <v/>
      </c>
      <c r="AA1182" t="inlineStr">
        <is>
          <t>Efectivo</t>
        </is>
      </c>
      <c r="AB1182" t="inlineStr"/>
    </row>
    <row r="1183">
      <c r="A1183" t="inlineStr">
        <is>
          <t>F-11383</t>
        </is>
      </c>
      <c r="B1183" s="3" t="n">
        <v>46245</v>
      </c>
      <c r="C1183" t="inlineStr">
        <is>
          <t>Factura</t>
        </is>
      </c>
      <c r="D1183" t="inlineStr">
        <is>
          <t>SS03</t>
        </is>
      </c>
      <c r="E1183" t="inlineStr">
        <is>
          <t>soyapango</t>
        </is>
      </c>
      <c r="F1183" t="inlineStr">
        <is>
          <t>Blvd. del Ejército km 4</t>
        </is>
      </c>
      <c r="G1183" t="inlineStr">
        <is>
          <t>Soyapango</t>
        </is>
      </c>
      <c r="H1183" t="inlineStr">
        <is>
          <t>San Salvador</t>
        </is>
      </c>
      <c r="I1183" t="inlineStr">
        <is>
          <t>Karla Henríquez</t>
        </is>
      </c>
      <c r="J1183" t="inlineStr">
        <is>
          <t>2277-3402</t>
        </is>
      </c>
      <c r="K1183" t="inlineStr">
        <is>
          <t>Carlos Molina</t>
        </is>
      </c>
      <c r="L1183" t="inlineStr">
        <is>
          <t>Mario Martínez Sorto</t>
        </is>
      </c>
      <c r="M1183" t="inlineStr">
        <is>
          <t>02686393-2</t>
        </is>
      </c>
      <c r="N1183" t="inlineStr">
        <is>
          <t>7413-9318</t>
        </is>
      </c>
      <c r="O1183" t="inlineStr">
        <is>
          <t>Consumidor final</t>
        </is>
      </c>
      <c r="P1183" t="inlineStr">
        <is>
          <t>AZU-001</t>
        </is>
      </c>
      <c r="Q1183" t="inlineStr">
        <is>
          <t>Azúcar blanca 2.5kg</t>
        </is>
      </c>
      <c r="R1183" t="inlineStr">
        <is>
          <t>Abarrotes</t>
        </is>
      </c>
      <c r="S1183" t="inlineStr">
        <is>
          <t>Granos del Pacífico</t>
        </is>
      </c>
      <c r="T1183" t="inlineStr">
        <is>
          <t>2234-8890</t>
        </is>
      </c>
      <c r="U1183" t="inlineStr">
        <is>
          <t>3,10</t>
        </is>
      </c>
      <c r="V1183" t="n">
        <v>2</v>
      </c>
      <c r="W1183" t="n">
        <v>0</v>
      </c>
      <c r="X1183">
        <f>IFERROR(U1183*V1183*(1-W1183/100),"")</f>
        <v/>
      </c>
      <c r="Y1183">
        <f>IFERROR(ROUND(X1183*0.13,2),"")</f>
        <v/>
      </c>
      <c r="Z1183">
        <f>IFERROR(X1183+Y1183,"")</f>
        <v/>
      </c>
      <c r="AA1183" t="inlineStr">
        <is>
          <t>Efectivo</t>
        </is>
      </c>
      <c r="AB1183" t="inlineStr"/>
    </row>
    <row r="1184">
      <c r="A1184" t="inlineStr">
        <is>
          <t>F-11386</t>
        </is>
      </c>
      <c r="B1184" t="inlineStr">
        <is>
          <t>20/07/2026</t>
        </is>
      </c>
      <c r="C1184" t="inlineStr">
        <is>
          <t>Factura</t>
        </is>
      </c>
      <c r="D1184" t="inlineStr">
        <is>
          <t>SS01</t>
        </is>
      </c>
      <c r="E1184" t="inlineStr">
        <is>
          <t>S.S. Centro</t>
        </is>
      </c>
      <c r="F1184" t="inlineStr">
        <is>
          <t>4a Calle Poniente #215</t>
        </is>
      </c>
      <c r="G1184" t="inlineStr">
        <is>
          <t>San Salvador</t>
        </is>
      </c>
      <c r="H1184" t="inlineStr">
        <is>
          <t>San Salvador</t>
        </is>
      </c>
      <c r="I1184" t="inlineStr">
        <is>
          <t>Roberto Alfaro</t>
        </is>
      </c>
      <c r="J1184" t="inlineStr">
        <is>
          <t>2221-4580</t>
        </is>
      </c>
      <c r="K1184" t="inlineStr">
        <is>
          <t>José Martínez</t>
        </is>
      </c>
      <c r="L1184" t="inlineStr">
        <is>
          <t>Carmen Quintanilla Mejía</t>
        </is>
      </c>
      <c r="M1184" t="inlineStr">
        <is>
          <t>05832730-5</t>
        </is>
      </c>
      <c r="N1184" t="inlineStr">
        <is>
          <t>6863-9414</t>
        </is>
      </c>
      <c r="O1184" t="inlineStr">
        <is>
          <t>Consumidor final</t>
        </is>
      </c>
      <c r="P1184" t="inlineStr">
        <is>
          <t>LAC-003</t>
        </is>
      </c>
      <c r="Q1184" t="inlineStr">
        <is>
          <t>Leche entera 1L</t>
        </is>
      </c>
      <c r="R1184" t="inlineStr">
        <is>
          <t>Lácteos</t>
        </is>
      </c>
      <c r="S1184" t="inlineStr">
        <is>
          <t>Lácteos Chalate</t>
        </is>
      </c>
      <c r="T1184" t="inlineStr">
        <is>
          <t>2335-1020</t>
        </is>
      </c>
      <c r="U1184" t="inlineStr">
        <is>
          <t>1,20</t>
        </is>
      </c>
      <c r="V1184" t="n">
        <v>24</v>
      </c>
      <c r="W1184" t="n">
        <v>0</v>
      </c>
      <c r="X1184">
        <f>IFERROR(U1184*V1184*(1-W1184/100),"")</f>
        <v/>
      </c>
      <c r="Y1184">
        <f>IFERROR(ROUND(X1184*0.13,2),"")</f>
        <v/>
      </c>
      <c r="Z1184">
        <f>IFERROR(X1184+Y1184,"")</f>
        <v/>
      </c>
      <c r="AA1184" t="inlineStr">
        <is>
          <t>Tarjeta</t>
        </is>
      </c>
      <c r="AB1184" t="inlineStr">
        <is>
          <t>entregar en bodega</t>
        </is>
      </c>
    </row>
    <row r="1185">
      <c r="A1185" t="inlineStr">
        <is>
          <t>F-11386</t>
        </is>
      </c>
      <c r="B1185" t="inlineStr">
        <is>
          <t>20/07/2026</t>
        </is>
      </c>
      <c r="C1185" t="inlineStr">
        <is>
          <t>Factura</t>
        </is>
      </c>
      <c r="D1185" t="inlineStr">
        <is>
          <t>SS01</t>
        </is>
      </c>
      <c r="E1185" t="inlineStr">
        <is>
          <t>S.S. Centro</t>
        </is>
      </c>
      <c r="F1185" t="inlineStr">
        <is>
          <t>4a Calle Poniente #215</t>
        </is>
      </c>
      <c r="G1185" t="inlineStr">
        <is>
          <t>San Salvador</t>
        </is>
      </c>
      <c r="H1185" t="inlineStr">
        <is>
          <t>San Salvador</t>
        </is>
      </c>
      <c r="I1185" t="inlineStr">
        <is>
          <t>Roberto Alfaro</t>
        </is>
      </c>
      <c r="J1185" t="inlineStr">
        <is>
          <t>2221-4580</t>
        </is>
      </c>
      <c r="K1185" t="inlineStr">
        <is>
          <t>José Martínez</t>
        </is>
      </c>
      <c r="L1185" t="inlineStr">
        <is>
          <t>Carmen Quintanilla Mejía</t>
        </is>
      </c>
      <c r="M1185" t="inlineStr">
        <is>
          <t>05832730-5</t>
        </is>
      </c>
      <c r="N1185" t="inlineStr">
        <is>
          <t>6863-9414</t>
        </is>
      </c>
      <c r="O1185" t="inlineStr">
        <is>
          <t>Consumidor final</t>
        </is>
      </c>
      <c r="P1185" t="inlineStr">
        <is>
          <t>LAC-003</t>
        </is>
      </c>
      <c r="Q1185" t="inlineStr">
        <is>
          <t>Leche entera 1L</t>
        </is>
      </c>
      <c r="R1185" t="inlineStr">
        <is>
          <t>Lácteos</t>
        </is>
      </c>
      <c r="S1185" t="inlineStr">
        <is>
          <t>Lácteos Chalate</t>
        </is>
      </c>
      <c r="T1185" t="inlineStr">
        <is>
          <t>2335-1020</t>
        </is>
      </c>
      <c r="U1185" t="inlineStr">
        <is>
          <t>1,20</t>
        </is>
      </c>
      <c r="V1185" t="n">
        <v>24</v>
      </c>
      <c r="W1185" t="n">
        <v>0</v>
      </c>
      <c r="X1185">
        <f>IFERROR(U1185*V1185*(1-W1185/100),"")</f>
        <v/>
      </c>
      <c r="Y1185">
        <f>IFERROR(ROUND(X1185*0.13,2),"")</f>
        <v/>
      </c>
      <c r="Z1185">
        <f>IFERROR(X1185+Y1185,"")</f>
        <v/>
      </c>
      <c r="AA1185" t="inlineStr">
        <is>
          <t>Tarjeta</t>
        </is>
      </c>
      <c r="AB1185" t="inlineStr">
        <is>
          <t>entregar en bodega</t>
        </is>
      </c>
    </row>
    <row r="1186">
      <c r="A1186" t="inlineStr">
        <is>
          <t>F-11386</t>
        </is>
      </c>
      <c r="B1186" s="3" t="n">
        <v>46223</v>
      </c>
      <c r="C1186" t="inlineStr">
        <is>
          <t>Factura</t>
        </is>
      </c>
      <c r="D1186" t="inlineStr">
        <is>
          <t>SS01</t>
        </is>
      </c>
      <c r="E1186" t="inlineStr">
        <is>
          <t>San Salvador Centro</t>
        </is>
      </c>
      <c r="F1186" t="inlineStr">
        <is>
          <t>4a Calle Poniente #215</t>
        </is>
      </c>
      <c r="G1186" t="inlineStr">
        <is>
          <t>San Salvador</t>
        </is>
      </c>
      <c r="H1186" t="inlineStr">
        <is>
          <t>San Salvador</t>
        </is>
      </c>
      <c r="I1186" t="inlineStr">
        <is>
          <t>Roberto Alfaro</t>
        </is>
      </c>
      <c r="J1186" t="inlineStr">
        <is>
          <t>2221-4580</t>
        </is>
      </c>
      <c r="K1186" t="inlineStr">
        <is>
          <t>José Martínez</t>
        </is>
      </c>
      <c r="L1186" t="inlineStr">
        <is>
          <t>Carmen Quintanilla Mejía</t>
        </is>
      </c>
      <c r="M1186" t="inlineStr">
        <is>
          <t>05832730-5</t>
        </is>
      </c>
      <c r="N1186" t="inlineStr">
        <is>
          <t>6863-9414</t>
        </is>
      </c>
      <c r="O1186" t="inlineStr">
        <is>
          <t>Consumidor final</t>
        </is>
      </c>
      <c r="P1186" t="inlineStr">
        <is>
          <t>LAC-001</t>
        </is>
      </c>
      <c r="Q1186" t="inlineStr">
        <is>
          <t>Quesillo 1lb</t>
        </is>
      </c>
      <c r="R1186" t="inlineStr">
        <is>
          <t>Lacteos</t>
        </is>
      </c>
      <c r="S1186" t="inlineStr">
        <is>
          <t>Lácteos Chalate</t>
        </is>
      </c>
      <c r="T1186" t="inlineStr">
        <is>
          <t>2335-1020</t>
        </is>
      </c>
      <c r="U1186" t="n">
        <v>3.8</v>
      </c>
      <c r="V1186" t="n">
        <v>4</v>
      </c>
      <c r="W1186" t="n">
        <v>0</v>
      </c>
      <c r="X1186">
        <f>IFERROR(U1186*V1186*(1-W1186/100),"")</f>
        <v/>
      </c>
      <c r="Y1186">
        <f>IFERROR(ROUND(X1186*0.13,2),"")</f>
        <v/>
      </c>
      <c r="Z1186">
        <f>IFERROR(X1186+Y1186,"")</f>
        <v/>
      </c>
      <c r="AA1186" t="inlineStr">
        <is>
          <t>Tarjeta</t>
        </is>
      </c>
      <c r="AB1186" t="inlineStr"/>
    </row>
    <row r="1187">
      <c r="A1187" t="inlineStr">
        <is>
          <t>F-11386</t>
        </is>
      </c>
      <c r="B1187" t="inlineStr">
        <is>
          <t>20/07/2026</t>
        </is>
      </c>
      <c r="C1187" t="inlineStr">
        <is>
          <t>Factura</t>
        </is>
      </c>
      <c r="D1187" t="inlineStr">
        <is>
          <t>SS01</t>
        </is>
      </c>
      <c r="E1187" t="inlineStr">
        <is>
          <t>S.S. Centro</t>
        </is>
      </c>
      <c r="F1187" t="inlineStr">
        <is>
          <t>4a Calle Poniente #215</t>
        </is>
      </c>
      <c r="G1187" t="inlineStr">
        <is>
          <t>San Salvador</t>
        </is>
      </c>
      <c r="H1187" t="inlineStr">
        <is>
          <t>San Salvador</t>
        </is>
      </c>
      <c r="I1187" t="inlineStr">
        <is>
          <t>Roberto Alfaro</t>
        </is>
      </c>
      <c r="J1187" t="inlineStr">
        <is>
          <t>2221-4580</t>
        </is>
      </c>
      <c r="K1187" t="inlineStr">
        <is>
          <t>José Martínez</t>
        </is>
      </c>
      <c r="L1187" t="inlineStr">
        <is>
          <t>Carmen Quintanilla Mejía</t>
        </is>
      </c>
      <c r="M1187" t="inlineStr">
        <is>
          <t>05832730-5</t>
        </is>
      </c>
      <c r="N1187" t="inlineStr">
        <is>
          <t>6863-9414</t>
        </is>
      </c>
      <c r="O1187" t="inlineStr">
        <is>
          <t>Consumidor final</t>
        </is>
      </c>
      <c r="P1187" t="inlineStr">
        <is>
          <t>PAN-003</t>
        </is>
      </c>
      <c r="Q1187" t="inlineStr">
        <is>
          <t>Quesadilla salvadoreña</t>
        </is>
      </c>
      <c r="R1187" t="inlineStr">
        <is>
          <t>Panadería</t>
        </is>
      </c>
      <c r="S1187" t="inlineStr">
        <is>
          <t>Panificadora Ilopango</t>
        </is>
      </c>
      <c r="T1187" t="inlineStr">
        <is>
          <t>2295-0081</t>
        </is>
      </c>
      <c r="U1187" t="n">
        <v>2.5</v>
      </c>
      <c r="V1187" t="n">
        <v>1</v>
      </c>
      <c r="W1187" t="n">
        <v>0</v>
      </c>
      <c r="X1187">
        <f>IFERROR(U1187*V1187*(1-W1187/100),"")</f>
        <v/>
      </c>
      <c r="Y1187">
        <f>IFERROR(ROUND(X1187*0.13,2),"")</f>
        <v/>
      </c>
      <c r="Z1187">
        <f>IFERROR(X1187+Y1187,"")</f>
        <v/>
      </c>
      <c r="AA1187" t="inlineStr">
        <is>
          <t>Tarjeta</t>
        </is>
      </c>
      <c r="AB1187" t="inlineStr">
        <is>
          <t>Cliente frecuente</t>
        </is>
      </c>
    </row>
    <row r="1188">
      <c r="A1188" t="inlineStr">
        <is>
          <t>F-11386</t>
        </is>
      </c>
      <c r="B1188" s="3" t="n">
        <v>46223</v>
      </c>
      <c r="C1188" t="inlineStr">
        <is>
          <t>Factura</t>
        </is>
      </c>
      <c r="D1188" t="inlineStr">
        <is>
          <t>SS01</t>
        </is>
      </c>
      <c r="E1188" t="inlineStr">
        <is>
          <t>S.S. Centro</t>
        </is>
      </c>
      <c r="F1188" t="inlineStr">
        <is>
          <t>4a Calle Poniente #215</t>
        </is>
      </c>
      <c r="G1188" t="inlineStr">
        <is>
          <t>San Salvador</t>
        </is>
      </c>
      <c r="H1188" t="inlineStr">
        <is>
          <t>San Salvador</t>
        </is>
      </c>
      <c r="I1188" t="inlineStr">
        <is>
          <t>Roberto Alfaro</t>
        </is>
      </c>
      <c r="J1188" t="inlineStr">
        <is>
          <t>2221-4580</t>
        </is>
      </c>
      <c r="K1188" t="inlineStr">
        <is>
          <t>José Martínez</t>
        </is>
      </c>
      <c r="L1188" t="inlineStr">
        <is>
          <t>Carmen Quintanilla Mejía</t>
        </is>
      </c>
      <c r="M1188" t="inlineStr">
        <is>
          <t>05832730-5</t>
        </is>
      </c>
      <c r="N1188" t="inlineStr">
        <is>
          <t>6863-9414</t>
        </is>
      </c>
      <c r="O1188" t="inlineStr">
        <is>
          <t>Consumidor final</t>
        </is>
      </c>
      <c r="P1188" t="inlineStr">
        <is>
          <t>PAN-001</t>
        </is>
      </c>
      <c r="Q1188" t="inlineStr">
        <is>
          <t>Pan francés bolsa 10u</t>
        </is>
      </c>
      <c r="R1188" t="inlineStr">
        <is>
          <t>Panaderia</t>
        </is>
      </c>
      <c r="S1188" t="inlineStr">
        <is>
          <t>Panificadora Ilopango</t>
        </is>
      </c>
      <c r="T1188" t="inlineStr">
        <is>
          <t>2295-0081</t>
        </is>
      </c>
      <c r="U1188" t="n">
        <v>1</v>
      </c>
      <c r="V1188" t="n">
        <v>12</v>
      </c>
      <c r="W1188" t="n">
        <v>0</v>
      </c>
      <c r="X1188">
        <f>IFERROR(U1188*V1188*(1-W1188/100),"")</f>
        <v/>
      </c>
      <c r="Y1188">
        <f>IFERROR(ROUND(X1188*0.13,2),"")</f>
        <v/>
      </c>
      <c r="Z1188">
        <f>IFERROR(X1188+Y1188,"")</f>
        <v/>
      </c>
      <c r="AA1188" t="inlineStr">
        <is>
          <t>Tarjeta</t>
        </is>
      </c>
      <c r="AB1188" t="inlineStr"/>
    </row>
    <row r="1189">
      <c r="A1189" t="inlineStr">
        <is>
          <t>F-11388</t>
        </is>
      </c>
      <c r="B1189" s="3" t="n">
        <v>46217</v>
      </c>
      <c r="C1189" t="inlineStr">
        <is>
          <t>Factura</t>
        </is>
      </c>
      <c r="D1189" t="inlineStr">
        <is>
          <t>SA01</t>
        </is>
      </c>
      <c r="E1189" t="inlineStr">
        <is>
          <t>Santa  Ana</t>
        </is>
      </c>
      <c r="F1189" t="inlineStr">
        <is>
          <t>Av. Independencia Sur #12</t>
        </is>
      </c>
      <c r="G1189" t="inlineStr">
        <is>
          <t>Santa Ana</t>
        </is>
      </c>
      <c r="H1189" t="inlineStr">
        <is>
          <t>Santa Ana</t>
        </is>
      </c>
      <c r="I1189" t="inlineStr">
        <is>
          <t>Mauricio Linares</t>
        </is>
      </c>
      <c r="J1189" t="inlineStr">
        <is>
          <t>2440-9921</t>
        </is>
      </c>
      <c r="K1189" t="inlineStr">
        <is>
          <t>Sofía Cáceres</t>
        </is>
      </c>
      <c r="L1189" t="inlineStr">
        <is>
          <t>René Cornejo Cornejo</t>
        </is>
      </c>
      <c r="M1189" t="inlineStr">
        <is>
          <t>03632979-1</t>
        </is>
      </c>
      <c r="N1189" t="inlineStr">
        <is>
          <t>7833-5595</t>
        </is>
      </c>
      <c r="O1189" t="inlineStr">
        <is>
          <t>Consumidor final</t>
        </is>
      </c>
      <c r="P1189" t="inlineStr">
        <is>
          <t>CAF-002</t>
        </is>
      </c>
      <c r="Q1189" t="inlineStr">
        <is>
          <t>Café en grano 1lb</t>
        </is>
      </c>
      <c r="R1189" t="inlineStr">
        <is>
          <t>Abarrotes</t>
        </is>
      </c>
      <c r="S1189" t="inlineStr">
        <is>
          <t>Café Volcán S.A.</t>
        </is>
      </c>
      <c r="T1189" t="inlineStr">
        <is>
          <t>2510-3344</t>
        </is>
      </c>
      <c r="U1189" t="n">
        <v>6.75</v>
      </c>
      <c r="V1189" t="n">
        <v>2</v>
      </c>
      <c r="W1189" t="n">
        <v>0</v>
      </c>
      <c r="X1189">
        <f>IFERROR(U1189*V1189*(1-W1189/100),"")</f>
        <v/>
      </c>
      <c r="Y1189">
        <f>IFERROR(ROUND(X1189*0.13,2),"")</f>
        <v/>
      </c>
      <c r="Z1189">
        <f>IFERROR(X1189+Y1189,"")</f>
        <v/>
      </c>
      <c r="AA1189" t="inlineStr">
        <is>
          <t>Tarjeta</t>
        </is>
      </c>
      <c r="AB1189" t="inlineStr"/>
    </row>
    <row r="1190">
      <c r="A1190" t="inlineStr">
        <is>
          <t>F-11388</t>
        </is>
      </c>
      <c r="B1190" s="3" t="n">
        <v>46217</v>
      </c>
      <c r="C1190" t="inlineStr">
        <is>
          <t>Factura</t>
        </is>
      </c>
      <c r="D1190" t="inlineStr">
        <is>
          <t>SA01</t>
        </is>
      </c>
      <c r="E1190" t="inlineStr">
        <is>
          <t>STA ANA</t>
        </is>
      </c>
      <c r="F1190" t="inlineStr">
        <is>
          <t>Av. Independencia Sur #12</t>
        </is>
      </c>
      <c r="G1190" t="inlineStr">
        <is>
          <t>Santa Ana</t>
        </is>
      </c>
      <c r="H1190" t="inlineStr">
        <is>
          <t>Santa Ana</t>
        </is>
      </c>
      <c r="I1190" t="inlineStr">
        <is>
          <t>Mauricio Linares</t>
        </is>
      </c>
      <c r="J1190" t="inlineStr">
        <is>
          <t>2440-9921</t>
        </is>
      </c>
      <c r="K1190" t="inlineStr">
        <is>
          <t>Sofía Cáceres</t>
        </is>
      </c>
      <c r="L1190" t="inlineStr">
        <is>
          <t>René Cornejo Cornejo</t>
        </is>
      </c>
      <c r="M1190" t="inlineStr">
        <is>
          <t>03632979-1</t>
        </is>
      </c>
      <c r="N1190" t="inlineStr">
        <is>
          <t>7833-5595</t>
        </is>
      </c>
      <c r="O1190" t="inlineStr">
        <is>
          <t>Consumidor final</t>
        </is>
      </c>
      <c r="P1190" t="inlineStr">
        <is>
          <t>PAN-001</t>
        </is>
      </c>
      <c r="Q1190" t="inlineStr">
        <is>
          <t>Pan francés bolsa 10u</t>
        </is>
      </c>
      <c r="R1190" t="inlineStr">
        <is>
          <t>Panadería</t>
        </is>
      </c>
      <c r="S1190" t="inlineStr">
        <is>
          <t>Panificadora Ilopango</t>
        </is>
      </c>
      <c r="T1190" t="inlineStr">
        <is>
          <t>2295-0081</t>
        </is>
      </c>
      <c r="U1190" t="n">
        <v>1</v>
      </c>
      <c r="V1190" t="n">
        <v>2</v>
      </c>
      <c r="W1190" t="n">
        <v>0</v>
      </c>
      <c r="X1190">
        <f>IFERROR(U1190*V1190*(1-W1190/100),"")</f>
        <v/>
      </c>
      <c r="Y1190">
        <f>IFERROR(ROUND(X1190*0.13,2),"")</f>
        <v/>
      </c>
      <c r="Z1190">
        <f>IFERROR(X1190+Y1190,"")</f>
        <v/>
      </c>
      <c r="AA1190" t="inlineStr">
        <is>
          <t>Tarjeta</t>
        </is>
      </c>
      <c r="AB1190" t="inlineStr"/>
    </row>
    <row r="1191">
      <c r="A1191" t="inlineStr">
        <is>
          <t>F-11388</t>
        </is>
      </c>
      <c r="B1191" s="3" t="n">
        <v>46217</v>
      </c>
      <c r="C1191" t="inlineStr">
        <is>
          <t>Factura</t>
        </is>
      </c>
      <c r="D1191" t="inlineStr">
        <is>
          <t>SA01</t>
        </is>
      </c>
      <c r="E1191" t="inlineStr">
        <is>
          <t>STA ANA</t>
        </is>
      </c>
      <c r="F1191" t="inlineStr">
        <is>
          <t>Av. Independencia Sur #12</t>
        </is>
      </c>
      <c r="G1191" t="inlineStr">
        <is>
          <t>Santa Ana</t>
        </is>
      </c>
      <c r="H1191" t="inlineStr">
        <is>
          <t>Santa Ana</t>
        </is>
      </c>
      <c r="I1191" t="inlineStr">
        <is>
          <t>Mauricio Linares</t>
        </is>
      </c>
      <c r="J1191" t="inlineStr">
        <is>
          <t>2440-9921</t>
        </is>
      </c>
      <c r="K1191" t="inlineStr">
        <is>
          <t>Sofía Cáceres</t>
        </is>
      </c>
      <c r="L1191" t="inlineStr">
        <is>
          <t>René Cornejo Cornejo</t>
        </is>
      </c>
      <c r="M1191" t="inlineStr">
        <is>
          <t>03632979-1</t>
        </is>
      </c>
      <c r="N1191" t="inlineStr">
        <is>
          <t>7833-5595</t>
        </is>
      </c>
      <c r="O1191" t="inlineStr">
        <is>
          <t>Consumidor final</t>
        </is>
      </c>
      <c r="P1191" t="inlineStr">
        <is>
          <t>LAC-002</t>
        </is>
      </c>
      <c r="Q1191" t="inlineStr">
        <is>
          <t>Crema 500ml</t>
        </is>
      </c>
      <c r="R1191" t="inlineStr">
        <is>
          <t>Lacteos</t>
        </is>
      </c>
      <c r="S1191" t="inlineStr">
        <is>
          <t>Lácteos Chalate</t>
        </is>
      </c>
      <c r="T1191" t="inlineStr">
        <is>
          <t>2335-1020</t>
        </is>
      </c>
      <c r="U1191" t="n">
        <v>2.25</v>
      </c>
      <c r="V1191" t="n">
        <v>4</v>
      </c>
      <c r="W1191" t="n">
        <v>0</v>
      </c>
      <c r="X1191">
        <f>IFERROR(U1191*V1191*(1-W1191/100),"")</f>
        <v/>
      </c>
      <c r="Y1191">
        <f>IFERROR(ROUND(X1191*0.13,2),"")</f>
        <v/>
      </c>
      <c r="Z1191">
        <f>IFERROR(X1191+Y1191,"")</f>
        <v/>
      </c>
      <c r="AA1191" t="inlineStr">
        <is>
          <t>Tarjeta</t>
        </is>
      </c>
      <c r="AB1191" t="inlineStr"/>
    </row>
    <row r="1192">
      <c r="A1192" t="inlineStr">
        <is>
          <t>F-11388</t>
        </is>
      </c>
      <c r="B1192" t="inlineStr">
        <is>
          <t>2026-07-14</t>
        </is>
      </c>
      <c r="C1192" t="inlineStr">
        <is>
          <t>Factura</t>
        </is>
      </c>
      <c r="D1192" t="inlineStr">
        <is>
          <t>SA01</t>
        </is>
      </c>
      <c r="E1192" t="inlineStr">
        <is>
          <t>Santa  Ana</t>
        </is>
      </c>
      <c r="F1192" t="inlineStr">
        <is>
          <t>Av. Independencia Sur #12</t>
        </is>
      </c>
      <c r="G1192" t="inlineStr">
        <is>
          <t>Santa Ana</t>
        </is>
      </c>
      <c r="H1192" t="inlineStr">
        <is>
          <t>Santa Ana</t>
        </is>
      </c>
      <c r="I1192" t="inlineStr">
        <is>
          <t>Mauricio Linares</t>
        </is>
      </c>
      <c r="J1192" t="inlineStr">
        <is>
          <t>2440-9921</t>
        </is>
      </c>
      <c r="K1192" t="inlineStr">
        <is>
          <t>Sofía Cáceres</t>
        </is>
      </c>
      <c r="L1192" t="inlineStr">
        <is>
          <t>René Cornejo Cornejo</t>
        </is>
      </c>
      <c r="M1192" t="inlineStr">
        <is>
          <t>03632979-1</t>
        </is>
      </c>
      <c r="N1192" t="inlineStr">
        <is>
          <t>7833-5595</t>
        </is>
      </c>
      <c r="O1192" t="inlineStr">
        <is>
          <t>Consumidor final</t>
        </is>
      </c>
      <c r="P1192" t="inlineStr">
        <is>
          <t>BEB-002</t>
        </is>
      </c>
      <c r="Q1192" t="inlineStr">
        <is>
          <t>Agua purificada 1 galón</t>
        </is>
      </c>
      <c r="R1192" t="inlineStr">
        <is>
          <t>Bebidas</t>
        </is>
      </c>
      <c r="S1192" t="inlineStr">
        <is>
          <t>Bebidas Izalco</t>
        </is>
      </c>
      <c r="T1192" t="inlineStr">
        <is>
          <t>2450-7700</t>
        </is>
      </c>
      <c r="U1192" t="n">
        <v>1.1</v>
      </c>
      <c r="V1192" t="n">
        <v>6</v>
      </c>
      <c r="W1192" t="n">
        <v>0</v>
      </c>
      <c r="X1192">
        <f>IFERROR(U1192*V1192*(1-W1192/100),"")</f>
        <v/>
      </c>
      <c r="Y1192">
        <f>IFERROR(ROUND(X1192*0.13,2),"")</f>
        <v/>
      </c>
      <c r="Z1192">
        <f>IFERROR(X1192+Y1192,"")</f>
        <v/>
      </c>
      <c r="AA1192" t="inlineStr">
        <is>
          <t>Tarjeta</t>
        </is>
      </c>
      <c r="AB1192" t="inlineStr"/>
    </row>
    <row r="1193">
      <c r="A1193" t="inlineStr">
        <is>
          <t>F-11391</t>
        </is>
      </c>
      <c r="B1193" s="3" t="n">
        <v>46208</v>
      </c>
      <c r="C1193" t="inlineStr">
        <is>
          <t>factura</t>
        </is>
      </c>
      <c r="D1193" t="inlineStr">
        <is>
          <t>SA01</t>
        </is>
      </c>
      <c r="E1193" t="inlineStr">
        <is>
          <t>Santa Ana</t>
        </is>
      </c>
      <c r="F1193" t="inlineStr">
        <is>
          <t>Av. Independencia Sur #12</t>
        </is>
      </c>
      <c r="G1193" t="inlineStr">
        <is>
          <t>Santa Ana</t>
        </is>
      </c>
      <c r="H1193" t="inlineStr">
        <is>
          <t>Santa Ana</t>
        </is>
      </c>
      <c r="I1193" t="inlineStr">
        <is>
          <t>Mauricio Linares</t>
        </is>
      </c>
      <c r="J1193" t="inlineStr">
        <is>
          <t>2440-9921</t>
        </is>
      </c>
      <c r="K1193" t="inlineStr">
        <is>
          <t>Sofía Cáceres</t>
        </is>
      </c>
      <c r="L1193" t="inlineStr">
        <is>
          <t>Sandra Lemus Flores</t>
        </is>
      </c>
      <c r="M1193" t="inlineStr">
        <is>
          <t>07143344-7</t>
        </is>
      </c>
      <c r="N1193" t="inlineStr">
        <is>
          <t>2764-5365</t>
        </is>
      </c>
      <c r="O1193" t="inlineStr">
        <is>
          <t>Consumidor final</t>
        </is>
      </c>
      <c r="P1193" t="inlineStr">
        <is>
          <t>CAF-001</t>
        </is>
      </c>
      <c r="Q1193" t="inlineStr">
        <is>
          <t>Café molido 400g</t>
        </is>
      </c>
      <c r="R1193" t="inlineStr">
        <is>
          <t>ABARROTES</t>
        </is>
      </c>
      <c r="S1193" t="inlineStr">
        <is>
          <t>Café Volcán S.A.</t>
        </is>
      </c>
      <c r="T1193" t="inlineStr">
        <is>
          <t>2510-3344</t>
        </is>
      </c>
      <c r="U1193" t="n">
        <v>4.25</v>
      </c>
      <c r="V1193" t="n">
        <v>24</v>
      </c>
      <c r="W1193" t="n">
        <v>0</v>
      </c>
      <c r="X1193">
        <f>IFERROR(U1193*V1193*(1-W1193/100),"")</f>
        <v/>
      </c>
      <c r="Y1193">
        <f>IFERROR(ROUND(X1193*0.13,2),"")</f>
        <v/>
      </c>
      <c r="Z1193">
        <f>IFERROR(X1193+Y1193,"")</f>
        <v/>
      </c>
      <c r="AA1193" t="inlineStr">
        <is>
          <t>Efectivo</t>
        </is>
      </c>
      <c r="AB1193" t="inlineStr"/>
    </row>
    <row r="1194">
      <c r="A1194" t="inlineStr">
        <is>
          <t>F-11391</t>
        </is>
      </c>
      <c r="B1194" t="inlineStr">
        <is>
          <t>05/07/2026</t>
        </is>
      </c>
      <c r="C1194" t="inlineStr">
        <is>
          <t>factura</t>
        </is>
      </c>
      <c r="D1194" t="inlineStr">
        <is>
          <t>SA01</t>
        </is>
      </c>
      <c r="E1194" t="inlineStr">
        <is>
          <t>Santa Ana</t>
        </is>
      </c>
      <c r="F1194" t="inlineStr">
        <is>
          <t>Av. Independencia Sur #12</t>
        </is>
      </c>
      <c r="G1194" t="inlineStr">
        <is>
          <t>Santa Ana</t>
        </is>
      </c>
      <c r="H1194" t="inlineStr">
        <is>
          <t>Santa Ana</t>
        </is>
      </c>
      <c r="I1194" t="inlineStr">
        <is>
          <t>Mauricio Linares</t>
        </is>
      </c>
      <c r="J1194" t="inlineStr">
        <is>
          <t>2440-9921</t>
        </is>
      </c>
      <c r="K1194" t="inlineStr">
        <is>
          <t>Sofía Cáceres</t>
        </is>
      </c>
      <c r="L1194" t="inlineStr">
        <is>
          <t>Sandra Lemus Flores</t>
        </is>
      </c>
      <c r="M1194" t="inlineStr">
        <is>
          <t>07143344-7</t>
        </is>
      </c>
      <c r="N1194" t="inlineStr">
        <is>
          <t>2764-5365</t>
        </is>
      </c>
      <c r="O1194" t="inlineStr">
        <is>
          <t>Consumidor final</t>
        </is>
      </c>
      <c r="P1194" t="inlineStr">
        <is>
          <t>BEB-003</t>
        </is>
      </c>
      <c r="Q1194" t="inlineStr">
        <is>
          <t>Horchata en polvo 400g</t>
        </is>
      </c>
      <c r="R1194" t="inlineStr">
        <is>
          <t>Abarrotes</t>
        </is>
      </c>
      <c r="S1194" t="inlineStr">
        <is>
          <t>Bebidas Izalco</t>
        </is>
      </c>
      <c r="T1194" t="inlineStr">
        <is>
          <t>2450-7700</t>
        </is>
      </c>
      <c r="U1194" t="n">
        <v>2.6</v>
      </c>
      <c r="V1194" t="n">
        <v>2</v>
      </c>
      <c r="W1194" t="n">
        <v>0</v>
      </c>
      <c r="X1194">
        <f>IFERROR(U1194*V1194*(1-W1194/100),"")</f>
        <v/>
      </c>
      <c r="Y1194">
        <f>IFERROR(ROUND(X1194*0.13,2),"")</f>
        <v/>
      </c>
      <c r="Z1194">
        <f>IFERROR(X1194+Y1194,"")</f>
        <v/>
      </c>
      <c r="AA1194" t="inlineStr">
        <is>
          <t>Efectivo</t>
        </is>
      </c>
      <c r="AB1194" t="inlineStr">
        <is>
          <t>precio especial autorizado por gerente</t>
        </is>
      </c>
    </row>
    <row r="1195">
      <c r="A1195" t="inlineStr">
        <is>
          <t>F-11391</t>
        </is>
      </c>
      <c r="B1195" s="3" t="n">
        <v>46208</v>
      </c>
      <c r="C1195" t="inlineStr">
        <is>
          <t>factura</t>
        </is>
      </c>
      <c r="D1195" t="inlineStr">
        <is>
          <t>SA01</t>
        </is>
      </c>
      <c r="E1195" t="inlineStr">
        <is>
          <t>Santa Ana</t>
        </is>
      </c>
      <c r="F1195" t="inlineStr">
        <is>
          <t>Av. Independencia Sur #12</t>
        </is>
      </c>
      <c r="G1195" t="inlineStr">
        <is>
          <t>Santa Ana</t>
        </is>
      </c>
      <c r="H1195" t="inlineStr">
        <is>
          <t>Santa Ana</t>
        </is>
      </c>
      <c r="I1195" t="inlineStr">
        <is>
          <t>Mauricio Linares</t>
        </is>
      </c>
      <c r="J1195" t="inlineStr">
        <is>
          <t>2440-9921</t>
        </is>
      </c>
      <c r="K1195" t="inlineStr">
        <is>
          <t>Sofía Cáceres</t>
        </is>
      </c>
      <c r="L1195" t="inlineStr">
        <is>
          <t>Sandra Lemus Flores</t>
        </is>
      </c>
      <c r="M1195" t="inlineStr">
        <is>
          <t>07143344-7</t>
        </is>
      </c>
      <c r="N1195" t="inlineStr">
        <is>
          <t>2764-5365</t>
        </is>
      </c>
      <c r="O1195" t="inlineStr">
        <is>
          <t>Consumidor final</t>
        </is>
      </c>
      <c r="P1195" t="inlineStr">
        <is>
          <t>AZU-001</t>
        </is>
      </c>
      <c r="Q1195" t="inlineStr">
        <is>
          <t>Azúcar blanca 2.5kg</t>
        </is>
      </c>
      <c r="R1195" t="inlineStr">
        <is>
          <t>Abarrotes</t>
        </is>
      </c>
      <c r="S1195" t="inlineStr">
        <is>
          <t>Granos del Pacífico</t>
        </is>
      </c>
      <c r="T1195" t="inlineStr">
        <is>
          <t>2234-8890</t>
        </is>
      </c>
      <c r="U1195" t="n">
        <v>3.1</v>
      </c>
      <c r="V1195" t="n">
        <v>1</v>
      </c>
      <c r="W1195" t="n">
        <v>0</v>
      </c>
      <c r="X1195">
        <f>IFERROR(U1195*V1195*(1-W1195/100),"")</f>
        <v/>
      </c>
      <c r="Y1195">
        <f>IFERROR(ROUND(X1195*0.13,2),"")</f>
        <v/>
      </c>
      <c r="Z1195">
        <f>IFERROR(X1195+Y1195,"")</f>
        <v/>
      </c>
      <c r="AA1195" t="inlineStr">
        <is>
          <t>Efectivo</t>
        </is>
      </c>
      <c r="AB1195" t="inlineStr">
        <is>
          <t>Cliente frecuente</t>
        </is>
      </c>
    </row>
    <row r="1196">
      <c r="A1196" t="inlineStr">
        <is>
          <t>F-11391</t>
        </is>
      </c>
      <c r="B1196" s="3" t="n">
        <v>46208</v>
      </c>
      <c r="C1196" t="inlineStr">
        <is>
          <t>factura</t>
        </is>
      </c>
      <c r="D1196" t="inlineStr">
        <is>
          <t>SA01</t>
        </is>
      </c>
      <c r="E1196" t="inlineStr">
        <is>
          <t>Santa  Ana</t>
        </is>
      </c>
      <c r="F1196" t="inlineStr">
        <is>
          <t>Av. Independencia Sur #12</t>
        </is>
      </c>
      <c r="G1196" t="inlineStr">
        <is>
          <t>Santa Ana</t>
        </is>
      </c>
      <c r="H1196" t="inlineStr">
        <is>
          <t>Santa Ana</t>
        </is>
      </c>
      <c r="I1196" t="inlineStr">
        <is>
          <t>Mauricio Linares</t>
        </is>
      </c>
      <c r="J1196" t="inlineStr">
        <is>
          <t>2440-9921</t>
        </is>
      </c>
      <c r="K1196" t="inlineStr">
        <is>
          <t>Sofía Cáceres</t>
        </is>
      </c>
      <c r="L1196" t="inlineStr">
        <is>
          <t>SANDRA LEMUS FLORES</t>
        </is>
      </c>
      <c r="M1196" t="inlineStr">
        <is>
          <t>07143344-7</t>
        </is>
      </c>
      <c r="N1196" t="inlineStr">
        <is>
          <t>2764-5365</t>
        </is>
      </c>
      <c r="O1196" t="inlineStr">
        <is>
          <t>Consumidor final</t>
        </is>
      </c>
      <c r="P1196" t="inlineStr">
        <is>
          <t>LAC-003</t>
        </is>
      </c>
      <c r="Q1196" t="inlineStr">
        <is>
          <t>Leche entera 1L</t>
        </is>
      </c>
      <c r="R1196" t="inlineStr">
        <is>
          <t>Lácteos</t>
        </is>
      </c>
      <c r="S1196" t="inlineStr">
        <is>
          <t>Lácteos Chalate</t>
        </is>
      </c>
      <c r="T1196" t="inlineStr">
        <is>
          <t>2335-1020</t>
        </is>
      </c>
      <c r="U1196" t="n">
        <v>1.2</v>
      </c>
      <c r="V1196" t="n">
        <v>2</v>
      </c>
      <c r="W1196" t="n">
        <v>0</v>
      </c>
      <c r="X1196">
        <f>IFERROR(U1196*V1196*(1-W1196/100),"")</f>
        <v/>
      </c>
      <c r="Y1196">
        <f>IFERROR(ROUND(X1196*0.13,2),"")</f>
        <v/>
      </c>
      <c r="Z1196">
        <f>IFERROR(X1196+Y1196,"")</f>
        <v/>
      </c>
      <c r="AA1196" t="inlineStr">
        <is>
          <t>Efectivo</t>
        </is>
      </c>
      <c r="AB1196" t="inlineStr"/>
    </row>
    <row r="1197">
      <c r="A1197" t="inlineStr">
        <is>
          <t>F-11392</t>
        </is>
      </c>
      <c r="B1197" s="3" t="n">
        <v>46211</v>
      </c>
      <c r="C1197" t="inlineStr">
        <is>
          <t>factura</t>
        </is>
      </c>
      <c r="D1197" t="inlineStr">
        <is>
          <t>SS01</t>
        </is>
      </c>
      <c r="E1197" t="inlineStr">
        <is>
          <t xml:space="preserve">san salvador centro </t>
        </is>
      </c>
      <c r="F1197" t="inlineStr">
        <is>
          <t>4a Calle Poniente #215</t>
        </is>
      </c>
      <c r="G1197" t="inlineStr">
        <is>
          <t>San Salvador</t>
        </is>
      </c>
      <c r="H1197" t="inlineStr">
        <is>
          <t>San Salvador</t>
        </is>
      </c>
      <c r="I1197" t="inlineStr">
        <is>
          <t>Roberto Alfaro</t>
        </is>
      </c>
      <c r="J1197" t="inlineStr">
        <is>
          <t>2221-4580</t>
        </is>
      </c>
      <c r="K1197" t="inlineStr">
        <is>
          <t>José Martínez</t>
        </is>
      </c>
      <c r="L1197" t="inlineStr">
        <is>
          <t>José Cornejo Hernández</t>
        </is>
      </c>
      <c r="M1197" t="inlineStr">
        <is>
          <t>07580296-3</t>
        </is>
      </c>
      <c r="N1197" t="inlineStr">
        <is>
          <t>6828-1335</t>
        </is>
      </c>
      <c r="O1197" t="inlineStr">
        <is>
          <t>Consumidor final</t>
        </is>
      </c>
      <c r="P1197" t="inlineStr">
        <is>
          <t>FRI-001</t>
        </is>
      </c>
      <c r="Q1197" t="inlineStr">
        <is>
          <t>Frijol rojo de seda 2lb</t>
        </is>
      </c>
      <c r="R1197" t="inlineStr">
        <is>
          <t>Abarrotes</t>
        </is>
      </c>
      <c r="S1197" t="inlineStr">
        <is>
          <t>Granos del Pacífico</t>
        </is>
      </c>
      <c r="T1197" t="inlineStr">
        <is>
          <t>2234-8890</t>
        </is>
      </c>
      <c r="U1197" t="n">
        <v>2.4</v>
      </c>
      <c r="V1197" t="n">
        <v>12</v>
      </c>
      <c r="W1197" t="n">
        <v>0</v>
      </c>
      <c r="X1197">
        <f>IFERROR(U1197*V1197*(1-W1197/100),"")</f>
        <v/>
      </c>
      <c r="Y1197">
        <f>IFERROR(ROUND(X1197*0.13,2),"")</f>
        <v/>
      </c>
      <c r="Z1197">
        <f>IFERROR(X1197+Y1197,"")</f>
        <v/>
      </c>
      <c r="AA1197" t="inlineStr">
        <is>
          <t>Chivo</t>
        </is>
      </c>
      <c r="AB1197" t="inlineStr"/>
    </row>
    <row r="1198">
      <c r="A1198" t="inlineStr">
        <is>
          <t>F-11392</t>
        </is>
      </c>
      <c r="B1198" s="3" t="n">
        <v>46211</v>
      </c>
      <c r="C1198" t="inlineStr">
        <is>
          <t>factura</t>
        </is>
      </c>
      <c r="D1198" t="inlineStr">
        <is>
          <t>SS01</t>
        </is>
      </c>
      <c r="E1198" t="inlineStr">
        <is>
          <t>SAN SALVADOR CENTRO</t>
        </is>
      </c>
      <c r="F1198" t="inlineStr">
        <is>
          <t>4a Calle Poniente #215</t>
        </is>
      </c>
      <c r="G1198" t="inlineStr">
        <is>
          <t>San Salvador</t>
        </is>
      </c>
      <c r="H1198" t="inlineStr">
        <is>
          <t>San Salvador</t>
        </is>
      </c>
      <c r="I1198" t="inlineStr">
        <is>
          <t>Roberto Alfaro</t>
        </is>
      </c>
      <c r="J1198" t="inlineStr">
        <is>
          <t>2221-4580</t>
        </is>
      </c>
      <c r="K1198" t="inlineStr">
        <is>
          <t>José Martínez</t>
        </is>
      </c>
      <c r="L1198" t="inlineStr">
        <is>
          <t>José Cornejo Hernández</t>
        </is>
      </c>
      <c r="M1198" t="inlineStr"/>
      <c r="N1198" t="inlineStr">
        <is>
          <t>6828-1335</t>
        </is>
      </c>
      <c r="O1198" t="inlineStr">
        <is>
          <t>Consumidor final</t>
        </is>
      </c>
      <c r="P1198" t="inlineStr">
        <is>
          <t>LAC-001</t>
        </is>
      </c>
      <c r="Q1198" t="inlineStr">
        <is>
          <t>Quesillo 1lb</t>
        </is>
      </c>
      <c r="R1198" t="inlineStr">
        <is>
          <t>Lacteos</t>
        </is>
      </c>
      <c r="S1198" t="inlineStr">
        <is>
          <t>Lácteos Chalate</t>
        </is>
      </c>
      <c r="T1198" t="inlineStr">
        <is>
          <t>2335-1020</t>
        </is>
      </c>
      <c r="U1198" t="n">
        <v>3.8</v>
      </c>
      <c r="V1198" t="n">
        <v>1</v>
      </c>
      <c r="W1198" t="n">
        <v>0</v>
      </c>
      <c r="X1198">
        <f>IFERROR(U1198*V1198*(1-W1198/100),"")</f>
        <v/>
      </c>
      <c r="Y1198">
        <f>IFERROR(ROUND(X1198*0.13,2),"")</f>
        <v/>
      </c>
      <c r="Z1198">
        <f>IFERROR(X1198+Y1198,"")</f>
        <v/>
      </c>
      <c r="AA1198" t="inlineStr">
        <is>
          <t>Chivo</t>
        </is>
      </c>
      <c r="AB1198" t="inlineStr"/>
    </row>
    <row r="1199">
      <c r="A1199" t="inlineStr">
        <is>
          <t>F-11392</t>
        </is>
      </c>
      <c r="B1199" t="inlineStr">
        <is>
          <t>2026-07-08</t>
        </is>
      </c>
      <c r="C1199" t="inlineStr">
        <is>
          <t>factura</t>
        </is>
      </c>
      <c r="D1199" t="inlineStr">
        <is>
          <t>SS01</t>
        </is>
      </c>
      <c r="E1199" t="inlineStr">
        <is>
          <t>S.S. Centro</t>
        </is>
      </c>
      <c r="F1199" t="inlineStr">
        <is>
          <t>4a Calle Poniente #215</t>
        </is>
      </c>
      <c r="G1199" t="inlineStr">
        <is>
          <t>San Salvador</t>
        </is>
      </c>
      <c r="H1199" t="inlineStr">
        <is>
          <t>San Salvador</t>
        </is>
      </c>
      <c r="I1199" t="inlineStr">
        <is>
          <t>Roberto Alfaro</t>
        </is>
      </c>
      <c r="J1199" t="inlineStr">
        <is>
          <t>2221-4580</t>
        </is>
      </c>
      <c r="K1199" t="inlineStr">
        <is>
          <t>José Martínez</t>
        </is>
      </c>
      <c r="L1199" t="inlineStr">
        <is>
          <t>José Cornejo Hernández</t>
        </is>
      </c>
      <c r="M1199" t="inlineStr">
        <is>
          <t>07580296-3</t>
        </is>
      </c>
      <c r="N1199" t="inlineStr">
        <is>
          <t>6828-1335</t>
        </is>
      </c>
      <c r="O1199" t="inlineStr">
        <is>
          <t>Consumidor final</t>
        </is>
      </c>
      <c r="P1199" t="inlineStr">
        <is>
          <t>LAC-003</t>
        </is>
      </c>
      <c r="Q1199" t="inlineStr">
        <is>
          <t>Leche entera 1L</t>
        </is>
      </c>
      <c r="R1199" t="inlineStr">
        <is>
          <t>Lácteos</t>
        </is>
      </c>
      <c r="S1199" t="inlineStr">
        <is>
          <t>Lácteos Chalate</t>
        </is>
      </c>
      <c r="T1199" t="inlineStr">
        <is>
          <t>7120-4455</t>
        </is>
      </c>
      <c r="U1199" t="n">
        <v>1.2</v>
      </c>
      <c r="V1199" t="n">
        <v>24</v>
      </c>
      <c r="W1199" t="n">
        <v>0</v>
      </c>
      <c r="X1199">
        <f>IFERROR(U1199*V1199*(1-W1199/100),"")</f>
        <v/>
      </c>
      <c r="Y1199">
        <f>IFERROR(ROUND(X1199*0.13,2),"")</f>
        <v/>
      </c>
      <c r="Z1199">
        <f>IFERROR(X1199+Y1199,"")</f>
        <v/>
      </c>
      <c r="AA1199" t="inlineStr">
        <is>
          <t>Chivo</t>
        </is>
      </c>
      <c r="AB1199" t="inlineStr">
        <is>
          <t>Llamar al 7788-1234 antes de entregar</t>
        </is>
      </c>
    </row>
    <row r="1200">
      <c r="A1200" t="inlineStr">
        <is>
          <t>F-11395</t>
        </is>
      </c>
      <c r="B1200" s="3" t="n">
        <v>46246</v>
      </c>
      <c r="C1200" t="inlineStr">
        <is>
          <t>Factura</t>
        </is>
      </c>
      <c r="D1200" t="inlineStr"/>
      <c r="E1200" t="inlineStr">
        <is>
          <t>Escalón</t>
        </is>
      </c>
      <c r="F1200" t="inlineStr">
        <is>
          <t>Paseo General Escalón #3910</t>
        </is>
      </c>
      <c r="G1200" t="inlineStr">
        <is>
          <t>San Salvador</t>
        </is>
      </c>
      <c r="H1200" t="inlineStr">
        <is>
          <t>San Salvador</t>
        </is>
      </c>
      <c r="I1200" t="inlineStr">
        <is>
          <t>Claudia Menjívar</t>
        </is>
      </c>
      <c r="J1200" t="inlineStr">
        <is>
          <t>2264-1190</t>
        </is>
      </c>
      <c r="K1200" t="inlineStr">
        <is>
          <t>Fátima Rosales</t>
        </is>
      </c>
      <c r="L1200" t="inlineStr">
        <is>
          <t>Patricia García Martínez</t>
        </is>
      </c>
      <c r="M1200" t="inlineStr">
        <is>
          <t>02380558-6</t>
        </is>
      </c>
      <c r="N1200" t="inlineStr">
        <is>
          <t>6660-5283</t>
        </is>
      </c>
      <c r="O1200" t="inlineStr">
        <is>
          <t>Consumidor final</t>
        </is>
      </c>
      <c r="P1200" t="inlineStr">
        <is>
          <t>LAC-003</t>
        </is>
      </c>
      <c r="Q1200" t="inlineStr">
        <is>
          <t>Leche entera 1L</t>
        </is>
      </c>
      <c r="R1200" t="inlineStr">
        <is>
          <t>Lácteos</t>
        </is>
      </c>
      <c r="S1200" t="inlineStr">
        <is>
          <t>Lácteos Chalate</t>
        </is>
      </c>
      <c r="T1200" t="inlineStr">
        <is>
          <t>2335-1020</t>
        </is>
      </c>
      <c r="U1200" t="n">
        <v>1.2</v>
      </c>
      <c r="V1200" t="n">
        <v>3</v>
      </c>
      <c r="W1200" t="n">
        <v>0</v>
      </c>
      <c r="X1200">
        <f>IFERROR(U1200*V1200*(1-W1200/100),"")</f>
        <v/>
      </c>
      <c r="Y1200">
        <f>IFERROR(ROUND(X1200*0.13,2),"")</f>
        <v/>
      </c>
      <c r="Z1200">
        <f>IFERROR(X1200+Y1200,"")</f>
        <v/>
      </c>
      <c r="AA1200" t="inlineStr">
        <is>
          <t>Transferencia</t>
        </is>
      </c>
      <c r="AB1200" t="inlineStr"/>
    </row>
    <row r="1201">
      <c r="A1201" t="inlineStr">
        <is>
          <t>F-11395</t>
        </is>
      </c>
      <c r="B1201" s="3" t="n">
        <v>46246</v>
      </c>
      <c r="C1201" t="inlineStr">
        <is>
          <t>Factura</t>
        </is>
      </c>
      <c r="D1201" t="inlineStr">
        <is>
          <t>SS02</t>
        </is>
      </c>
      <c r="E1201" t="inlineStr">
        <is>
          <t>Escalón</t>
        </is>
      </c>
      <c r="F1201" t="inlineStr">
        <is>
          <t>Paseo General Escalón #3910</t>
        </is>
      </c>
      <c r="G1201" t="inlineStr">
        <is>
          <t>San Salvador</t>
        </is>
      </c>
      <c r="H1201" t="inlineStr">
        <is>
          <t>San Salvador</t>
        </is>
      </c>
      <c r="I1201" t="inlineStr">
        <is>
          <t>Claudia Menjívar</t>
        </is>
      </c>
      <c r="J1201" t="inlineStr">
        <is>
          <t>2264-1190</t>
        </is>
      </c>
      <c r="K1201" t="inlineStr">
        <is>
          <t>Fátima Rosales</t>
        </is>
      </c>
      <c r="L1201" t="inlineStr">
        <is>
          <t>PATRICIA GARCÍA MARTÍNEZ</t>
        </is>
      </c>
      <c r="M1201" t="inlineStr">
        <is>
          <t>02380558-6</t>
        </is>
      </c>
      <c r="N1201" t="inlineStr">
        <is>
          <t>6660-5283</t>
        </is>
      </c>
      <c r="O1201" t="inlineStr">
        <is>
          <t>Consumidor final</t>
        </is>
      </c>
      <c r="P1201" t="inlineStr">
        <is>
          <t>PAN-002</t>
        </is>
      </c>
      <c r="Q1201" t="inlineStr">
        <is>
          <t>Semita alta</t>
        </is>
      </c>
      <c r="R1201" t="inlineStr">
        <is>
          <t>Panadería</t>
        </is>
      </c>
      <c r="S1201" t="inlineStr">
        <is>
          <t>Panificadora Ilopango</t>
        </is>
      </c>
      <c r="T1201" t="inlineStr">
        <is>
          <t>2295-0081</t>
        </is>
      </c>
      <c r="U1201" t="inlineStr">
        <is>
          <t>1,75</t>
        </is>
      </c>
      <c r="V1201" t="n">
        <v>24</v>
      </c>
      <c r="W1201" t="n">
        <v>0</v>
      </c>
      <c r="X1201">
        <f>IFERROR(U1201*V1201*(1-W1201/100),"")</f>
        <v/>
      </c>
      <c r="Y1201">
        <f>IFERROR(ROUND(X1201*0.13,2),"")</f>
        <v/>
      </c>
      <c r="Z1201">
        <f>IFERROR(X1201+Y1201,"")</f>
        <v/>
      </c>
      <c r="AA1201" t="inlineStr">
        <is>
          <t>Transferencia</t>
        </is>
      </c>
      <c r="AB1201" t="inlineStr"/>
    </row>
    <row r="1202">
      <c r="A1202" t="inlineStr">
        <is>
          <t>F-11398</t>
        </is>
      </c>
      <c r="B1202" s="3" t="n">
        <v>46285</v>
      </c>
      <c r="C1202" t="inlineStr">
        <is>
          <t>factura</t>
        </is>
      </c>
      <c r="D1202" t="inlineStr">
        <is>
          <t>SS03</t>
        </is>
      </c>
      <c r="E1202" t="inlineStr">
        <is>
          <t>Soyapango</t>
        </is>
      </c>
      <c r="F1202" t="inlineStr">
        <is>
          <t>Blvd. del Ejército km 4</t>
        </is>
      </c>
      <c r="G1202" t="inlineStr">
        <is>
          <t>Soyapango</t>
        </is>
      </c>
      <c r="H1202" t="inlineStr">
        <is>
          <t>San Salvador</t>
        </is>
      </c>
      <c r="I1202" t="inlineStr">
        <is>
          <t>Karla Henríquez</t>
        </is>
      </c>
      <c r="J1202" t="inlineStr">
        <is>
          <t>2277-3402</t>
        </is>
      </c>
      <c r="K1202" t="inlineStr">
        <is>
          <t>Marta Gómez</t>
        </is>
      </c>
      <c r="L1202" t="inlineStr">
        <is>
          <t>Jorge García Hernández</t>
        </is>
      </c>
      <c r="M1202" t="inlineStr">
        <is>
          <t>09167886-4</t>
        </is>
      </c>
      <c r="N1202" t="inlineStr">
        <is>
          <t>7875-6853</t>
        </is>
      </c>
      <c r="O1202" t="inlineStr">
        <is>
          <t>Consumidor final</t>
        </is>
      </c>
      <c r="P1202" t="inlineStr">
        <is>
          <t>HAR-001</t>
        </is>
      </c>
      <c r="Q1202" t="inlineStr">
        <is>
          <t>Harina de maíz 2lb</t>
        </is>
      </c>
      <c r="R1202" t="inlineStr">
        <is>
          <t>Abarrotes</t>
        </is>
      </c>
      <c r="S1202" t="inlineStr">
        <is>
          <t>Granos del Pacífico</t>
        </is>
      </c>
      <c r="T1202" t="inlineStr">
        <is>
          <t>2234-8890</t>
        </is>
      </c>
      <c r="U1202" t="n">
        <v>1.35</v>
      </c>
      <c r="V1202" t="n">
        <v>1</v>
      </c>
      <c r="W1202" t="n">
        <v>0</v>
      </c>
      <c r="X1202">
        <f>IFERROR(U1202*V1202*(1-W1202/100),"")</f>
        <v/>
      </c>
      <c r="Y1202">
        <f>IFERROR(ROUND(X1202*0.13,2),"")</f>
        <v/>
      </c>
      <c r="Z1202">
        <f>IFERROR(X1202+Y1202,"")</f>
        <v/>
      </c>
      <c r="AA1202" t="inlineStr">
        <is>
          <t>Bitcoin</t>
        </is>
      </c>
      <c r="AB1202" t="inlineStr"/>
    </row>
    <row r="1203">
      <c r="A1203" t="inlineStr">
        <is>
          <t>F-11401</t>
        </is>
      </c>
      <c r="B1203" s="3" t="n">
        <v>46220</v>
      </c>
      <c r="C1203" t="inlineStr">
        <is>
          <t>Factura</t>
        </is>
      </c>
      <c r="D1203" t="inlineStr">
        <is>
          <t>SS01</t>
        </is>
      </c>
      <c r="E1203" t="inlineStr">
        <is>
          <t>San Salvador Centro</t>
        </is>
      </c>
      <c r="F1203" t="inlineStr">
        <is>
          <t>4a Calle Poniente #215</t>
        </is>
      </c>
      <c r="G1203" t="inlineStr">
        <is>
          <t>San Salvador</t>
        </is>
      </c>
      <c r="H1203" t="inlineStr">
        <is>
          <t>San Salvador</t>
        </is>
      </c>
      <c r="I1203" t="inlineStr">
        <is>
          <t>Roberto Alfaro</t>
        </is>
      </c>
      <c r="J1203" t="inlineStr">
        <is>
          <t>2221-4580</t>
        </is>
      </c>
      <c r="K1203" t="inlineStr">
        <is>
          <t>Daniela Orellana</t>
        </is>
      </c>
      <c r="L1203" t="inlineStr">
        <is>
          <t>Sandra Guevara Lemus</t>
        </is>
      </c>
      <c r="M1203" t="inlineStr">
        <is>
          <t>08577633-7</t>
        </is>
      </c>
      <c r="N1203" t="inlineStr">
        <is>
          <t>6671-1550</t>
        </is>
      </c>
      <c r="O1203" t="inlineStr">
        <is>
          <t>Consumidor final</t>
        </is>
      </c>
      <c r="P1203" t="inlineStr">
        <is>
          <t>PAN-002</t>
        </is>
      </c>
      <c r="Q1203" t="inlineStr">
        <is>
          <t>Semita alta</t>
        </is>
      </c>
      <c r="R1203" t="inlineStr">
        <is>
          <t>Panadería</t>
        </is>
      </c>
      <c r="S1203" t="inlineStr">
        <is>
          <t>Panificadora Ilopango</t>
        </is>
      </c>
      <c r="T1203" t="inlineStr">
        <is>
          <t>2295-0081</t>
        </is>
      </c>
      <c r="U1203" t="n">
        <v>1.75</v>
      </c>
      <c r="V1203" t="n">
        <v>1</v>
      </c>
      <c r="W1203" t="n">
        <v>0</v>
      </c>
      <c r="X1203">
        <f>IFERROR(U1203*V1203*(1-W1203/100),"")</f>
        <v/>
      </c>
      <c r="Y1203">
        <f>IFERROR(ROUND(X1203*0.13,2),"")</f>
        <v/>
      </c>
      <c r="Z1203">
        <f>IFERROR(X1203+Y1203,"")</f>
        <v/>
      </c>
      <c r="AA1203" t="inlineStr">
        <is>
          <t>Transferencia</t>
        </is>
      </c>
      <c r="AB1203" t="inlineStr">
        <is>
          <t>pagó con billete de $100</t>
        </is>
      </c>
    </row>
    <row r="1204">
      <c r="A1204" t="inlineStr">
        <is>
          <t>11401</t>
        </is>
      </c>
      <c r="B1204" s="3" t="n">
        <v>46220</v>
      </c>
      <c r="C1204" t="inlineStr">
        <is>
          <t>Factura</t>
        </is>
      </c>
      <c r="D1204" t="inlineStr">
        <is>
          <t>SS01</t>
        </is>
      </c>
      <c r="E1204" t="inlineStr">
        <is>
          <t xml:space="preserve">san salvador centro </t>
        </is>
      </c>
      <c r="F1204" t="inlineStr">
        <is>
          <t>4a Calle Poniente #215</t>
        </is>
      </c>
      <c r="G1204" t="inlineStr">
        <is>
          <t>San Salvador</t>
        </is>
      </c>
      <c r="H1204" t="inlineStr">
        <is>
          <t>San Salvador</t>
        </is>
      </c>
      <c r="I1204" t="inlineStr">
        <is>
          <t>Roberto Alfaro</t>
        </is>
      </c>
      <c r="J1204" t="inlineStr">
        <is>
          <t>2221-4580</t>
        </is>
      </c>
      <c r="K1204" t="inlineStr">
        <is>
          <t>Daniela Orellana</t>
        </is>
      </c>
      <c r="L1204" t="inlineStr">
        <is>
          <t>Sandra Guevara Lemus</t>
        </is>
      </c>
      <c r="M1204" t="inlineStr">
        <is>
          <t>08577633-7</t>
        </is>
      </c>
      <c r="N1204" t="inlineStr">
        <is>
          <t>6671-1550</t>
        </is>
      </c>
      <c r="O1204" t="inlineStr">
        <is>
          <t>Consumidor final</t>
        </is>
      </c>
      <c r="P1204" t="inlineStr">
        <is>
          <t>CAF-001</t>
        </is>
      </c>
      <c r="Q1204" t="inlineStr">
        <is>
          <t>Café molido 400g</t>
        </is>
      </c>
      <c r="R1204" t="inlineStr">
        <is>
          <t>Abarrotes</t>
        </is>
      </c>
      <c r="S1204" t="inlineStr">
        <is>
          <t>Café Volcán S.A.</t>
        </is>
      </c>
      <c r="T1204" t="inlineStr">
        <is>
          <t>2510-3344</t>
        </is>
      </c>
      <c r="U1204" t="n">
        <v>4.25</v>
      </c>
      <c r="V1204" t="n">
        <v>2</v>
      </c>
      <c r="W1204" t="n">
        <v>0</v>
      </c>
      <c r="X1204">
        <f>IFERROR(U1204*V1204*(1-W1204/100),"")</f>
        <v/>
      </c>
      <c r="Y1204">
        <f>IFERROR(ROUND(X1204*0.13,2),"")</f>
        <v/>
      </c>
      <c r="Z1204">
        <f>IFERROR(X1204+Y1204,"")</f>
        <v/>
      </c>
      <c r="AA1204" t="inlineStr">
        <is>
          <t>Transferencia</t>
        </is>
      </c>
      <c r="AB1204" t="inlineStr">
        <is>
          <t>Llamar al 7788-1234 antes de entregar</t>
        </is>
      </c>
    </row>
    <row r="1205">
      <c r="A1205" t="inlineStr">
        <is>
          <t>11401</t>
        </is>
      </c>
      <c r="B1205" s="4" t="n">
        <v>46220</v>
      </c>
      <c r="C1205" t="inlineStr">
        <is>
          <t>Factura</t>
        </is>
      </c>
      <c r="D1205" t="inlineStr">
        <is>
          <t>SS01</t>
        </is>
      </c>
      <c r="E1205" t="inlineStr">
        <is>
          <t xml:space="preserve">san salvador centro </t>
        </is>
      </c>
      <c r="F1205" t="inlineStr">
        <is>
          <t>4a Calle Poniente #215</t>
        </is>
      </c>
      <c r="G1205" t="inlineStr">
        <is>
          <t>San Salvador</t>
        </is>
      </c>
      <c r="H1205" t="inlineStr">
        <is>
          <t>San Salvador</t>
        </is>
      </c>
      <c r="I1205" t="inlineStr">
        <is>
          <t>Roberto Alfaro</t>
        </is>
      </c>
      <c r="J1205" t="inlineStr">
        <is>
          <t>2221-4580</t>
        </is>
      </c>
      <c r="K1205" t="inlineStr">
        <is>
          <t>Daniela Orellana</t>
        </is>
      </c>
      <c r="L1205" t="inlineStr">
        <is>
          <t>Sandra Guevara Lemus</t>
        </is>
      </c>
      <c r="M1205" t="inlineStr">
        <is>
          <t>08577633-7</t>
        </is>
      </c>
      <c r="N1205" t="inlineStr">
        <is>
          <t>6671-1550</t>
        </is>
      </c>
      <c r="O1205" t="inlineStr">
        <is>
          <t>Consumidor final</t>
        </is>
      </c>
      <c r="P1205" t="inlineStr">
        <is>
          <t>CAF-001</t>
        </is>
      </c>
      <c r="Q1205" t="inlineStr">
        <is>
          <t>Café molido 400g</t>
        </is>
      </c>
      <c r="R1205" t="inlineStr">
        <is>
          <t>Abarrotes</t>
        </is>
      </c>
      <c r="S1205" t="inlineStr">
        <is>
          <t>Café Volcán S.A.</t>
        </is>
      </c>
      <c r="T1205" t="inlineStr">
        <is>
          <t>2510-3344</t>
        </is>
      </c>
      <c r="U1205" t="n">
        <v>4.25</v>
      </c>
      <c r="V1205" t="n">
        <v>2</v>
      </c>
      <c r="W1205" t="n">
        <v>0</v>
      </c>
      <c r="X1205">
        <f>IFERROR(U1205*V1205*(1-W1205/100),"")</f>
        <v/>
      </c>
      <c r="Y1205">
        <f>IFERROR(ROUND(X1205*0.13,2),"")</f>
        <v/>
      </c>
      <c r="Z1205">
        <f>IFERROR(X1205+Y1205,"")</f>
        <v/>
      </c>
      <c r="AA1205" t="inlineStr">
        <is>
          <t>Transferencia</t>
        </is>
      </c>
      <c r="AB1205" t="inlineStr">
        <is>
          <t>Llamar al 7788-1234 antes de entregar</t>
        </is>
      </c>
    </row>
    <row r="1206">
      <c r="A1206" t="inlineStr">
        <is>
          <t>F-11401</t>
        </is>
      </c>
      <c r="B1206" s="3" t="n">
        <v>46220</v>
      </c>
      <c r="C1206" t="inlineStr">
        <is>
          <t>Factura</t>
        </is>
      </c>
      <c r="D1206" t="inlineStr">
        <is>
          <t>SS01</t>
        </is>
      </c>
      <c r="E1206" t="inlineStr">
        <is>
          <t>San Salvador Centro</t>
        </is>
      </c>
      <c r="F1206" t="inlineStr">
        <is>
          <t>4a Calle Poniente #215</t>
        </is>
      </c>
      <c r="G1206" t="inlineStr">
        <is>
          <t>San Salvador</t>
        </is>
      </c>
      <c r="H1206" t="inlineStr">
        <is>
          <t>San Salvador</t>
        </is>
      </c>
      <c r="I1206" t="inlineStr">
        <is>
          <t>Roberto Alfaro</t>
        </is>
      </c>
      <c r="J1206" t="inlineStr">
        <is>
          <t>2221-4580</t>
        </is>
      </c>
      <c r="K1206" t="inlineStr">
        <is>
          <t>Daniela Orellana</t>
        </is>
      </c>
      <c r="L1206" t="inlineStr">
        <is>
          <t>Sandra Guevara Lemus</t>
        </is>
      </c>
      <c r="M1206" t="inlineStr">
        <is>
          <t>08577633-7</t>
        </is>
      </c>
      <c r="N1206" t="inlineStr">
        <is>
          <t>6671-1550</t>
        </is>
      </c>
      <c r="O1206" t="inlineStr">
        <is>
          <t>Consumidor final</t>
        </is>
      </c>
      <c r="P1206" t="inlineStr">
        <is>
          <t>BEB-003</t>
        </is>
      </c>
      <c r="Q1206" t="inlineStr">
        <is>
          <t>Horchata en polvo 400g</t>
        </is>
      </c>
      <c r="R1206" t="inlineStr">
        <is>
          <t>Bebidas</t>
        </is>
      </c>
      <c r="S1206" t="inlineStr">
        <is>
          <t>Bebidas Izalco</t>
        </is>
      </c>
      <c r="T1206" t="inlineStr">
        <is>
          <t>2450-7700</t>
        </is>
      </c>
      <c r="U1206" t="inlineStr">
        <is>
          <t>2,60</t>
        </is>
      </c>
      <c r="V1206" t="n">
        <v>12</v>
      </c>
      <c r="W1206" t="n">
        <v>0</v>
      </c>
      <c r="X1206">
        <f>IFERROR(U1206*V1206*(1-W1206/100),"")</f>
        <v/>
      </c>
      <c r="Y1206">
        <f>IFERROR(ROUND(X1206*0.13,2),"")</f>
        <v/>
      </c>
      <c r="Z1206">
        <f>IFERROR(X1206+Y1206,"")</f>
        <v/>
      </c>
      <c r="AA1206" t="inlineStr">
        <is>
          <t>Transferencia</t>
        </is>
      </c>
      <c r="AB1206" t="inlineStr">
        <is>
          <t>Llamar al 7788-1234 antes de entregar</t>
        </is>
      </c>
    </row>
    <row r="1207">
      <c r="A1207" t="inlineStr">
        <is>
          <t>F-11401</t>
        </is>
      </c>
      <c r="B1207" t="inlineStr">
        <is>
          <t>17/07/2026</t>
        </is>
      </c>
      <c r="C1207" t="inlineStr">
        <is>
          <t>Factura</t>
        </is>
      </c>
      <c r="D1207" t="inlineStr">
        <is>
          <t>SS01</t>
        </is>
      </c>
      <c r="E1207" t="inlineStr">
        <is>
          <t>SAN SALVADOR CENTRO</t>
        </is>
      </c>
      <c r="F1207" t="inlineStr">
        <is>
          <t>4a Calle Poniente #215</t>
        </is>
      </c>
      <c r="G1207" t="inlineStr">
        <is>
          <t>San Salvador</t>
        </is>
      </c>
      <c r="H1207" t="inlineStr">
        <is>
          <t>San Salvador</t>
        </is>
      </c>
      <c r="I1207" t="inlineStr">
        <is>
          <t>Roberto Alfaro</t>
        </is>
      </c>
      <c r="J1207" t="inlineStr">
        <is>
          <t>2221-4580</t>
        </is>
      </c>
      <c r="K1207" t="inlineStr">
        <is>
          <t>Daniela Orellana</t>
        </is>
      </c>
      <c r="L1207" t="inlineStr">
        <is>
          <t>Sandra Guevara Lemus</t>
        </is>
      </c>
      <c r="M1207" t="inlineStr">
        <is>
          <t>08577633-7</t>
        </is>
      </c>
      <c r="N1207" t="inlineStr">
        <is>
          <t>6671-1550</t>
        </is>
      </c>
      <c r="O1207" t="inlineStr">
        <is>
          <t>Consumidor final</t>
        </is>
      </c>
      <c r="P1207" t="inlineStr">
        <is>
          <t>LAC-002</t>
        </is>
      </c>
      <c r="Q1207" t="inlineStr">
        <is>
          <t>Crema 500ml</t>
        </is>
      </c>
      <c r="R1207" t="inlineStr">
        <is>
          <t>Lacteos</t>
        </is>
      </c>
      <c r="S1207" t="inlineStr">
        <is>
          <t>Lácteos Chalate</t>
        </is>
      </c>
      <c r="T1207" t="inlineStr">
        <is>
          <t>2335-1020</t>
        </is>
      </c>
      <c r="U1207" t="n">
        <v>2.25</v>
      </c>
      <c r="V1207" t="n">
        <v>24</v>
      </c>
      <c r="W1207" t="n">
        <v>0</v>
      </c>
      <c r="X1207">
        <f>IFERROR(U1207*V1207*(1-W1207/100),"")</f>
        <v/>
      </c>
      <c r="Y1207">
        <f>IFERROR(ROUND(X1207*0.13,2),"")</f>
        <v/>
      </c>
      <c r="Z1207">
        <f>IFERROR(X1207+Y1207,"")</f>
        <v/>
      </c>
      <c r="AA1207" t="inlineStr">
        <is>
          <t>Transferencia</t>
        </is>
      </c>
      <c r="AB1207" t="inlineStr"/>
    </row>
    <row r="1208">
      <c r="A1208" t="inlineStr">
        <is>
          <t>F-11402</t>
        </is>
      </c>
      <c r="B1208" t="inlineStr">
        <is>
          <t>19-Aug-26</t>
        </is>
      </c>
      <c r="C1208" t="inlineStr">
        <is>
          <t>factura</t>
        </is>
      </c>
      <c r="D1208" t="inlineStr">
        <is>
          <t>LL02</t>
        </is>
      </c>
      <c r="E1208" t="inlineStr">
        <is>
          <t>Puerto de La Libertad</t>
        </is>
      </c>
      <c r="F1208" t="inlineStr">
        <is>
          <t>Calle El Malecón, Local 4</t>
        </is>
      </c>
      <c r="G1208" t="inlineStr">
        <is>
          <t>La Libertad</t>
        </is>
      </c>
      <c r="H1208" t="inlineStr">
        <is>
          <t>La Libertad</t>
        </is>
      </c>
      <c r="I1208" t="inlineStr">
        <is>
          <t>Wendy Aguilar</t>
        </is>
      </c>
      <c r="J1208" t="inlineStr">
        <is>
          <t>2335-6140</t>
        </is>
      </c>
      <c r="K1208" t="inlineStr">
        <is>
          <t>Gabriela Saravia</t>
        </is>
      </c>
      <c r="L1208" t="inlineStr">
        <is>
          <t>Douglas Hernández García</t>
        </is>
      </c>
      <c r="M1208" t="inlineStr"/>
      <c r="N1208" t="inlineStr">
        <is>
          <t>2221-1611</t>
        </is>
      </c>
      <c r="O1208" t="inlineStr">
        <is>
          <t>Consumidor final</t>
        </is>
      </c>
      <c r="P1208" t="inlineStr">
        <is>
          <t>LAC-003</t>
        </is>
      </c>
      <c r="Q1208" t="inlineStr">
        <is>
          <t>Leche entera 1L</t>
        </is>
      </c>
      <c r="R1208" t="inlineStr">
        <is>
          <t>Lácteos</t>
        </is>
      </c>
      <c r="S1208" t="inlineStr">
        <is>
          <t>Lácteos Chalate</t>
        </is>
      </c>
      <c r="T1208" t="inlineStr">
        <is>
          <t>2335-1020</t>
        </is>
      </c>
      <c r="U1208" t="n">
        <v>1.2</v>
      </c>
      <c r="V1208" t="n">
        <v>2</v>
      </c>
      <c r="W1208" t="n">
        <v>0</v>
      </c>
      <c r="X1208">
        <f>IFERROR(U1208*V1208*(1-W1208/100),"")</f>
        <v/>
      </c>
      <c r="Y1208">
        <f>IFERROR(ROUND(X1208*0.13,2),"")</f>
        <v/>
      </c>
      <c r="Z1208">
        <f>IFERROR(X1208+Y1208,"")</f>
        <v/>
      </c>
      <c r="AA1208" t="inlineStr">
        <is>
          <t>Chivo</t>
        </is>
      </c>
      <c r="AB1208" t="inlineStr"/>
    </row>
    <row r="1209">
      <c r="A1209" t="inlineStr">
        <is>
          <t>F-11402</t>
        </is>
      </c>
      <c r="B1209" t="inlineStr">
        <is>
          <t>2026-08-19</t>
        </is>
      </c>
      <c r="C1209" t="inlineStr">
        <is>
          <t>factura</t>
        </is>
      </c>
      <c r="D1209" t="inlineStr">
        <is>
          <t>LL02</t>
        </is>
      </c>
      <c r="E1209" t="inlineStr">
        <is>
          <t>Puerto de La Libertad</t>
        </is>
      </c>
      <c r="F1209" t="inlineStr">
        <is>
          <t>Calle El Malecón, Local 4</t>
        </is>
      </c>
      <c r="G1209" t="inlineStr">
        <is>
          <t>La Libertad</t>
        </is>
      </c>
      <c r="H1209" t="inlineStr">
        <is>
          <t>La Libertad</t>
        </is>
      </c>
      <c r="I1209" t="inlineStr">
        <is>
          <t>Wendy Aguilar</t>
        </is>
      </c>
      <c r="J1209" t="inlineStr">
        <is>
          <t>2335-6140</t>
        </is>
      </c>
      <c r="K1209" t="inlineStr">
        <is>
          <t>Gabriela Saravia</t>
        </is>
      </c>
      <c r="L1209" t="inlineStr">
        <is>
          <t>Douglas Hernández García</t>
        </is>
      </c>
      <c r="M1209" t="inlineStr">
        <is>
          <t>02719991-9</t>
        </is>
      </c>
      <c r="N1209" t="inlineStr">
        <is>
          <t>2221-1611</t>
        </is>
      </c>
      <c r="O1209" t="inlineStr">
        <is>
          <t>Consumidor final</t>
        </is>
      </c>
      <c r="P1209" t="inlineStr">
        <is>
          <t>PAN-001</t>
        </is>
      </c>
      <c r="Q1209" t="inlineStr">
        <is>
          <t>Pan francés bolsa 10u</t>
        </is>
      </c>
      <c r="R1209" t="inlineStr">
        <is>
          <t>Panadería</t>
        </is>
      </c>
      <c r="S1209" t="inlineStr">
        <is>
          <t>Panificadora Ilopango</t>
        </is>
      </c>
      <c r="T1209" t="inlineStr">
        <is>
          <t>2295-0081</t>
        </is>
      </c>
      <c r="U1209" t="n">
        <v>1</v>
      </c>
      <c r="V1209" t="n">
        <v>12</v>
      </c>
      <c r="W1209" t="n">
        <v>0</v>
      </c>
      <c r="X1209">
        <f>IFERROR(U1209*V1209*(1-W1209/100),"")</f>
        <v/>
      </c>
      <c r="Y1209">
        <f>IFERROR(ROUND(X1209*0.13,2),"")</f>
        <v/>
      </c>
      <c r="Z1209">
        <f>IFERROR(X1209+Y1209,"")</f>
        <v/>
      </c>
      <c r="AA1209" t="inlineStr">
        <is>
          <t>Chivo</t>
        </is>
      </c>
      <c r="AB1209" t="inlineStr">
        <is>
          <t>precio especial autorizado por gerente</t>
        </is>
      </c>
    </row>
    <row r="1210">
      <c r="A1210" t="inlineStr">
        <is>
          <t>F-11405</t>
        </is>
      </c>
      <c r="B1210" t="inlineStr">
        <is>
          <t>2026-07-14</t>
        </is>
      </c>
      <c r="C1210" t="inlineStr">
        <is>
          <t>factura</t>
        </is>
      </c>
      <c r="D1210" t="inlineStr">
        <is>
          <t>SO01</t>
        </is>
      </c>
      <c r="E1210" t="inlineStr">
        <is>
          <t>Sonsonate</t>
        </is>
      </c>
      <c r="F1210" t="inlineStr">
        <is>
          <t>Calle Obispo Marroquín #3</t>
        </is>
      </c>
      <c r="G1210" t="inlineStr">
        <is>
          <t>Sonsonate</t>
        </is>
      </c>
      <c r="H1210" t="inlineStr">
        <is>
          <t>Sonsonate</t>
        </is>
      </c>
      <c r="I1210" t="inlineStr">
        <is>
          <t>Ernesto Chávez</t>
        </is>
      </c>
      <c r="J1210" t="inlineStr">
        <is>
          <t>2451-2288</t>
        </is>
      </c>
      <c r="K1210" t="inlineStr">
        <is>
          <t>Ricardo Funes</t>
        </is>
      </c>
      <c r="L1210" t="inlineStr">
        <is>
          <t>María Castillo Martínez</t>
        </is>
      </c>
      <c r="M1210" t="inlineStr">
        <is>
          <t>09352468-8</t>
        </is>
      </c>
      <c r="N1210" t="inlineStr">
        <is>
          <t>6394-8494</t>
        </is>
      </c>
      <c r="O1210" t="inlineStr">
        <is>
          <t>Consumidor final</t>
        </is>
      </c>
      <c r="P1210" t="inlineStr">
        <is>
          <t>ARR-001</t>
        </is>
      </c>
      <c r="Q1210" t="inlineStr">
        <is>
          <t>Arroz blanco 5lb</t>
        </is>
      </c>
      <c r="R1210" t="inlineStr">
        <is>
          <t>Abarrotes</t>
        </is>
      </c>
      <c r="S1210" t="inlineStr">
        <is>
          <t>Granos del Pacífico</t>
        </is>
      </c>
      <c r="T1210" t="inlineStr">
        <is>
          <t>2234-8890</t>
        </is>
      </c>
      <c r="U1210" t="n">
        <v>3.95</v>
      </c>
      <c r="V1210" t="n">
        <v>6</v>
      </c>
      <c r="W1210" t="n">
        <v>0</v>
      </c>
      <c r="X1210">
        <f>IFERROR(U1210*V1210*(1-W1210/100),"")</f>
        <v/>
      </c>
      <c r="Y1210">
        <f>IFERROR(ROUND(X1210*0.13,2),"")</f>
        <v/>
      </c>
      <c r="Z1210">
        <f>IFERROR(X1210+Y1210,"")</f>
        <v/>
      </c>
      <c r="AA1210" t="inlineStr">
        <is>
          <t>Efectivo</t>
        </is>
      </c>
      <c r="AB1210" t="inlineStr">
        <is>
          <t>precio especial autorizado por gerente</t>
        </is>
      </c>
    </row>
    <row r="1211">
      <c r="A1211" t="inlineStr">
        <is>
          <t>F-11405</t>
        </is>
      </c>
      <c r="B1211" t="inlineStr">
        <is>
          <t>2026-07-14</t>
        </is>
      </c>
      <c r="C1211" t="inlineStr">
        <is>
          <t>factura</t>
        </is>
      </c>
      <c r="D1211" t="inlineStr">
        <is>
          <t>SO01</t>
        </is>
      </c>
      <c r="E1211" t="inlineStr">
        <is>
          <t>Sonsonate</t>
        </is>
      </c>
      <c r="F1211" t="inlineStr">
        <is>
          <t>Calle Obispo Marroquín #3</t>
        </is>
      </c>
      <c r="G1211" t="inlineStr">
        <is>
          <t>Sonsonate</t>
        </is>
      </c>
      <c r="H1211" t="inlineStr">
        <is>
          <t>Sonsonate</t>
        </is>
      </c>
      <c r="I1211" t="inlineStr">
        <is>
          <t>Ernesto Chávez</t>
        </is>
      </c>
      <c r="J1211" t="inlineStr">
        <is>
          <t>2451-2288</t>
        </is>
      </c>
      <c r="K1211" t="inlineStr">
        <is>
          <t>Ricardo Funes</t>
        </is>
      </c>
      <c r="L1211" t="inlineStr">
        <is>
          <t>María Castillo Martínez</t>
        </is>
      </c>
      <c r="M1211" t="inlineStr">
        <is>
          <t>09352468-8</t>
        </is>
      </c>
      <c r="N1211" t="inlineStr">
        <is>
          <t>6394-8494</t>
        </is>
      </c>
      <c r="O1211" t="inlineStr">
        <is>
          <t>Consumidor final</t>
        </is>
      </c>
      <c r="P1211" t="inlineStr">
        <is>
          <t>ARR-001</t>
        </is>
      </c>
      <c r="Q1211" t="inlineStr">
        <is>
          <t>Arroz blanco 5lb</t>
        </is>
      </c>
      <c r="R1211" t="inlineStr">
        <is>
          <t>Abarrotes</t>
        </is>
      </c>
      <c r="S1211" t="inlineStr">
        <is>
          <t>Granos del Pacífico</t>
        </is>
      </c>
      <c r="T1211" t="inlineStr">
        <is>
          <t>2234-8890</t>
        </is>
      </c>
      <c r="U1211" t="n">
        <v>3.95</v>
      </c>
      <c r="V1211" t="n">
        <v>6</v>
      </c>
      <c r="W1211" t="n">
        <v>0</v>
      </c>
      <c r="X1211">
        <f>IFERROR(U1211*V1211*(1-W1211/100),"")</f>
        <v/>
      </c>
      <c r="Y1211">
        <f>IFERROR(ROUND(X1211*0.13,2),"")</f>
        <v/>
      </c>
      <c r="Z1211">
        <f>IFERROR(X1211+Y1211,"")</f>
        <v/>
      </c>
      <c r="AA1211" t="inlineStr">
        <is>
          <t>Efectivo</t>
        </is>
      </c>
      <c r="AB1211" t="inlineStr">
        <is>
          <t>precio especial autorizado por gerente</t>
        </is>
      </c>
    </row>
    <row r="1212">
      <c r="A1212" t="inlineStr">
        <is>
          <t>F-11408</t>
        </is>
      </c>
      <c r="B1212" t="inlineStr">
        <is>
          <t>12/07/2026</t>
        </is>
      </c>
      <c r="C1212" t="inlineStr">
        <is>
          <t>factura</t>
        </is>
      </c>
      <c r="D1212" t="inlineStr">
        <is>
          <t>SO01</t>
        </is>
      </c>
      <c r="E1212" t="inlineStr">
        <is>
          <t>Sonsonate</t>
        </is>
      </c>
      <c r="F1212" t="inlineStr">
        <is>
          <t>Calle Obispo Marroquín #3</t>
        </is>
      </c>
      <c r="G1212" t="inlineStr">
        <is>
          <t>Sonsonate</t>
        </is>
      </c>
      <c r="H1212" t="inlineStr">
        <is>
          <t>Sonsonate</t>
        </is>
      </c>
      <c r="I1212" t="inlineStr">
        <is>
          <t>Ernesto Chávez</t>
        </is>
      </c>
      <c r="J1212" t="inlineStr">
        <is>
          <t>2451-2288</t>
        </is>
      </c>
      <c r="K1212" t="inlineStr">
        <is>
          <t>Ricardo Funes</t>
        </is>
      </c>
      <c r="L1212" t="inlineStr">
        <is>
          <t>Carlos Romero García</t>
        </is>
      </c>
      <c r="M1212" t="inlineStr"/>
      <c r="N1212" t="inlineStr">
        <is>
          <t>7602-6148</t>
        </is>
      </c>
      <c r="O1212" t="inlineStr">
        <is>
          <t>Consumidor final</t>
        </is>
      </c>
      <c r="P1212" t="inlineStr">
        <is>
          <t>LAC-002</t>
        </is>
      </c>
      <c r="Q1212" t="inlineStr">
        <is>
          <t>Crema 500ml</t>
        </is>
      </c>
      <c r="R1212" t="inlineStr">
        <is>
          <t>Lacteos</t>
        </is>
      </c>
      <c r="S1212" t="inlineStr">
        <is>
          <t>Lácteos Chalate</t>
        </is>
      </c>
      <c r="T1212" t="inlineStr">
        <is>
          <t>2335-1020</t>
        </is>
      </c>
      <c r="U1212" t="n">
        <v>2.25</v>
      </c>
      <c r="V1212" t="n">
        <v>12</v>
      </c>
      <c r="W1212" t="n">
        <v>0</v>
      </c>
      <c r="X1212">
        <f>IFERROR(U1212*V1212*(1-W1212/100),"")</f>
        <v/>
      </c>
      <c r="Y1212">
        <f>IFERROR(ROUND(X1212*0.13,2),"")</f>
        <v/>
      </c>
      <c r="Z1212">
        <f>IFERROR(X1212+Y1212,"")</f>
        <v/>
      </c>
      <c r="AA1212" t="inlineStr">
        <is>
          <t>Efectivo</t>
        </is>
      </c>
      <c r="AB1212" t="inlineStr">
        <is>
          <t>Cliente frecuente</t>
        </is>
      </c>
    </row>
    <row r="1213">
      <c r="A1213" t="inlineStr">
        <is>
          <t>F-11408</t>
        </is>
      </c>
      <c r="B1213" s="3" t="n">
        <v>46215</v>
      </c>
      <c r="C1213" t="inlineStr">
        <is>
          <t>factura</t>
        </is>
      </c>
      <c r="D1213" t="inlineStr">
        <is>
          <t>SO01</t>
        </is>
      </c>
      <c r="E1213" t="inlineStr">
        <is>
          <t>SONSONATE</t>
        </is>
      </c>
      <c r="F1213" t="inlineStr">
        <is>
          <t>Calle Obispo Marroquín #3</t>
        </is>
      </c>
      <c r="G1213" t="inlineStr">
        <is>
          <t>Sonsonate</t>
        </is>
      </c>
      <c r="H1213" t="inlineStr">
        <is>
          <t>Sonsonate</t>
        </is>
      </c>
      <c r="I1213" t="inlineStr">
        <is>
          <t>Ernesto Chávez</t>
        </is>
      </c>
      <c r="J1213" t="inlineStr">
        <is>
          <t>2451-2288</t>
        </is>
      </c>
      <c r="K1213" t="inlineStr">
        <is>
          <t>Ricardo Funes</t>
        </is>
      </c>
      <c r="L1213" t="inlineStr">
        <is>
          <t>Carlos Romero García</t>
        </is>
      </c>
      <c r="M1213" t="inlineStr">
        <is>
          <t>07543956-0</t>
        </is>
      </c>
      <c r="N1213" t="inlineStr">
        <is>
          <t>7602-6148</t>
        </is>
      </c>
      <c r="O1213" t="inlineStr">
        <is>
          <t>Consumidor final</t>
        </is>
      </c>
      <c r="P1213" t="inlineStr">
        <is>
          <t>HAR-001</t>
        </is>
      </c>
      <c r="Q1213" t="inlineStr">
        <is>
          <t>Harina de maíz 2lb</t>
        </is>
      </c>
      <c r="R1213" t="inlineStr">
        <is>
          <t>Abarrotes</t>
        </is>
      </c>
      <c r="S1213" t="inlineStr">
        <is>
          <t>Granos del Pacífico</t>
        </is>
      </c>
      <c r="T1213" t="inlineStr">
        <is>
          <t>2234-8890</t>
        </is>
      </c>
      <c r="U1213" t="inlineStr">
        <is>
          <t>$1.35</t>
        </is>
      </c>
      <c r="V1213" t="n">
        <v>3</v>
      </c>
      <c r="W1213" t="n">
        <v>0</v>
      </c>
      <c r="X1213">
        <f>IFERROR(U1213*V1213*(1-W1213/100),"")</f>
        <v/>
      </c>
      <c r="Y1213">
        <f>IFERROR(ROUND(X1213*0.13,2),"")</f>
        <v/>
      </c>
      <c r="Z1213">
        <f>IFERROR(X1213+Y1213,"")</f>
        <v/>
      </c>
      <c r="AA1213" t="inlineStr">
        <is>
          <t>Efectivo</t>
        </is>
      </c>
      <c r="AB1213" t="inlineStr"/>
    </row>
    <row r="1214">
      <c r="A1214" t="inlineStr">
        <is>
          <t>F-11408</t>
        </is>
      </c>
      <c r="B1214" s="3" t="n">
        <v>46215</v>
      </c>
      <c r="C1214" t="inlineStr">
        <is>
          <t>factura</t>
        </is>
      </c>
      <c r="D1214" t="inlineStr">
        <is>
          <t>SO01</t>
        </is>
      </c>
      <c r="E1214" t="inlineStr">
        <is>
          <t>SONSONATE</t>
        </is>
      </c>
      <c r="F1214" t="inlineStr">
        <is>
          <t>Calle Obispo Marroquín #3</t>
        </is>
      </c>
      <c r="G1214" t="inlineStr">
        <is>
          <t>Sonsonate</t>
        </is>
      </c>
      <c r="H1214" t="inlineStr">
        <is>
          <t>Sonsonate</t>
        </is>
      </c>
      <c r="I1214" t="inlineStr">
        <is>
          <t>Ernesto Chávez</t>
        </is>
      </c>
      <c r="J1214" t="inlineStr">
        <is>
          <t>2451-2288</t>
        </is>
      </c>
      <c r="K1214" t="inlineStr">
        <is>
          <t>Ricardo Funes</t>
        </is>
      </c>
      <c r="L1214" t="inlineStr">
        <is>
          <t>Carlos Romero García</t>
        </is>
      </c>
      <c r="M1214" t="inlineStr">
        <is>
          <t>07543956-0</t>
        </is>
      </c>
      <c r="N1214" t="inlineStr">
        <is>
          <t>7602-6148</t>
        </is>
      </c>
      <c r="O1214" t="inlineStr">
        <is>
          <t>Consumidor final</t>
        </is>
      </c>
      <c r="P1214" t="inlineStr">
        <is>
          <t>ARR-001</t>
        </is>
      </c>
      <c r="Q1214" t="inlineStr">
        <is>
          <t>Arroz blanco 5lb</t>
        </is>
      </c>
      <c r="R1214" t="inlineStr">
        <is>
          <t>Abarrotes</t>
        </is>
      </c>
      <c r="S1214" t="inlineStr">
        <is>
          <t>Granos del Pacífico</t>
        </is>
      </c>
      <c r="T1214" t="inlineStr">
        <is>
          <t>2234-8890</t>
        </is>
      </c>
      <c r="U1214" t="n">
        <v>3.95</v>
      </c>
      <c r="V1214" t="n">
        <v>2</v>
      </c>
      <c r="W1214" t="n">
        <v>0</v>
      </c>
      <c r="X1214">
        <f>IFERROR(U1214*V1214*(1-W1214/100),"")</f>
        <v/>
      </c>
      <c r="Y1214">
        <f>IFERROR(ROUND(X1214*0.13,2),"")</f>
        <v/>
      </c>
      <c r="Z1214">
        <f>IFERROR(X1214+Y1214,"")</f>
        <v/>
      </c>
      <c r="AA1214" t="inlineStr">
        <is>
          <t>Efectivo</t>
        </is>
      </c>
      <c r="AB1214" t="inlineStr"/>
    </row>
    <row r="1215">
      <c r="A1215" t="inlineStr">
        <is>
          <t>F-11408</t>
        </is>
      </c>
      <c r="B1215" s="3" t="n">
        <v>46215</v>
      </c>
      <c r="C1215" t="inlineStr">
        <is>
          <t>factura</t>
        </is>
      </c>
      <c r="D1215" t="inlineStr">
        <is>
          <t>SO01</t>
        </is>
      </c>
      <c r="E1215" t="inlineStr">
        <is>
          <t>SONSONATE</t>
        </is>
      </c>
      <c r="F1215" t="inlineStr">
        <is>
          <t>Calle Obispo Marroquín #3</t>
        </is>
      </c>
      <c r="G1215" t="inlineStr">
        <is>
          <t>Sonsonate</t>
        </is>
      </c>
      <c r="H1215" t="inlineStr">
        <is>
          <t>Sonsonate</t>
        </is>
      </c>
      <c r="I1215" t="inlineStr">
        <is>
          <t>Ernesto Chávez</t>
        </is>
      </c>
      <c r="J1215" t="inlineStr">
        <is>
          <t>2451-2288</t>
        </is>
      </c>
      <c r="K1215" t="inlineStr">
        <is>
          <t>Ricardo Funes</t>
        </is>
      </c>
      <c r="L1215" t="inlineStr">
        <is>
          <t>Carlos Romero García</t>
        </is>
      </c>
      <c r="M1215" t="inlineStr">
        <is>
          <t>07543956-0</t>
        </is>
      </c>
      <c r="N1215" t="inlineStr">
        <is>
          <t>7602-6148</t>
        </is>
      </c>
      <c r="O1215" t="inlineStr">
        <is>
          <t>Consumidor final</t>
        </is>
      </c>
      <c r="P1215" t="inlineStr">
        <is>
          <t>PAN-001</t>
        </is>
      </c>
      <c r="Q1215" t="inlineStr">
        <is>
          <t>Pan francés bolsa 10u</t>
        </is>
      </c>
      <c r="R1215" t="inlineStr">
        <is>
          <t>Panaderia</t>
        </is>
      </c>
      <c r="S1215" t="inlineStr">
        <is>
          <t>Panificadora Ilopango</t>
        </is>
      </c>
      <c r="T1215" t="inlineStr">
        <is>
          <t>2295-0081</t>
        </is>
      </c>
      <c r="U1215" t="n">
        <v>1</v>
      </c>
      <c r="V1215" t="n">
        <v>2</v>
      </c>
      <c r="W1215" t="n">
        <v>0</v>
      </c>
      <c r="X1215">
        <f>IFERROR(U1215*V1215*(1-W1215/100),"")</f>
        <v/>
      </c>
      <c r="Y1215">
        <f>IFERROR(ROUND(X1215*0.13,2),"")</f>
        <v/>
      </c>
      <c r="Z1215">
        <f>IFERROR(X1215+Y1215,"")</f>
        <v/>
      </c>
      <c r="AA1215" t="inlineStr">
        <is>
          <t>Efectivo</t>
        </is>
      </c>
      <c r="AB1215" t="inlineStr"/>
    </row>
    <row r="1216">
      <c r="A1216" t="inlineStr">
        <is>
          <t>F-11411</t>
        </is>
      </c>
      <c r="B1216" t="inlineStr">
        <is>
          <t>08/08/2026</t>
        </is>
      </c>
      <c r="C1216" t="inlineStr">
        <is>
          <t>Factura</t>
        </is>
      </c>
      <c r="D1216" t="inlineStr">
        <is>
          <t>SS02</t>
        </is>
      </c>
      <c r="E1216" t="inlineStr">
        <is>
          <t>Escalon</t>
        </is>
      </c>
      <c r="F1216" t="inlineStr">
        <is>
          <t>Paseo General Escalón #3910</t>
        </is>
      </c>
      <c r="G1216" t="inlineStr">
        <is>
          <t>San Salvador</t>
        </is>
      </c>
      <c r="H1216" t="inlineStr">
        <is>
          <t>San Salvador</t>
        </is>
      </c>
      <c r="I1216" t="inlineStr">
        <is>
          <t>Claudia Menjívar</t>
        </is>
      </c>
      <c r="J1216" t="inlineStr">
        <is>
          <t>2264-1190</t>
        </is>
      </c>
      <c r="K1216" t="inlineStr">
        <is>
          <t>Kevin Benítez</t>
        </is>
      </c>
      <c r="L1216" t="inlineStr">
        <is>
          <t>Mario Martínez Sorto</t>
        </is>
      </c>
      <c r="M1216" t="inlineStr">
        <is>
          <t>02686393-2</t>
        </is>
      </c>
      <c r="N1216" t="inlineStr">
        <is>
          <t>7413-9318</t>
        </is>
      </c>
      <c r="O1216" t="inlineStr">
        <is>
          <t>Consumidor final</t>
        </is>
      </c>
      <c r="P1216" t="inlineStr">
        <is>
          <t>CAF-001</t>
        </is>
      </c>
      <c r="Q1216" t="inlineStr">
        <is>
          <t>Café molido 400g</t>
        </is>
      </c>
      <c r="R1216" t="inlineStr">
        <is>
          <t>ABARROTES</t>
        </is>
      </c>
      <c r="S1216" t="inlineStr">
        <is>
          <t>Café Volcán S.A.</t>
        </is>
      </c>
      <c r="T1216" t="inlineStr">
        <is>
          <t>2510-3344</t>
        </is>
      </c>
      <c r="U1216" t="n">
        <v>4.25</v>
      </c>
      <c r="V1216" t="n">
        <v>12</v>
      </c>
      <c r="W1216" t="n">
        <v>0</v>
      </c>
      <c r="X1216">
        <f>IFERROR(U1216*V1216*(1-W1216/100),"")</f>
        <v/>
      </c>
      <c r="Y1216">
        <f>IFERROR(ROUND(X1216*0.13,2),"")</f>
        <v/>
      </c>
      <c r="Z1216">
        <f>IFERROR(X1216+Y1216,"")</f>
        <v/>
      </c>
      <c r="AA1216" t="inlineStr">
        <is>
          <t>Chivo</t>
        </is>
      </c>
      <c r="AB1216" t="inlineStr"/>
    </row>
    <row r="1217">
      <c r="A1217" t="inlineStr">
        <is>
          <t>F-11411</t>
        </is>
      </c>
      <c r="B1217" s="3" t="n">
        <v>46242</v>
      </c>
      <c r="C1217" t="inlineStr">
        <is>
          <t>Factura</t>
        </is>
      </c>
      <c r="D1217" t="inlineStr">
        <is>
          <t>SS02</t>
        </is>
      </c>
      <c r="E1217" t="inlineStr">
        <is>
          <t>Escalon</t>
        </is>
      </c>
      <c r="F1217" t="inlineStr">
        <is>
          <t>Paseo General Escalón #3910</t>
        </is>
      </c>
      <c r="G1217" t="inlineStr">
        <is>
          <t>San Salvador</t>
        </is>
      </c>
      <c r="H1217" t="inlineStr">
        <is>
          <t>San Salvador</t>
        </is>
      </c>
      <c r="I1217" t="inlineStr">
        <is>
          <t>Claudia Menjívar</t>
        </is>
      </c>
      <c r="J1217" t="inlineStr">
        <is>
          <t>2264-1190</t>
        </is>
      </c>
      <c r="K1217" t="inlineStr">
        <is>
          <t>Kevin Benítez</t>
        </is>
      </c>
      <c r="L1217" t="inlineStr">
        <is>
          <t>Mario Martínez Sorto</t>
        </is>
      </c>
      <c r="M1217" t="inlineStr">
        <is>
          <t>02686393-2</t>
        </is>
      </c>
      <c r="N1217" t="inlineStr">
        <is>
          <t>7413-9318</t>
        </is>
      </c>
      <c r="O1217" t="inlineStr">
        <is>
          <t>Consumidor final</t>
        </is>
      </c>
      <c r="P1217" t="inlineStr">
        <is>
          <t>HIG-001</t>
        </is>
      </c>
      <c r="Q1217" t="inlineStr">
        <is>
          <t>Detergente 1kg</t>
        </is>
      </c>
      <c r="R1217" t="inlineStr">
        <is>
          <t>Limpieza</t>
        </is>
      </c>
      <c r="S1217" t="inlineStr">
        <is>
          <t>Higiene Total C.A.</t>
        </is>
      </c>
      <c r="T1217" t="inlineStr">
        <is>
          <t>2207-5566</t>
        </is>
      </c>
      <c r="U1217" t="n">
        <v>3.45</v>
      </c>
      <c r="V1217" t="n">
        <v>4</v>
      </c>
      <c r="W1217" t="n">
        <v>0</v>
      </c>
      <c r="X1217">
        <f>IFERROR(U1217*V1217*(1-W1217/100),"")</f>
        <v/>
      </c>
      <c r="Y1217">
        <f>IFERROR(ROUND(X1217*0.13,2),"")</f>
        <v/>
      </c>
      <c r="Z1217">
        <f>IFERROR(X1217+Y1217,"")</f>
        <v/>
      </c>
      <c r="AA1217" t="inlineStr">
        <is>
          <t>Chivo</t>
        </is>
      </c>
      <c r="AB1217" t="inlineStr">
        <is>
          <t>pagó con billete de $100</t>
        </is>
      </c>
    </row>
    <row r="1218">
      <c r="A1218" t="inlineStr">
        <is>
          <t>F-11411</t>
        </is>
      </c>
      <c r="B1218" s="3" t="n">
        <v>46242</v>
      </c>
      <c r="C1218" t="inlineStr">
        <is>
          <t>Factura</t>
        </is>
      </c>
      <c r="D1218" t="inlineStr">
        <is>
          <t>SS02</t>
        </is>
      </c>
      <c r="E1218" t="inlineStr">
        <is>
          <t>ESCALON</t>
        </is>
      </c>
      <c r="F1218" t="inlineStr">
        <is>
          <t>Paseo General Escalón #3910</t>
        </is>
      </c>
      <c r="G1218" t="inlineStr">
        <is>
          <t>San Salvador</t>
        </is>
      </c>
      <c r="H1218" t="inlineStr">
        <is>
          <t>San Salvador</t>
        </is>
      </c>
      <c r="I1218" t="inlineStr">
        <is>
          <t>Claudia Menjívar</t>
        </is>
      </c>
      <c r="J1218" t="inlineStr">
        <is>
          <t>2264-1190</t>
        </is>
      </c>
      <c r="K1218" t="inlineStr">
        <is>
          <t>Kevin Benítez</t>
        </is>
      </c>
      <c r="L1218" t="inlineStr">
        <is>
          <t>Mario Martínez Sorto</t>
        </is>
      </c>
      <c r="M1218" t="inlineStr"/>
      <c r="N1218" t="inlineStr">
        <is>
          <t>7413-9318</t>
        </is>
      </c>
      <c r="O1218" t="inlineStr">
        <is>
          <t>Consumidor final</t>
        </is>
      </c>
      <c r="P1218" t="inlineStr">
        <is>
          <t>ARR-001</t>
        </is>
      </c>
      <c r="Q1218" t="inlineStr">
        <is>
          <t>Arroz blanco 5lb</t>
        </is>
      </c>
      <c r="R1218" t="inlineStr">
        <is>
          <t>Granos básicos</t>
        </is>
      </c>
      <c r="S1218" t="inlineStr">
        <is>
          <t>Granos del Pacífico</t>
        </is>
      </c>
      <c r="T1218" t="inlineStr">
        <is>
          <t>2234-8890</t>
        </is>
      </c>
      <c r="U1218" t="n">
        <v>3.95</v>
      </c>
      <c r="V1218" t="n">
        <v>2</v>
      </c>
      <c r="W1218" t="n">
        <v>0</v>
      </c>
      <c r="X1218">
        <f>IFERROR(U1218*V1218*(1-W1218/100),"")</f>
        <v/>
      </c>
      <c r="Y1218">
        <f>IFERROR(ROUND(X1218*0.13,2),"")</f>
        <v/>
      </c>
      <c r="Z1218">
        <f>IFERROR(X1218+Y1218,"")</f>
        <v/>
      </c>
      <c r="AA1218" t="inlineStr">
        <is>
          <t>Chivo</t>
        </is>
      </c>
      <c r="AB1218" t="inlineStr"/>
    </row>
    <row r="1219">
      <c r="A1219" t="inlineStr">
        <is>
          <t>F-11413</t>
        </is>
      </c>
      <c r="B1219" s="3" t="n">
        <v>46213</v>
      </c>
      <c r="C1219" t="inlineStr">
        <is>
          <t>factura</t>
        </is>
      </c>
      <c r="D1219" t="inlineStr">
        <is>
          <t>SS03</t>
        </is>
      </c>
      <c r="E1219" t="inlineStr">
        <is>
          <t>Soyapango</t>
        </is>
      </c>
      <c r="F1219" t="inlineStr">
        <is>
          <t>Blvd. del Ejército km 4</t>
        </is>
      </c>
      <c r="G1219" t="inlineStr">
        <is>
          <t>Soyapango</t>
        </is>
      </c>
      <c r="H1219" t="inlineStr">
        <is>
          <t>San Salvador</t>
        </is>
      </c>
      <c r="I1219" t="inlineStr">
        <is>
          <t>Karla Henríquez</t>
        </is>
      </c>
      <c r="J1219" t="inlineStr">
        <is>
          <t>2277-3402</t>
        </is>
      </c>
      <c r="K1219" t="inlineStr">
        <is>
          <t>Carlos Molina</t>
        </is>
      </c>
      <c r="L1219" t="inlineStr">
        <is>
          <t>Ana Hernández Rivera</t>
        </is>
      </c>
      <c r="M1219" t="inlineStr"/>
      <c r="N1219" t="inlineStr">
        <is>
          <t>6468-4274</t>
        </is>
      </c>
      <c r="O1219" t="inlineStr">
        <is>
          <t>Consumidor final</t>
        </is>
      </c>
      <c r="P1219" t="inlineStr">
        <is>
          <t>BEB-001</t>
        </is>
      </c>
      <c r="Q1219" t="inlineStr">
        <is>
          <t>Gaseosa 2.5L</t>
        </is>
      </c>
      <c r="R1219" t="inlineStr">
        <is>
          <t>bebidas</t>
        </is>
      </c>
      <c r="S1219" t="inlineStr">
        <is>
          <t>Bebidas Izalco</t>
        </is>
      </c>
      <c r="T1219" t="inlineStr">
        <is>
          <t>2450-7700</t>
        </is>
      </c>
      <c r="U1219" t="n">
        <v>1.95</v>
      </c>
      <c r="V1219" t="n">
        <v>12</v>
      </c>
      <c r="W1219" t="n">
        <v>0</v>
      </c>
      <c r="X1219">
        <f>IFERROR(U1219*V1219*(1-W1219/100),"")</f>
        <v/>
      </c>
      <c r="Y1219">
        <f>IFERROR(ROUND(X1219*0.13,2),"")</f>
        <v/>
      </c>
      <c r="Z1219">
        <f>IFERROR(X1219+Y1219,"")</f>
        <v/>
      </c>
      <c r="AA1219" t="inlineStr">
        <is>
          <t>Transferencia</t>
        </is>
      </c>
      <c r="AB1219" t="inlineStr">
        <is>
          <t>Llamar al 7788-1234 antes de entregar</t>
        </is>
      </c>
    </row>
    <row r="1220">
      <c r="A1220" t="inlineStr">
        <is>
          <t>F-11416</t>
        </is>
      </c>
      <c r="B1220" t="inlineStr">
        <is>
          <t>19/09/2026</t>
        </is>
      </c>
      <c r="C1220" t="inlineStr">
        <is>
          <t>Factura</t>
        </is>
      </c>
      <c r="D1220" t="inlineStr">
        <is>
          <t>SM01</t>
        </is>
      </c>
      <c r="E1220" t="inlineStr">
        <is>
          <t>San Miguel</t>
        </is>
      </c>
      <c r="F1220" t="inlineStr">
        <is>
          <t>Av. Roosevelt Sur #7</t>
        </is>
      </c>
      <c r="G1220" t="inlineStr">
        <is>
          <t>San Miguel</t>
        </is>
      </c>
      <c r="H1220" t="inlineStr">
        <is>
          <t>San Miguel</t>
        </is>
      </c>
      <c r="I1220" t="inlineStr">
        <is>
          <t>Iris Portillo</t>
        </is>
      </c>
      <c r="J1220" t="inlineStr">
        <is>
          <t>2661-5076</t>
        </is>
      </c>
      <c r="K1220" t="inlineStr">
        <is>
          <t>Paola Cruz</t>
        </is>
      </c>
      <c r="L1220" t="inlineStr">
        <is>
          <t>Walter Hernández Flores</t>
        </is>
      </c>
      <c r="M1220" t="inlineStr"/>
      <c r="N1220" t="inlineStr">
        <is>
          <t>6659-5342</t>
        </is>
      </c>
      <c r="O1220" t="inlineStr">
        <is>
          <t>Consumidor final</t>
        </is>
      </c>
      <c r="P1220" t="inlineStr">
        <is>
          <t>CAF-002</t>
        </is>
      </c>
      <c r="Q1220" t="inlineStr">
        <is>
          <t>Café en grano 1lb</t>
        </is>
      </c>
      <c r="R1220" t="inlineStr">
        <is>
          <t>Abarrotes</t>
        </is>
      </c>
      <c r="S1220" t="inlineStr">
        <is>
          <t>Café Volcán S.A.</t>
        </is>
      </c>
      <c r="T1220" t="inlineStr">
        <is>
          <t>2510-3344</t>
        </is>
      </c>
      <c r="U1220" t="n">
        <v>6.75</v>
      </c>
      <c r="V1220" t="n">
        <v>2</v>
      </c>
      <c r="W1220" t="n">
        <v>0</v>
      </c>
      <c r="X1220">
        <f>IFERROR(U1220*V1220*(1-W1220/100),"")</f>
        <v/>
      </c>
      <c r="Y1220">
        <f>IFERROR(ROUND(X1220*0.13,2),"")</f>
        <v/>
      </c>
      <c r="Z1220">
        <f>IFERROR(X1220+Y1220,"")</f>
        <v/>
      </c>
      <c r="AA1220" t="inlineStr">
        <is>
          <t>Tarjeta</t>
        </is>
      </c>
      <c r="AB1220" t="inlineStr"/>
    </row>
    <row r="1221">
      <c r="A1221" t="inlineStr">
        <is>
          <t>F-11416</t>
        </is>
      </c>
      <c r="B1221" s="3" t="n">
        <v>46284</v>
      </c>
      <c r="C1221" t="inlineStr">
        <is>
          <t>Factura</t>
        </is>
      </c>
      <c r="D1221" t="inlineStr">
        <is>
          <t>SM01</t>
        </is>
      </c>
      <c r="E1221" t="inlineStr">
        <is>
          <t>San Miguel</t>
        </is>
      </c>
      <c r="F1221" t="inlineStr">
        <is>
          <t>Av. Roosevelt Sur #7</t>
        </is>
      </c>
      <c r="G1221" t="inlineStr">
        <is>
          <t>San Miguel</t>
        </is>
      </c>
      <c r="H1221" t="inlineStr">
        <is>
          <t>San Miguel</t>
        </is>
      </c>
      <c r="I1221" t="inlineStr">
        <is>
          <t>Iris Portillo</t>
        </is>
      </c>
      <c r="J1221" t="inlineStr">
        <is>
          <t>2661-5076</t>
        </is>
      </c>
      <c r="K1221" t="inlineStr">
        <is>
          <t>Paola Cruz</t>
        </is>
      </c>
      <c r="L1221" t="inlineStr">
        <is>
          <t>Walter Hernández Flores</t>
        </is>
      </c>
      <c r="M1221" t="inlineStr"/>
      <c r="N1221" t="inlineStr">
        <is>
          <t>6659-5342</t>
        </is>
      </c>
      <c r="O1221" t="inlineStr">
        <is>
          <t>Consumidor final</t>
        </is>
      </c>
      <c r="P1221" t="inlineStr">
        <is>
          <t>HIG-001</t>
        </is>
      </c>
      <c r="Q1221" t="inlineStr">
        <is>
          <t>Detergente 1kg</t>
        </is>
      </c>
      <c r="R1221" t="inlineStr">
        <is>
          <t>Higiene</t>
        </is>
      </c>
      <c r="S1221" t="inlineStr">
        <is>
          <t>Higiene Total C.A.</t>
        </is>
      </c>
      <c r="T1221" t="inlineStr">
        <is>
          <t>2207-5566</t>
        </is>
      </c>
      <c r="U1221" t="n">
        <v>3.45</v>
      </c>
      <c r="V1221" t="n">
        <v>1</v>
      </c>
      <c r="W1221" t="n">
        <v>0</v>
      </c>
      <c r="X1221">
        <f>IFERROR(U1221*V1221*(1-W1221/100),"")</f>
        <v/>
      </c>
      <c r="Y1221">
        <f>IFERROR(ROUND(X1221*0.13,2),"")</f>
        <v/>
      </c>
      <c r="Z1221">
        <f>IFERROR(X1221+Y1221,"")</f>
        <v/>
      </c>
      <c r="AA1221" t="inlineStr">
        <is>
          <t>Tarjeta</t>
        </is>
      </c>
      <c r="AB1221" t="inlineStr"/>
    </row>
    <row r="1222">
      <c r="A1222" t="inlineStr">
        <is>
          <t>F-11416</t>
        </is>
      </c>
      <c r="B1222" s="3" t="n">
        <v>46284</v>
      </c>
      <c r="C1222" t="inlineStr">
        <is>
          <t>Factura</t>
        </is>
      </c>
      <c r="D1222" t="inlineStr">
        <is>
          <t>SM01</t>
        </is>
      </c>
      <c r="E1222" t="inlineStr">
        <is>
          <t>SAN MIGUEL</t>
        </is>
      </c>
      <c r="F1222" t="inlineStr">
        <is>
          <t>Av. Roosevelt Sur #7</t>
        </is>
      </c>
      <c r="G1222" t="inlineStr">
        <is>
          <t>San Miguel</t>
        </is>
      </c>
      <c r="H1222" t="inlineStr">
        <is>
          <t>San Miguel</t>
        </is>
      </c>
      <c r="I1222" t="inlineStr">
        <is>
          <t>Iris Portillo</t>
        </is>
      </c>
      <c r="J1222" t="inlineStr">
        <is>
          <t>2661-5076</t>
        </is>
      </c>
      <c r="K1222" t="inlineStr">
        <is>
          <t>Paola Cruz</t>
        </is>
      </c>
      <c r="L1222" t="inlineStr">
        <is>
          <t>Walter Hernández Flores</t>
        </is>
      </c>
      <c r="M1222" t="inlineStr"/>
      <c r="N1222" t="inlineStr">
        <is>
          <t>6659-5342</t>
        </is>
      </c>
      <c r="O1222" t="inlineStr">
        <is>
          <t>Consumidor final</t>
        </is>
      </c>
      <c r="P1222" t="inlineStr">
        <is>
          <t>FRI-001</t>
        </is>
      </c>
      <c r="Q1222" t="inlineStr">
        <is>
          <t>Frijol rojo de seda 2lb</t>
        </is>
      </c>
      <c r="R1222" t="inlineStr">
        <is>
          <t>Abarrotes</t>
        </is>
      </c>
      <c r="S1222" t="inlineStr">
        <is>
          <t>Granos del Pacífico</t>
        </is>
      </c>
      <c r="T1222" t="inlineStr">
        <is>
          <t>2234-8890</t>
        </is>
      </c>
      <c r="U1222" t="inlineStr">
        <is>
          <t>2,40</t>
        </is>
      </c>
      <c r="V1222" t="n">
        <v>3</v>
      </c>
      <c r="W1222" t="n">
        <v>0</v>
      </c>
      <c r="X1222">
        <f>IFERROR(U1222*V1222*(1-W1222/100),"")</f>
        <v/>
      </c>
      <c r="Y1222">
        <f>IFERROR(ROUND(X1222*0.13,2),"")</f>
        <v/>
      </c>
      <c r="Z1222">
        <f>IFERROR(X1222+Y1222,"")</f>
        <v/>
      </c>
      <c r="AA1222" t="inlineStr">
        <is>
          <t>Tarjeta</t>
        </is>
      </c>
      <c r="AB1222" t="inlineStr">
        <is>
          <t>entregar en bodega</t>
        </is>
      </c>
    </row>
    <row r="1223">
      <c r="A1223" t="inlineStr">
        <is>
          <t>11417</t>
        </is>
      </c>
      <c r="B1223" t="inlineStr">
        <is>
          <t>07-Sep-26</t>
        </is>
      </c>
      <c r="C1223" t="inlineStr">
        <is>
          <t>FCF</t>
        </is>
      </c>
      <c r="D1223" t="inlineStr">
        <is>
          <t>SS01</t>
        </is>
      </c>
      <c r="E1223" t="inlineStr">
        <is>
          <t>SAN SALVADOR CENTRO</t>
        </is>
      </c>
      <c r="F1223" t="inlineStr">
        <is>
          <t>4a Calle Poniente #215</t>
        </is>
      </c>
      <c r="G1223" t="inlineStr">
        <is>
          <t>San Salvador</t>
        </is>
      </c>
      <c r="H1223" t="inlineStr">
        <is>
          <t>San Salvador</t>
        </is>
      </c>
      <c r="I1223" t="inlineStr">
        <is>
          <t>Roberto Alfaro</t>
        </is>
      </c>
      <c r="J1223" t="inlineStr">
        <is>
          <t>2221-4580</t>
        </is>
      </c>
      <c r="K1223" t="inlineStr">
        <is>
          <t>Daniela Orellana</t>
        </is>
      </c>
      <c r="L1223" t="inlineStr">
        <is>
          <t>Patricia Guevara Quintanilla</t>
        </is>
      </c>
      <c r="M1223" t="inlineStr"/>
      <c r="N1223" t="inlineStr">
        <is>
          <t>6951-5407</t>
        </is>
      </c>
      <c r="O1223" t="inlineStr">
        <is>
          <t>Consumidor final</t>
        </is>
      </c>
      <c r="P1223" t="inlineStr">
        <is>
          <t>AZU-001</t>
        </is>
      </c>
      <c r="Q1223" t="inlineStr">
        <is>
          <t>Azúcar blanca 2.5kg</t>
        </is>
      </c>
      <c r="R1223" t="inlineStr">
        <is>
          <t>Abarrotes</t>
        </is>
      </c>
      <c r="S1223" t="inlineStr">
        <is>
          <t>Granos del Pacífico</t>
        </is>
      </c>
      <c r="T1223" t="inlineStr">
        <is>
          <t>2234-8890</t>
        </is>
      </c>
      <c r="U1223" t="n">
        <v>3.1</v>
      </c>
      <c r="V1223" t="n">
        <v>2</v>
      </c>
      <c r="W1223" t="n">
        <v>0</v>
      </c>
      <c r="X1223">
        <f>IFERROR(U1223*V1223*(1-W1223/100),"")</f>
        <v/>
      </c>
      <c r="Y1223">
        <f>IFERROR(ROUND(X1223*0.13,2),"")</f>
        <v/>
      </c>
      <c r="Z1223">
        <f>IFERROR(X1223+Y1223,"")</f>
        <v/>
      </c>
      <c r="AA1223" t="inlineStr">
        <is>
          <t>Efectivo</t>
        </is>
      </c>
      <c r="AB1223" t="inlineStr">
        <is>
          <t>precio especial autorizado por gerente</t>
        </is>
      </c>
    </row>
    <row r="1224">
      <c r="A1224" t="inlineStr">
        <is>
          <t>F-11417</t>
        </is>
      </c>
      <c r="B1224" s="3" t="n">
        <v>46272</v>
      </c>
      <c r="C1224" t="inlineStr">
        <is>
          <t>FCF</t>
        </is>
      </c>
      <c r="D1224" t="inlineStr">
        <is>
          <t>SS01</t>
        </is>
      </c>
      <c r="E1224" t="inlineStr">
        <is>
          <t xml:space="preserve">san salvador centro </t>
        </is>
      </c>
      <c r="F1224" t="inlineStr">
        <is>
          <t>4a Calle Poniente #215</t>
        </is>
      </c>
      <c r="G1224" t="inlineStr">
        <is>
          <t>San Salvador</t>
        </is>
      </c>
      <c r="H1224" t="inlineStr">
        <is>
          <t>San Salvador</t>
        </is>
      </c>
      <c r="I1224" t="inlineStr">
        <is>
          <t>Roberto Alfaro</t>
        </is>
      </c>
      <c r="J1224" t="inlineStr">
        <is>
          <t>2221-4580</t>
        </is>
      </c>
      <c r="K1224" t="inlineStr">
        <is>
          <t>Daniela Orellana</t>
        </is>
      </c>
      <c r="L1224" t="inlineStr">
        <is>
          <t>Patricia Guevara Quintanilla</t>
        </is>
      </c>
      <c r="M1224" t="inlineStr">
        <is>
          <t>07265655-3</t>
        </is>
      </c>
      <c r="N1224" t="inlineStr">
        <is>
          <t>6951-5407</t>
        </is>
      </c>
      <c r="O1224" t="inlineStr">
        <is>
          <t>Consumidor final</t>
        </is>
      </c>
      <c r="P1224" t="inlineStr">
        <is>
          <t>HIG-001</t>
        </is>
      </c>
      <c r="Q1224" t="inlineStr">
        <is>
          <t>Detergente 1kg</t>
        </is>
      </c>
      <c r="R1224" t="inlineStr">
        <is>
          <t>Higiene</t>
        </is>
      </c>
      <c r="S1224" t="inlineStr">
        <is>
          <t>Higiene Total C.A.</t>
        </is>
      </c>
      <c r="T1224" t="inlineStr">
        <is>
          <t>2207-5566</t>
        </is>
      </c>
      <c r="U1224" t="n">
        <v>3.45</v>
      </c>
      <c r="V1224" t="n">
        <v>12</v>
      </c>
      <c r="W1224" t="n">
        <v>0</v>
      </c>
      <c r="X1224">
        <f>IFERROR(U1224*V1224*(1-W1224/100),"")</f>
        <v/>
      </c>
      <c r="Y1224">
        <f>IFERROR(ROUND(X1224*0.13,2),"")</f>
        <v/>
      </c>
      <c r="Z1224">
        <f>IFERROR(X1224+Y1224,"")</f>
        <v/>
      </c>
      <c r="AA1224" t="inlineStr">
        <is>
          <t>Efectivo</t>
        </is>
      </c>
      <c r="AB1224" t="inlineStr">
        <is>
          <t>pagó con billete de $100</t>
        </is>
      </c>
    </row>
    <row r="1225">
      <c r="A1225" t="inlineStr">
        <is>
          <t>F-11419</t>
        </is>
      </c>
      <c r="B1225" s="3" t="n">
        <v>46243</v>
      </c>
      <c r="C1225" t="inlineStr">
        <is>
          <t>Factura</t>
        </is>
      </c>
      <c r="D1225" t="inlineStr">
        <is>
          <t>SS02</t>
        </is>
      </c>
      <c r="E1225" t="inlineStr">
        <is>
          <t>ESCALON</t>
        </is>
      </c>
      <c r="F1225" t="inlineStr">
        <is>
          <t>Paseo General Escalón #3910</t>
        </is>
      </c>
      <c r="G1225" t="inlineStr">
        <is>
          <t>San Salvador</t>
        </is>
      </c>
      <c r="H1225" t="inlineStr">
        <is>
          <t>San Salvador</t>
        </is>
      </c>
      <c r="I1225" t="inlineStr">
        <is>
          <t>Claudia Menjívar</t>
        </is>
      </c>
      <c r="J1225" t="inlineStr">
        <is>
          <t>2264-1190</t>
        </is>
      </c>
      <c r="K1225" t="inlineStr">
        <is>
          <t>Fátima Rosales</t>
        </is>
      </c>
      <c r="L1225" t="inlineStr">
        <is>
          <t>Brenda Castillo Sorto</t>
        </is>
      </c>
      <c r="M1225" t="inlineStr">
        <is>
          <t>09144591-2</t>
        </is>
      </c>
      <c r="N1225" t="inlineStr">
        <is>
          <t>2460-3568</t>
        </is>
      </c>
      <c r="O1225" t="inlineStr">
        <is>
          <t>Consumidor final</t>
        </is>
      </c>
      <c r="P1225" t="inlineStr">
        <is>
          <t>HIG-002</t>
        </is>
      </c>
      <c r="Q1225" t="inlineStr">
        <is>
          <t>Papel higiénico 4 rollos</t>
        </is>
      </c>
      <c r="R1225" t="inlineStr">
        <is>
          <t>Higiene</t>
        </is>
      </c>
      <c r="S1225" t="inlineStr">
        <is>
          <t>Higiene Total C.A.</t>
        </is>
      </c>
      <c r="T1225" t="inlineStr">
        <is>
          <t>2207-5566</t>
        </is>
      </c>
      <c r="U1225" t="n">
        <v>2.15</v>
      </c>
      <c r="V1225" t="n">
        <v>3</v>
      </c>
      <c r="W1225" t="n">
        <v>0</v>
      </c>
      <c r="X1225">
        <f>IFERROR(U1225*V1225*(1-W1225/100),"")</f>
        <v/>
      </c>
      <c r="Y1225">
        <f>IFERROR(ROUND(X1225*0.13,2),"")</f>
        <v/>
      </c>
      <c r="Z1225">
        <f>IFERROR(X1225+Y1225,"")</f>
        <v/>
      </c>
      <c r="AA1225" t="inlineStr">
        <is>
          <t>Transferencia</t>
        </is>
      </c>
      <c r="AB1225" t="inlineStr"/>
    </row>
    <row r="1226">
      <c r="A1226" t="inlineStr">
        <is>
          <t>F-11419</t>
        </is>
      </c>
      <c r="B1226" s="3" t="n">
        <v>46243</v>
      </c>
      <c r="C1226" t="inlineStr">
        <is>
          <t>Factura</t>
        </is>
      </c>
      <c r="D1226" t="inlineStr">
        <is>
          <t>SS02</t>
        </is>
      </c>
      <c r="E1226" t="inlineStr">
        <is>
          <t>Col. Escalón</t>
        </is>
      </c>
      <c r="F1226" t="inlineStr">
        <is>
          <t>Paseo General Escalón #3910</t>
        </is>
      </c>
      <c r="G1226" t="inlineStr">
        <is>
          <t>San Salvador</t>
        </is>
      </c>
      <c r="H1226" t="inlineStr">
        <is>
          <t>San Salvador</t>
        </is>
      </c>
      <c r="I1226" t="inlineStr">
        <is>
          <t>Claudia Menjívar</t>
        </is>
      </c>
      <c r="J1226" t="inlineStr">
        <is>
          <t>2264-1190</t>
        </is>
      </c>
      <c r="K1226" t="inlineStr">
        <is>
          <t>Fátima Rosales</t>
        </is>
      </c>
      <c r="L1226" t="inlineStr">
        <is>
          <t>Brenda Castillo Sorto</t>
        </is>
      </c>
      <c r="M1226" t="inlineStr">
        <is>
          <t>09144591-2</t>
        </is>
      </c>
      <c r="N1226" t="inlineStr">
        <is>
          <t>2460-3568</t>
        </is>
      </c>
      <c r="O1226" t="inlineStr">
        <is>
          <t>Consumidor final</t>
        </is>
      </c>
      <c r="P1226" t="inlineStr">
        <is>
          <t>BEB-003</t>
        </is>
      </c>
      <c r="Q1226" t="inlineStr">
        <is>
          <t>Horchata en polvo 400g</t>
        </is>
      </c>
      <c r="R1226" t="inlineStr">
        <is>
          <t>Abarrotes</t>
        </is>
      </c>
      <c r="S1226" t="inlineStr">
        <is>
          <t>Bebidas Izalco</t>
        </is>
      </c>
      <c r="T1226" t="inlineStr">
        <is>
          <t>2450-7700</t>
        </is>
      </c>
      <c r="U1226" t="n">
        <v>2.6</v>
      </c>
      <c r="V1226" t="n">
        <v>12</v>
      </c>
      <c r="W1226" t="n">
        <v>0</v>
      </c>
      <c r="X1226">
        <f>IFERROR(U1226*V1226*(1-W1226/100),"")</f>
        <v/>
      </c>
      <c r="Y1226">
        <f>IFERROR(ROUND(X1226*0.13,2),"")</f>
        <v/>
      </c>
      <c r="Z1226">
        <f>IFERROR(X1226+Y1226,"")</f>
        <v/>
      </c>
      <c r="AA1226" t="inlineStr">
        <is>
          <t>Transferencia</t>
        </is>
      </c>
      <c r="AB1226" t="inlineStr"/>
    </row>
    <row r="1227">
      <c r="A1227" t="inlineStr">
        <is>
          <t>F-11421</t>
        </is>
      </c>
      <c r="B1227" s="3" t="n">
        <v>46258</v>
      </c>
      <c r="C1227" t="inlineStr">
        <is>
          <t>Factura</t>
        </is>
      </c>
      <c r="D1227" t="inlineStr">
        <is>
          <t>SA01</t>
        </is>
      </c>
      <c r="E1227" t="inlineStr">
        <is>
          <t>Santa Ana</t>
        </is>
      </c>
      <c r="F1227" t="inlineStr">
        <is>
          <t>Av. Independencia Sur #12</t>
        </is>
      </c>
      <c r="G1227" t="inlineStr">
        <is>
          <t>Santa Ana</t>
        </is>
      </c>
      <c r="H1227" t="inlineStr">
        <is>
          <t>Santa Ana</t>
        </is>
      </c>
      <c r="I1227" t="inlineStr">
        <is>
          <t>Mauricio Linares</t>
        </is>
      </c>
      <c r="J1227" t="inlineStr">
        <is>
          <t>2440-9921</t>
        </is>
      </c>
      <c r="K1227" t="inlineStr">
        <is>
          <t>Sofía Cáceres</t>
        </is>
      </c>
      <c r="L1227" t="inlineStr">
        <is>
          <t>Mario Castillo Flores</t>
        </is>
      </c>
      <c r="M1227" t="inlineStr">
        <is>
          <t>04376476-4</t>
        </is>
      </c>
      <c r="N1227" t="inlineStr">
        <is>
          <t>2114-7744</t>
        </is>
      </c>
      <c r="O1227" t="inlineStr">
        <is>
          <t>Consumidor final</t>
        </is>
      </c>
      <c r="P1227" t="inlineStr">
        <is>
          <t>LAC-003</t>
        </is>
      </c>
      <c r="Q1227" t="inlineStr">
        <is>
          <t>Leche entera 1L</t>
        </is>
      </c>
      <c r="R1227" t="inlineStr">
        <is>
          <t>Lácteos</t>
        </is>
      </c>
      <c r="S1227" t="inlineStr">
        <is>
          <t>Lácteos Chalate</t>
        </is>
      </c>
      <c r="T1227" t="inlineStr">
        <is>
          <t>2335-1020</t>
        </is>
      </c>
      <c r="U1227" t="inlineStr">
        <is>
          <t>1,20</t>
        </is>
      </c>
      <c r="V1227" t="n">
        <v>3</v>
      </c>
      <c r="W1227" t="n">
        <v>0</v>
      </c>
      <c r="X1227">
        <f>IFERROR(U1227*V1227*(1-W1227/100),"")</f>
        <v/>
      </c>
      <c r="Y1227">
        <f>IFERROR(ROUND(X1227*0.13,2),"")</f>
        <v/>
      </c>
      <c r="Z1227">
        <f>IFERROR(X1227+Y1227,"")</f>
        <v/>
      </c>
      <c r="AA1227" t="inlineStr">
        <is>
          <t>Efectivo</t>
        </is>
      </c>
      <c r="AB1227" t="inlineStr"/>
    </row>
    <row r="1228">
      <c r="A1228" t="inlineStr">
        <is>
          <t>F-11422</t>
        </is>
      </c>
      <c r="B1228" s="3" t="n">
        <v>46240</v>
      </c>
      <c r="C1228" t="inlineStr">
        <is>
          <t>Factura</t>
        </is>
      </c>
      <c r="D1228" t="inlineStr">
        <is>
          <t>LL01</t>
        </is>
      </c>
      <c r="E1228" t="inlineStr">
        <is>
          <t>SANTA TECLA</t>
        </is>
      </c>
      <c r="F1228" t="inlineStr">
        <is>
          <t>Calle Daniel Hernández #18</t>
        </is>
      </c>
      <c r="G1228" t="inlineStr">
        <is>
          <t>Santa Tecla</t>
        </is>
      </c>
      <c r="H1228" t="inlineStr">
        <is>
          <t>La Libertad</t>
        </is>
      </c>
      <c r="I1228" t="inlineStr">
        <is>
          <t>Óscar Rivas</t>
        </is>
      </c>
      <c r="J1228" t="inlineStr">
        <is>
          <t>2228-7731</t>
        </is>
      </c>
      <c r="K1228" t="inlineStr">
        <is>
          <t>Andrea Pineda</t>
        </is>
      </c>
      <c r="L1228" t="inlineStr">
        <is>
          <t>Sandra Guevara Lemus</t>
        </is>
      </c>
      <c r="M1228" t="inlineStr">
        <is>
          <t>08577633-7</t>
        </is>
      </c>
      <c r="N1228" t="inlineStr">
        <is>
          <t>6671-1550</t>
        </is>
      </c>
      <c r="O1228" t="inlineStr">
        <is>
          <t>Consumidor final</t>
        </is>
      </c>
      <c r="P1228" t="inlineStr">
        <is>
          <t>LAC-001</t>
        </is>
      </c>
      <c r="Q1228" t="inlineStr">
        <is>
          <t>Quesillo 1lb</t>
        </is>
      </c>
      <c r="R1228" t="inlineStr">
        <is>
          <t>LACTEOS</t>
        </is>
      </c>
      <c r="S1228" t="inlineStr">
        <is>
          <t>Lácteos Chalate</t>
        </is>
      </c>
      <c r="T1228" t="inlineStr">
        <is>
          <t>2335-1020</t>
        </is>
      </c>
      <c r="U1228" t="n">
        <v>3.8</v>
      </c>
      <c r="V1228" t="n">
        <v>1</v>
      </c>
      <c r="W1228" t="n">
        <v>0</v>
      </c>
      <c r="X1228">
        <f>IFERROR(U1228*V1228*(1-W1228/100),"")</f>
        <v/>
      </c>
      <c r="Y1228">
        <f>IFERROR(ROUND(X1228*0.13,2),"")</f>
        <v/>
      </c>
      <c r="Z1228">
        <f>IFERROR(X1228+Y1228,"")</f>
        <v/>
      </c>
      <c r="AA1228" t="inlineStr">
        <is>
          <t>Tarjeta</t>
        </is>
      </c>
      <c r="AB1228" t="inlineStr">
        <is>
          <t>Cliente frecuente</t>
        </is>
      </c>
    </row>
    <row r="1229">
      <c r="A1229" t="inlineStr">
        <is>
          <t>F-11422</t>
        </is>
      </c>
      <c r="B1229" s="3" t="n">
        <v>46240</v>
      </c>
      <c r="C1229" t="inlineStr">
        <is>
          <t>Factura</t>
        </is>
      </c>
      <c r="D1229" t="inlineStr">
        <is>
          <t>LL01</t>
        </is>
      </c>
      <c r="E1229" t="inlineStr">
        <is>
          <t>Santa Tecla</t>
        </is>
      </c>
      <c r="F1229" t="inlineStr">
        <is>
          <t>Calle Daniel Hernández #18</t>
        </is>
      </c>
      <c r="G1229" t="inlineStr">
        <is>
          <t>Santa Tecla</t>
        </is>
      </c>
      <c r="H1229" t="inlineStr">
        <is>
          <t>La Libertad</t>
        </is>
      </c>
      <c r="I1229" t="inlineStr">
        <is>
          <t>Óscar Rivas</t>
        </is>
      </c>
      <c r="J1229" t="inlineStr">
        <is>
          <t>2228-7731</t>
        </is>
      </c>
      <c r="K1229" t="inlineStr">
        <is>
          <t>Andrea Pineda</t>
        </is>
      </c>
      <c r="L1229" t="inlineStr">
        <is>
          <t>Sandra Guevara Lemus</t>
        </is>
      </c>
      <c r="M1229" t="inlineStr">
        <is>
          <t>08577633-7</t>
        </is>
      </c>
      <c r="N1229" t="inlineStr">
        <is>
          <t>6671-1550</t>
        </is>
      </c>
      <c r="O1229" t="inlineStr">
        <is>
          <t>Consumidor final</t>
        </is>
      </c>
      <c r="P1229" t="inlineStr">
        <is>
          <t>HIG-002</t>
        </is>
      </c>
      <c r="Q1229" t="inlineStr">
        <is>
          <t>Papel higiénico 4 rollos</t>
        </is>
      </c>
      <c r="R1229" t="inlineStr">
        <is>
          <t>Higiene</t>
        </is>
      </c>
      <c r="S1229" t="inlineStr">
        <is>
          <t>Higiene Total C.A.</t>
        </is>
      </c>
      <c r="T1229" t="inlineStr">
        <is>
          <t>2207-5566</t>
        </is>
      </c>
      <c r="U1229" t="n">
        <v>2.15</v>
      </c>
      <c r="V1229" t="n">
        <v>12</v>
      </c>
      <c r="W1229" t="n">
        <v>0</v>
      </c>
      <c r="X1229">
        <f>IFERROR(U1229*V1229*(1-W1229/100),"")</f>
        <v/>
      </c>
      <c r="Y1229">
        <f>IFERROR(ROUND(X1229*0.13,2),"")</f>
        <v/>
      </c>
      <c r="Z1229">
        <f>IFERROR(X1229+Y1229,"")</f>
        <v/>
      </c>
      <c r="AA1229" t="inlineStr">
        <is>
          <t>Tarjeta</t>
        </is>
      </c>
      <c r="AB1229" t="inlineStr">
        <is>
          <t>Llamar al 7788-1234 antes de entregar</t>
        </is>
      </c>
    </row>
    <row r="1230">
      <c r="A1230" t="inlineStr">
        <is>
          <t>F-11422</t>
        </is>
      </c>
      <c r="B1230" s="3" t="n">
        <v>46240</v>
      </c>
      <c r="C1230" t="inlineStr">
        <is>
          <t>Factura</t>
        </is>
      </c>
      <c r="D1230" t="inlineStr">
        <is>
          <t>LL01</t>
        </is>
      </c>
      <c r="E1230" t="inlineStr">
        <is>
          <t>SANTA TECLA</t>
        </is>
      </c>
      <c r="F1230" t="inlineStr">
        <is>
          <t>Calle Daniel Hernández #18</t>
        </is>
      </c>
      <c r="G1230" t="inlineStr">
        <is>
          <t>Santa Tecla</t>
        </is>
      </c>
      <c r="H1230" t="inlineStr">
        <is>
          <t>La Libertad</t>
        </is>
      </c>
      <c r="I1230" t="inlineStr">
        <is>
          <t>Óscar Rivas</t>
        </is>
      </c>
      <c r="J1230" t="inlineStr">
        <is>
          <t>2228-7731</t>
        </is>
      </c>
      <c r="K1230" t="inlineStr">
        <is>
          <t>Andrea Pineda</t>
        </is>
      </c>
      <c r="L1230" t="inlineStr">
        <is>
          <t>Sandra Guevara Lemus</t>
        </is>
      </c>
      <c r="M1230" t="inlineStr">
        <is>
          <t>08577633-7</t>
        </is>
      </c>
      <c r="N1230" t="inlineStr">
        <is>
          <t>6671-1550</t>
        </is>
      </c>
      <c r="O1230" t="inlineStr">
        <is>
          <t>Consumidor final</t>
        </is>
      </c>
      <c r="P1230" t="inlineStr">
        <is>
          <t>HAR-001</t>
        </is>
      </c>
      <c r="Q1230" t="inlineStr">
        <is>
          <t>Harina de maíz 2lb</t>
        </is>
      </c>
      <c r="R1230" t="inlineStr">
        <is>
          <t>Abarrotes</t>
        </is>
      </c>
      <c r="S1230" t="inlineStr">
        <is>
          <t>Granos del Pacífico</t>
        </is>
      </c>
      <c r="T1230" t="inlineStr">
        <is>
          <t>2234-8890</t>
        </is>
      </c>
      <c r="U1230" t="n">
        <v>1.35</v>
      </c>
      <c r="V1230" t="n">
        <v>6</v>
      </c>
      <c r="W1230" t="n">
        <v>0</v>
      </c>
      <c r="X1230">
        <f>IFERROR(U1230*V1230*(1-W1230/100),"")</f>
        <v/>
      </c>
      <c r="Y1230">
        <f>IFERROR(ROUND(X1230*0.13,2),"")</f>
        <v/>
      </c>
      <c r="Z1230">
        <f>IFERROR(X1230+Y1230,"")</f>
        <v/>
      </c>
      <c r="AA1230" t="inlineStr">
        <is>
          <t>Tarjeta</t>
        </is>
      </c>
      <c r="AB1230" t="inlineStr"/>
    </row>
    <row r="1231">
      <c r="A1231" t="inlineStr">
        <is>
          <t>F-11422</t>
        </is>
      </c>
      <c r="B1231" s="3" t="n">
        <v>46240</v>
      </c>
      <c r="C1231" t="inlineStr">
        <is>
          <t>Factura</t>
        </is>
      </c>
      <c r="D1231" t="inlineStr">
        <is>
          <t>LL01</t>
        </is>
      </c>
      <c r="E1231" t="inlineStr">
        <is>
          <t>SANTA TECLA</t>
        </is>
      </c>
      <c r="F1231" t="inlineStr">
        <is>
          <t>Calle Daniel Hernández #18</t>
        </is>
      </c>
      <c r="G1231" t="inlineStr">
        <is>
          <t>Santa Tecla</t>
        </is>
      </c>
      <c r="H1231" t="inlineStr">
        <is>
          <t>La Libertad</t>
        </is>
      </c>
      <c r="I1231" t="inlineStr">
        <is>
          <t>Óscar Rivas</t>
        </is>
      </c>
      <c r="J1231" t="inlineStr">
        <is>
          <t>2228-7731</t>
        </is>
      </c>
      <c r="K1231" t="inlineStr">
        <is>
          <t>Andrea Pineda</t>
        </is>
      </c>
      <c r="L1231" t="inlineStr">
        <is>
          <t>Sandra Guevara Lemus</t>
        </is>
      </c>
      <c r="M1231" t="inlineStr"/>
      <c r="N1231" t="inlineStr">
        <is>
          <t>6671-1550</t>
        </is>
      </c>
      <c r="O1231" t="inlineStr">
        <is>
          <t>Consumidor final</t>
        </is>
      </c>
      <c r="P1231" t="inlineStr">
        <is>
          <t>LAC-002</t>
        </is>
      </c>
      <c r="Q1231" t="inlineStr">
        <is>
          <t>Crema 500ml</t>
        </is>
      </c>
      <c r="R1231" t="inlineStr">
        <is>
          <t>Lácteos</t>
        </is>
      </c>
      <c r="S1231" t="inlineStr">
        <is>
          <t>Lácteos Chalate</t>
        </is>
      </c>
      <c r="T1231" t="inlineStr">
        <is>
          <t>2335-1020</t>
        </is>
      </c>
      <c r="U1231" t="n">
        <v>2.25</v>
      </c>
      <c r="V1231" t="n">
        <v>1</v>
      </c>
      <c r="W1231" t="n">
        <v>0</v>
      </c>
      <c r="X1231">
        <f>IFERROR(U1231*V1231*(1-W1231/100),"")</f>
        <v/>
      </c>
      <c r="Y1231">
        <f>IFERROR(ROUND(X1231*0.13,2),"")</f>
        <v/>
      </c>
      <c r="Z1231">
        <f>IFERROR(X1231+Y1231,"")</f>
        <v/>
      </c>
      <c r="AA1231" t="inlineStr">
        <is>
          <t>Tarjeta</t>
        </is>
      </c>
      <c r="AB1231" t="inlineStr">
        <is>
          <t>pagó con billete de $100</t>
        </is>
      </c>
    </row>
    <row r="1232">
      <c r="A1232" t="inlineStr">
        <is>
          <t>F-11425</t>
        </is>
      </c>
      <c r="B1232" s="3" t="n">
        <v>46265</v>
      </c>
      <c r="C1232" t="inlineStr">
        <is>
          <t>factura</t>
        </is>
      </c>
      <c r="D1232" t="inlineStr">
        <is>
          <t>SS01</t>
        </is>
      </c>
      <c r="E1232" t="inlineStr">
        <is>
          <t>San Salvador Centro</t>
        </is>
      </c>
      <c r="F1232" t="inlineStr">
        <is>
          <t>4a Calle Poniente #215</t>
        </is>
      </c>
      <c r="G1232" t="inlineStr">
        <is>
          <t>San Salvador</t>
        </is>
      </c>
      <c r="H1232" t="inlineStr">
        <is>
          <t>San Salvador</t>
        </is>
      </c>
      <c r="I1232" t="inlineStr">
        <is>
          <t>Roberto Alfaro</t>
        </is>
      </c>
      <c r="J1232" t="inlineStr">
        <is>
          <t>2221-4580</t>
        </is>
      </c>
      <c r="K1232" t="inlineStr">
        <is>
          <t>José Martínez</t>
        </is>
      </c>
      <c r="L1232" t="inlineStr">
        <is>
          <t>Sandra Lemus Flores</t>
        </is>
      </c>
      <c r="M1232" t="inlineStr">
        <is>
          <t>07143344-7</t>
        </is>
      </c>
      <c r="N1232" t="inlineStr">
        <is>
          <t>2764-5365</t>
        </is>
      </c>
      <c r="O1232" t="inlineStr">
        <is>
          <t>Consumidor final</t>
        </is>
      </c>
      <c r="P1232" t="inlineStr">
        <is>
          <t>PAN-001</t>
        </is>
      </c>
      <c r="Q1232" t="inlineStr">
        <is>
          <t>Pan francés bolsa 10u</t>
        </is>
      </c>
      <c r="R1232" t="inlineStr">
        <is>
          <t>Panaderia</t>
        </is>
      </c>
      <c r="S1232" t="inlineStr">
        <is>
          <t>Panificadora Ilopango</t>
        </is>
      </c>
      <c r="T1232" t="inlineStr">
        <is>
          <t>2295-0081</t>
        </is>
      </c>
      <c r="U1232" t="inlineStr">
        <is>
          <t>1,00</t>
        </is>
      </c>
      <c r="V1232" t="n">
        <v>4</v>
      </c>
      <c r="W1232" t="n">
        <v>0</v>
      </c>
      <c r="X1232">
        <f>IFERROR(U1232*V1232*(1-W1232/100),"")</f>
        <v/>
      </c>
      <c r="Y1232">
        <f>IFERROR(ROUND(X1232*0.13,2),"")</f>
        <v/>
      </c>
      <c r="Z1232">
        <f>IFERROR(X1232+Y1232,"")</f>
        <v/>
      </c>
      <c r="AA1232" t="inlineStr">
        <is>
          <t>Tarjeta</t>
        </is>
      </c>
      <c r="AB1232" t="inlineStr">
        <is>
          <t>Cliente frecuente</t>
        </is>
      </c>
    </row>
    <row r="1233">
      <c r="A1233" t="inlineStr">
        <is>
          <t>F-11428</t>
        </is>
      </c>
      <c r="B1233" s="3" t="n">
        <v>46216</v>
      </c>
      <c r="C1233" t="inlineStr">
        <is>
          <t>FCF</t>
        </is>
      </c>
      <c r="D1233" t="inlineStr">
        <is>
          <t>LL01</t>
        </is>
      </c>
      <c r="E1233" t="inlineStr">
        <is>
          <t>Santa Tecla</t>
        </is>
      </c>
      <c r="F1233" t="inlineStr">
        <is>
          <t>Calle Daniel Hernández #18</t>
        </is>
      </c>
      <c r="G1233" t="inlineStr">
        <is>
          <t>Santa Tecla</t>
        </is>
      </c>
      <c r="H1233" t="inlineStr">
        <is>
          <t>La Libertad</t>
        </is>
      </c>
      <c r="I1233" t="inlineStr">
        <is>
          <t>Óscar Rivas</t>
        </is>
      </c>
      <c r="J1233" t="inlineStr">
        <is>
          <t>2228-7731</t>
        </is>
      </c>
      <c r="K1233" t="inlineStr">
        <is>
          <t>Luis Escobar</t>
        </is>
      </c>
      <c r="L1233" t="inlineStr">
        <is>
          <t>Mario Sorto Castillo</t>
        </is>
      </c>
      <c r="M1233" t="inlineStr">
        <is>
          <t>09824839-0</t>
        </is>
      </c>
      <c r="N1233" t="inlineStr">
        <is>
          <t>7450-4234</t>
        </is>
      </c>
      <c r="O1233" t="inlineStr">
        <is>
          <t>Consumidor final</t>
        </is>
      </c>
      <c r="P1233" t="inlineStr">
        <is>
          <t>CAF-001</t>
        </is>
      </c>
      <c r="Q1233" t="inlineStr">
        <is>
          <t>Café molido 400g</t>
        </is>
      </c>
      <c r="R1233" t="inlineStr">
        <is>
          <t>ABARROTES</t>
        </is>
      </c>
      <c r="S1233" t="inlineStr">
        <is>
          <t>Café Volcán S.A.</t>
        </is>
      </c>
      <c r="T1233" t="inlineStr">
        <is>
          <t>2510-3344</t>
        </is>
      </c>
      <c r="U1233" t="n">
        <v>4.25</v>
      </c>
      <c r="V1233" t="n">
        <v>2</v>
      </c>
      <c r="W1233" t="n">
        <v>0</v>
      </c>
      <c r="X1233">
        <f>IFERROR(U1233*V1233*(1-W1233/100),"")</f>
        <v/>
      </c>
      <c r="Y1233">
        <f>IFERROR(ROUND(X1233*0.13,2),"")</f>
        <v/>
      </c>
      <c r="Z1233">
        <f>IFERROR(X1233+Y1233,"")</f>
        <v/>
      </c>
      <c r="AA1233" t="inlineStr">
        <is>
          <t>Efectivo</t>
        </is>
      </c>
      <c r="AB1233" t="inlineStr">
        <is>
          <t>pagó con billete de $100</t>
        </is>
      </c>
    </row>
    <row r="1234">
      <c r="A1234" t="inlineStr">
        <is>
          <t>F-11428</t>
        </is>
      </c>
      <c r="B1234" s="3" t="n">
        <v>46216</v>
      </c>
      <c r="C1234" t="inlineStr">
        <is>
          <t>FCF</t>
        </is>
      </c>
      <c r="D1234" t="inlineStr"/>
      <c r="E1234" t="inlineStr">
        <is>
          <t>SANTA TECLA</t>
        </is>
      </c>
      <c r="F1234" t="inlineStr">
        <is>
          <t>Calle Daniel Hernández #18</t>
        </is>
      </c>
      <c r="G1234" t="inlineStr">
        <is>
          <t>Santa Tecla</t>
        </is>
      </c>
      <c r="H1234" t="inlineStr">
        <is>
          <t>La Libertad</t>
        </is>
      </c>
      <c r="I1234" t="inlineStr">
        <is>
          <t>Óscar Rivas</t>
        </is>
      </c>
      <c r="J1234" t="inlineStr">
        <is>
          <t>2228-7731</t>
        </is>
      </c>
      <c r="K1234" t="inlineStr">
        <is>
          <t>Luis Escobar</t>
        </is>
      </c>
      <c r="L1234" t="inlineStr">
        <is>
          <t>Mario Sorto Castillo</t>
        </is>
      </c>
      <c r="M1234" t="inlineStr">
        <is>
          <t>09824839-0</t>
        </is>
      </c>
      <c r="N1234" t="inlineStr">
        <is>
          <t>7450-4234</t>
        </is>
      </c>
      <c r="O1234" t="inlineStr">
        <is>
          <t>Consumidor final</t>
        </is>
      </c>
      <c r="P1234" t="inlineStr">
        <is>
          <t>LAC-003</t>
        </is>
      </c>
      <c r="Q1234" t="inlineStr">
        <is>
          <t>Leche entera 1L</t>
        </is>
      </c>
      <c r="R1234" t="inlineStr">
        <is>
          <t>Lácteos</t>
        </is>
      </c>
      <c r="S1234" t="inlineStr">
        <is>
          <t>Lácteos Chalate</t>
        </is>
      </c>
      <c r="T1234" t="inlineStr">
        <is>
          <t>2335-1020</t>
        </is>
      </c>
      <c r="U1234" t="inlineStr">
        <is>
          <t>$1.20</t>
        </is>
      </c>
      <c r="V1234" t="n">
        <v>12</v>
      </c>
      <c r="W1234" t="n">
        <v>0</v>
      </c>
      <c r="X1234">
        <f>IFERROR(U1234*V1234*(1-W1234/100),"")</f>
        <v/>
      </c>
      <c r="Y1234">
        <f>IFERROR(ROUND(X1234*0.13,2),"")</f>
        <v/>
      </c>
      <c r="Z1234">
        <f>IFERROR(X1234+Y1234,"")</f>
        <v/>
      </c>
      <c r="AA1234" t="inlineStr">
        <is>
          <t>Efectivo</t>
        </is>
      </c>
      <c r="AB1234" t="inlineStr">
        <is>
          <t>pagó con billete de $100</t>
        </is>
      </c>
    </row>
    <row r="1235">
      <c r="A1235" t="inlineStr">
        <is>
          <t>F-11428</t>
        </is>
      </c>
      <c r="B1235" s="3" t="n">
        <v>46216</v>
      </c>
      <c r="C1235" t="inlineStr">
        <is>
          <t>FCF</t>
        </is>
      </c>
      <c r="D1235" t="inlineStr">
        <is>
          <t>LL01</t>
        </is>
      </c>
      <c r="E1235" t="inlineStr">
        <is>
          <t>SANTA TECLA</t>
        </is>
      </c>
      <c r="F1235" t="inlineStr">
        <is>
          <t>Calle Daniel Hernández #18</t>
        </is>
      </c>
      <c r="G1235" t="inlineStr">
        <is>
          <t>Santa Tecla</t>
        </is>
      </c>
      <c r="H1235" t="inlineStr">
        <is>
          <t>La Libertad</t>
        </is>
      </c>
      <c r="I1235" t="inlineStr">
        <is>
          <t>Óscar Rivas</t>
        </is>
      </c>
      <c r="J1235" t="inlineStr">
        <is>
          <t>2228-7731</t>
        </is>
      </c>
      <c r="K1235" t="inlineStr">
        <is>
          <t>Luis Escobar</t>
        </is>
      </c>
      <c r="L1235" t="inlineStr">
        <is>
          <t>Mario Sorto Castillo</t>
        </is>
      </c>
      <c r="M1235" t="inlineStr">
        <is>
          <t>09824839-0</t>
        </is>
      </c>
      <c r="N1235" t="inlineStr">
        <is>
          <t>7450-4234</t>
        </is>
      </c>
      <c r="O1235" t="inlineStr">
        <is>
          <t>Consumidor final</t>
        </is>
      </c>
      <c r="P1235" t="inlineStr">
        <is>
          <t>BEB-001</t>
        </is>
      </c>
      <c r="Q1235" t="inlineStr">
        <is>
          <t>Gaseosa 2.5L</t>
        </is>
      </c>
      <c r="R1235" t="inlineStr">
        <is>
          <t>bebidas</t>
        </is>
      </c>
      <c r="S1235" t="inlineStr">
        <is>
          <t>Bebidas Izalco</t>
        </is>
      </c>
      <c r="T1235" t="inlineStr">
        <is>
          <t>2450-7700</t>
        </is>
      </c>
      <c r="U1235" t="n">
        <v>1.95</v>
      </c>
      <c r="V1235" t="n">
        <v>12</v>
      </c>
      <c r="W1235" t="n">
        <v>0</v>
      </c>
      <c r="X1235">
        <f>IFERROR(U1235*V1235*(1-W1235/100),"")</f>
        <v/>
      </c>
      <c r="Y1235">
        <f>IFERROR(ROUND(X1235*0.13,2),"")</f>
        <v/>
      </c>
      <c r="Z1235">
        <f>IFERROR(X1235+Y1235,"")</f>
        <v/>
      </c>
      <c r="AA1235" t="inlineStr">
        <is>
          <t>Efectivo</t>
        </is>
      </c>
      <c r="AB1235" t="inlineStr"/>
    </row>
    <row r="1236">
      <c r="A1236" t="inlineStr">
        <is>
          <t>F-11428</t>
        </is>
      </c>
      <c r="B1236" t="inlineStr">
        <is>
          <t>2026-07-13</t>
        </is>
      </c>
      <c r="C1236" t="inlineStr">
        <is>
          <t>FCF</t>
        </is>
      </c>
      <c r="D1236" t="inlineStr">
        <is>
          <t>LL01</t>
        </is>
      </c>
      <c r="E1236" t="inlineStr">
        <is>
          <t>Santa Tecla</t>
        </is>
      </c>
      <c r="F1236" t="inlineStr">
        <is>
          <t>Calle Daniel Hernández #18</t>
        </is>
      </c>
      <c r="G1236" t="inlineStr">
        <is>
          <t>Santa Tecla</t>
        </is>
      </c>
      <c r="H1236" t="inlineStr">
        <is>
          <t>La Libertad</t>
        </is>
      </c>
      <c r="I1236" t="inlineStr">
        <is>
          <t>Óscar Rivas</t>
        </is>
      </c>
      <c r="J1236" t="inlineStr">
        <is>
          <t>2228-7731</t>
        </is>
      </c>
      <c r="K1236" t="inlineStr">
        <is>
          <t>Luis Escobar</t>
        </is>
      </c>
      <c r="L1236" t="inlineStr">
        <is>
          <t>Mario Sorto Castillo</t>
        </is>
      </c>
      <c r="M1236" t="inlineStr">
        <is>
          <t>09824839-0</t>
        </is>
      </c>
      <c r="N1236" t="inlineStr">
        <is>
          <t>7450-4234</t>
        </is>
      </c>
      <c r="O1236" t="inlineStr">
        <is>
          <t>Consumidor final</t>
        </is>
      </c>
      <c r="P1236" t="inlineStr">
        <is>
          <t>PAN-002</t>
        </is>
      </c>
      <c r="Q1236" t="inlineStr">
        <is>
          <t>Semita alta</t>
        </is>
      </c>
      <c r="R1236" t="inlineStr">
        <is>
          <t>Panadería</t>
        </is>
      </c>
      <c r="S1236" t="inlineStr">
        <is>
          <t>Panificadora Ilopango</t>
        </is>
      </c>
      <c r="T1236" t="inlineStr">
        <is>
          <t>2295-0081</t>
        </is>
      </c>
      <c r="U1236" t="n">
        <v>1.75</v>
      </c>
      <c r="V1236" t="n">
        <v>1</v>
      </c>
      <c r="W1236" t="n">
        <v>0</v>
      </c>
      <c r="X1236">
        <f>IFERROR(U1236*V1236*(1-W1236/100),"")</f>
        <v/>
      </c>
      <c r="Y1236">
        <f>IFERROR(ROUND(X1236*0.13,2),"")</f>
        <v/>
      </c>
      <c r="Z1236">
        <f>IFERROR(X1236+Y1236,"")</f>
        <v/>
      </c>
      <c r="AA1236" t="inlineStr">
        <is>
          <t>Efectivo</t>
        </is>
      </c>
      <c r="AB1236" t="inlineStr"/>
    </row>
    <row r="1237">
      <c r="A1237" t="inlineStr">
        <is>
          <t>F-11429</t>
        </is>
      </c>
      <c r="B1237" s="3" t="n">
        <v>46243</v>
      </c>
      <c r="C1237" t="inlineStr">
        <is>
          <t>FCF</t>
        </is>
      </c>
      <c r="D1237" t="inlineStr">
        <is>
          <t>SS03</t>
        </is>
      </c>
      <c r="E1237" t="inlineStr">
        <is>
          <t xml:space="preserve">SOYAPANGO </t>
        </is>
      </c>
      <c r="F1237" t="inlineStr">
        <is>
          <t>Blvd. del Ejército km 4</t>
        </is>
      </c>
      <c r="G1237" t="inlineStr">
        <is>
          <t>Soyapango</t>
        </is>
      </c>
      <c r="H1237" t="inlineStr">
        <is>
          <t>San Salvador</t>
        </is>
      </c>
      <c r="I1237" t="inlineStr">
        <is>
          <t>Karla Henríquez</t>
        </is>
      </c>
      <c r="J1237" t="inlineStr">
        <is>
          <t>2277-3402</t>
        </is>
      </c>
      <c r="K1237" t="inlineStr">
        <is>
          <t>Carlos Molina</t>
        </is>
      </c>
      <c r="L1237" t="inlineStr">
        <is>
          <t>Xiomara Cornejo Guevara</t>
        </is>
      </c>
      <c r="M1237" t="inlineStr">
        <is>
          <t>09840186-7</t>
        </is>
      </c>
      <c r="N1237" t="inlineStr">
        <is>
          <t>2102-2322</t>
        </is>
      </c>
      <c r="O1237" t="inlineStr">
        <is>
          <t>Consumidor final</t>
        </is>
      </c>
      <c r="P1237" t="inlineStr">
        <is>
          <t>BEB-003</t>
        </is>
      </c>
      <c r="Q1237" t="inlineStr">
        <is>
          <t>Horchata en polvo 400g</t>
        </is>
      </c>
      <c r="R1237" t="inlineStr">
        <is>
          <t>Bebidas</t>
        </is>
      </c>
      <c r="S1237" t="inlineStr">
        <is>
          <t>Bebidas Izalco</t>
        </is>
      </c>
      <c r="T1237" t="inlineStr">
        <is>
          <t>2450-7700</t>
        </is>
      </c>
      <c r="U1237" t="n">
        <v>2.6</v>
      </c>
      <c r="V1237" t="n">
        <v>6</v>
      </c>
      <c r="W1237" t="n">
        <v>0</v>
      </c>
      <c r="X1237">
        <f>IFERROR(U1237*V1237*(1-W1237/100),"")</f>
        <v/>
      </c>
      <c r="Y1237">
        <f>IFERROR(ROUND(X1237*0.13,2),"")</f>
        <v/>
      </c>
      <c r="Z1237">
        <f>IFERROR(X1237+Y1237,"")</f>
        <v/>
      </c>
      <c r="AA1237" t="inlineStr">
        <is>
          <t>Efectivo</t>
        </is>
      </c>
      <c r="AB1237" t="inlineStr">
        <is>
          <t>precio especial autorizado por gerente</t>
        </is>
      </c>
    </row>
    <row r="1238">
      <c r="A1238" t="inlineStr">
        <is>
          <t>F-11429</t>
        </is>
      </c>
      <c r="B1238" s="3" t="n">
        <v>46243</v>
      </c>
      <c r="C1238" t="inlineStr">
        <is>
          <t>FCF</t>
        </is>
      </c>
      <c r="D1238" t="inlineStr">
        <is>
          <t>SS03</t>
        </is>
      </c>
      <c r="E1238" t="inlineStr">
        <is>
          <t>Soyapango</t>
        </is>
      </c>
      <c r="F1238" t="inlineStr">
        <is>
          <t>Blvd. del Ejército km 4</t>
        </is>
      </c>
      <c r="G1238" t="inlineStr">
        <is>
          <t>Soyapango</t>
        </is>
      </c>
      <c r="H1238" t="inlineStr">
        <is>
          <t>San Salvador</t>
        </is>
      </c>
      <c r="I1238" t="inlineStr">
        <is>
          <t>Karla Henríquez</t>
        </is>
      </c>
      <c r="J1238" t="inlineStr">
        <is>
          <t>2277-3402</t>
        </is>
      </c>
      <c r="K1238" t="inlineStr">
        <is>
          <t>Carlos Molina</t>
        </is>
      </c>
      <c r="L1238" t="inlineStr">
        <is>
          <t>Xiomara Cornejo Guevara</t>
        </is>
      </c>
      <c r="M1238" t="inlineStr">
        <is>
          <t>09840186-7</t>
        </is>
      </c>
      <c r="N1238" t="inlineStr">
        <is>
          <t>2102-2322</t>
        </is>
      </c>
      <c r="O1238" t="inlineStr">
        <is>
          <t>Consumidor final</t>
        </is>
      </c>
      <c r="P1238" t="inlineStr">
        <is>
          <t>HAR-001</t>
        </is>
      </c>
      <c r="Q1238" t="inlineStr">
        <is>
          <t>Harina de maíz 2lb</t>
        </is>
      </c>
      <c r="R1238" t="inlineStr">
        <is>
          <t>Abarrotes</t>
        </is>
      </c>
      <c r="S1238" t="inlineStr">
        <is>
          <t>Granos del Pacífico</t>
        </is>
      </c>
      <c r="T1238" t="inlineStr">
        <is>
          <t>2234-8890</t>
        </is>
      </c>
      <c r="U1238" t="n">
        <v>1.35</v>
      </c>
      <c r="V1238" t="n">
        <v>3</v>
      </c>
      <c r="W1238" t="n">
        <v>0</v>
      </c>
      <c r="X1238">
        <f>IFERROR(U1238*V1238*(1-W1238/100),"")</f>
        <v/>
      </c>
      <c r="Y1238">
        <f>IFERROR(ROUND(X1238*0.13,2),"")</f>
        <v/>
      </c>
      <c r="Z1238">
        <f>IFERROR(X1238+Y1238,"")</f>
        <v/>
      </c>
      <c r="AA1238" t="inlineStr">
        <is>
          <t>Efectivo</t>
        </is>
      </c>
      <c r="AB1238" t="inlineStr"/>
    </row>
    <row r="1239">
      <c r="A1239" t="inlineStr">
        <is>
          <t>F-11432</t>
        </is>
      </c>
      <c r="B1239" t="inlineStr">
        <is>
          <t>25/09/2026</t>
        </is>
      </c>
      <c r="C1239" t="inlineStr">
        <is>
          <t>Factura</t>
        </is>
      </c>
      <c r="D1239" t="inlineStr">
        <is>
          <t>US01</t>
        </is>
      </c>
      <c r="E1239" t="inlineStr">
        <is>
          <t>Usulután</t>
        </is>
      </c>
      <c r="F1239" t="inlineStr">
        <is>
          <t>2a Av. Norte #9</t>
        </is>
      </c>
      <c r="G1239" t="inlineStr">
        <is>
          <t>Usulután</t>
        </is>
      </c>
      <c r="H1239" t="inlineStr">
        <is>
          <t>Usulután</t>
        </is>
      </c>
      <c r="I1239" t="inlineStr">
        <is>
          <t>Nelson Fuentes</t>
        </is>
      </c>
      <c r="J1239" t="inlineStr">
        <is>
          <t>2662-8810</t>
        </is>
      </c>
      <c r="K1239" t="inlineStr">
        <is>
          <t>Miguel Bonilla</t>
        </is>
      </c>
      <c r="L1239" t="inlineStr">
        <is>
          <t>Sandra Rivera Pérez</t>
        </is>
      </c>
      <c r="M1239" t="inlineStr">
        <is>
          <t>00391949-0</t>
        </is>
      </c>
      <c r="N1239" t="inlineStr">
        <is>
          <t>6654-8845</t>
        </is>
      </c>
      <c r="O1239" t="inlineStr">
        <is>
          <t>Consumidor final</t>
        </is>
      </c>
      <c r="P1239" t="inlineStr">
        <is>
          <t>LAC-003</t>
        </is>
      </c>
      <c r="Q1239" t="inlineStr">
        <is>
          <t>Leche entera 1L</t>
        </is>
      </c>
      <c r="R1239" t="inlineStr">
        <is>
          <t>Lácteos</t>
        </is>
      </c>
      <c r="S1239" t="inlineStr">
        <is>
          <t>Lácteos Chalate</t>
        </is>
      </c>
      <c r="T1239" t="inlineStr">
        <is>
          <t>2335-1020</t>
        </is>
      </c>
      <c r="U1239" t="n">
        <v>1.2</v>
      </c>
      <c r="V1239" t="n">
        <v>-4</v>
      </c>
      <c r="W1239" t="n">
        <v>0</v>
      </c>
      <c r="X1239">
        <f>IFERROR(U1239*V1239*(1-W1239/100),"")</f>
        <v/>
      </c>
      <c r="Y1239">
        <f>IFERROR(ROUND(X1239*0.13,2),"")</f>
        <v/>
      </c>
      <c r="Z1239">
        <f>IFERROR(X1239+Y1239,"")</f>
        <v/>
      </c>
      <c r="AA1239" t="inlineStr">
        <is>
          <t>Tarjeta</t>
        </is>
      </c>
      <c r="AB1239" t="inlineStr">
        <is>
          <t>Cliente frecuente</t>
        </is>
      </c>
    </row>
    <row r="1240">
      <c r="A1240" t="inlineStr">
        <is>
          <t>F-11432</t>
        </is>
      </c>
      <c r="B1240" t="inlineStr">
        <is>
          <t>25/09/2026</t>
        </is>
      </c>
      <c r="C1240" t="inlineStr">
        <is>
          <t>Factura</t>
        </is>
      </c>
      <c r="D1240" t="inlineStr">
        <is>
          <t>US01</t>
        </is>
      </c>
      <c r="E1240" t="inlineStr">
        <is>
          <t>Usulután</t>
        </is>
      </c>
      <c r="F1240" t="inlineStr">
        <is>
          <t>2a Av. Norte #9</t>
        </is>
      </c>
      <c r="G1240" t="inlineStr">
        <is>
          <t>Usulután</t>
        </is>
      </c>
      <c r="H1240" t="inlineStr">
        <is>
          <t>Usulután</t>
        </is>
      </c>
      <c r="I1240" t="inlineStr">
        <is>
          <t>Nelson Fuentes</t>
        </is>
      </c>
      <c r="J1240" t="inlineStr">
        <is>
          <t>2662-8810</t>
        </is>
      </c>
      <c r="K1240" t="inlineStr">
        <is>
          <t>Miguel Bonilla</t>
        </is>
      </c>
      <c r="L1240" t="inlineStr">
        <is>
          <t>Sandra Rivera Pérez</t>
        </is>
      </c>
      <c r="M1240" t="inlineStr">
        <is>
          <t>00391949-0</t>
        </is>
      </c>
      <c r="N1240" t="inlineStr">
        <is>
          <t>6654-8845</t>
        </is>
      </c>
      <c r="O1240" t="inlineStr">
        <is>
          <t>Consumidor final</t>
        </is>
      </c>
      <c r="P1240" t="inlineStr">
        <is>
          <t>CAF-002</t>
        </is>
      </c>
      <c r="Q1240" t="inlineStr">
        <is>
          <t>Café en grano 1lb</t>
        </is>
      </c>
      <c r="R1240" t="inlineStr">
        <is>
          <t>Abarrotes</t>
        </is>
      </c>
      <c r="S1240" t="inlineStr">
        <is>
          <t>Café Volcán S.A.</t>
        </is>
      </c>
      <c r="T1240" t="inlineStr">
        <is>
          <t>2510-3344</t>
        </is>
      </c>
      <c r="U1240" t="n">
        <v>6.75</v>
      </c>
      <c r="V1240" t="n">
        <v>6</v>
      </c>
      <c r="W1240" t="n">
        <v>0</v>
      </c>
      <c r="X1240">
        <f>IFERROR(U1240*V1240*(1-W1240/100),"")</f>
        <v/>
      </c>
      <c r="Y1240">
        <f>IFERROR(ROUND(X1240*0.13,2),"")</f>
        <v/>
      </c>
      <c r="Z1240">
        <f>IFERROR(X1240+Y1240,"")</f>
        <v/>
      </c>
      <c r="AA1240" t="inlineStr">
        <is>
          <t>Tarjeta</t>
        </is>
      </c>
      <c r="AB1240" t="inlineStr">
        <is>
          <t>pagó con billete de $100</t>
        </is>
      </c>
    </row>
    <row r="1241">
      <c r="A1241" t="inlineStr">
        <is>
          <t>F-11432</t>
        </is>
      </c>
      <c r="B1241" s="3" t="n">
        <v>46290</v>
      </c>
      <c r="C1241" t="inlineStr">
        <is>
          <t>Factura</t>
        </is>
      </c>
      <c r="D1241" t="inlineStr">
        <is>
          <t>US01</t>
        </is>
      </c>
      <c r="E1241" t="inlineStr">
        <is>
          <t>Usulután</t>
        </is>
      </c>
      <c r="F1241" t="inlineStr">
        <is>
          <t>2a Av. Norte #9</t>
        </is>
      </c>
      <c r="G1241" t="inlineStr">
        <is>
          <t>Usulután</t>
        </is>
      </c>
      <c r="H1241" t="inlineStr">
        <is>
          <t>Usulután</t>
        </is>
      </c>
      <c r="I1241" t="inlineStr">
        <is>
          <t>Nelson Fuentes</t>
        </is>
      </c>
      <c r="J1241" t="inlineStr">
        <is>
          <t>2662-8810</t>
        </is>
      </c>
      <c r="K1241" t="inlineStr">
        <is>
          <t>Miguel Bonilla</t>
        </is>
      </c>
      <c r="L1241" t="inlineStr">
        <is>
          <t>Sandra Rivera Pérez</t>
        </is>
      </c>
      <c r="M1241" t="inlineStr">
        <is>
          <t>00391949-0</t>
        </is>
      </c>
      <c r="N1241" t="inlineStr">
        <is>
          <t>6654-8845</t>
        </is>
      </c>
      <c r="O1241" t="inlineStr">
        <is>
          <t>Consumidor final</t>
        </is>
      </c>
      <c r="P1241" t="inlineStr">
        <is>
          <t>ARR-001</t>
        </is>
      </c>
      <c r="Q1241" t="inlineStr">
        <is>
          <t>Arroz blanco 5lb</t>
        </is>
      </c>
      <c r="R1241" t="inlineStr">
        <is>
          <t>Abarrotes</t>
        </is>
      </c>
      <c r="S1241" t="inlineStr">
        <is>
          <t>Granos del Pacífico</t>
        </is>
      </c>
      <c r="T1241" t="inlineStr">
        <is>
          <t>2234-8890</t>
        </is>
      </c>
      <c r="U1241" t="n">
        <v>3.95</v>
      </c>
      <c r="V1241" t="n">
        <v>24</v>
      </c>
      <c r="W1241" t="n">
        <v>0</v>
      </c>
      <c r="X1241">
        <f>IFERROR(U1241*V1241*(1-W1241/100),"")</f>
        <v/>
      </c>
      <c r="Y1241">
        <f>IFERROR(ROUND(X1241*0.13,2),"")</f>
        <v/>
      </c>
      <c r="Z1241">
        <f>IFERROR(X1241+Y1241,"")</f>
        <v/>
      </c>
      <c r="AA1241" t="inlineStr">
        <is>
          <t>Tarjeta</t>
        </is>
      </c>
      <c r="AB1241" t="inlineStr"/>
    </row>
    <row r="1242">
      <c r="A1242" t="inlineStr">
        <is>
          <t>F-11434</t>
        </is>
      </c>
      <c r="B1242" s="3" t="n">
        <v>46212</v>
      </c>
      <c r="C1242" t="inlineStr">
        <is>
          <t>Factura</t>
        </is>
      </c>
      <c r="D1242" t="inlineStr">
        <is>
          <t>SS01</t>
        </is>
      </c>
      <c r="E1242" t="inlineStr">
        <is>
          <t>SAN SALVADOR CENTRO</t>
        </is>
      </c>
      <c r="F1242" t="inlineStr">
        <is>
          <t>4a Calle Poniente #215</t>
        </is>
      </c>
      <c r="G1242" t="inlineStr">
        <is>
          <t>San Salvador</t>
        </is>
      </c>
      <c r="H1242" t="inlineStr">
        <is>
          <t>San Salvador</t>
        </is>
      </c>
      <c r="I1242" t="inlineStr">
        <is>
          <t>Roberto Alfaro</t>
        </is>
      </c>
      <c r="J1242" t="inlineStr">
        <is>
          <t>2221-4580</t>
        </is>
      </c>
      <c r="K1242" t="inlineStr">
        <is>
          <t>Daniela Orellana</t>
        </is>
      </c>
      <c r="L1242" t="inlineStr">
        <is>
          <t>Douglas Hernández García</t>
        </is>
      </c>
      <c r="M1242" t="inlineStr">
        <is>
          <t>02719991-9</t>
        </is>
      </c>
      <c r="N1242" t="inlineStr">
        <is>
          <t>2221-1611</t>
        </is>
      </c>
      <c r="O1242" t="inlineStr">
        <is>
          <t>Consumidor final</t>
        </is>
      </c>
      <c r="P1242" t="inlineStr">
        <is>
          <t>LAC-003</t>
        </is>
      </c>
      <c r="Q1242" t="inlineStr">
        <is>
          <t>Leche entera 1L</t>
        </is>
      </c>
      <c r="R1242" t="inlineStr">
        <is>
          <t>Lácteos</t>
        </is>
      </c>
      <c r="S1242" t="inlineStr">
        <is>
          <t>Lácteos Chalate</t>
        </is>
      </c>
      <c r="T1242" t="inlineStr">
        <is>
          <t>2335-1020</t>
        </is>
      </c>
      <c r="U1242" t="inlineStr">
        <is>
          <t>$1.20</t>
        </is>
      </c>
      <c r="V1242" t="n">
        <v>1</v>
      </c>
      <c r="W1242" t="n">
        <v>0</v>
      </c>
      <c r="X1242">
        <f>IFERROR(U1242*V1242*(1-W1242/100),"")</f>
        <v/>
      </c>
      <c r="Y1242">
        <f>IFERROR(ROUND(X1242*0.13,2),"")</f>
        <v/>
      </c>
      <c r="Z1242">
        <f>IFERROR(X1242+Y1242,"")</f>
        <v/>
      </c>
      <c r="AA1242" t="inlineStr">
        <is>
          <t>Tarjeta</t>
        </is>
      </c>
      <c r="AB1242" t="inlineStr"/>
    </row>
    <row r="1243">
      <c r="A1243" t="inlineStr">
        <is>
          <t>F-11437</t>
        </is>
      </c>
      <c r="B1243" s="3" t="n">
        <v>46222</v>
      </c>
      <c r="C1243" t="inlineStr">
        <is>
          <t>Factura</t>
        </is>
      </c>
      <c r="D1243" t="inlineStr">
        <is>
          <t>SM01</t>
        </is>
      </c>
      <c r="E1243" t="inlineStr">
        <is>
          <t>S. Miguel</t>
        </is>
      </c>
      <c r="F1243" t="inlineStr">
        <is>
          <t>Av. Roosevelt Sur #7</t>
        </is>
      </c>
      <c r="G1243" t="inlineStr">
        <is>
          <t>San Miguel</t>
        </is>
      </c>
      <c r="H1243" t="inlineStr">
        <is>
          <t>San Miguel</t>
        </is>
      </c>
      <c r="I1243" t="inlineStr">
        <is>
          <t>Iris Portillo</t>
        </is>
      </c>
      <c r="J1243" t="inlineStr">
        <is>
          <t>2661-5076</t>
        </is>
      </c>
      <c r="K1243" t="inlineStr">
        <is>
          <t>Paola Cruz</t>
        </is>
      </c>
      <c r="L1243" t="inlineStr">
        <is>
          <t>Ana Pérez Rivera</t>
        </is>
      </c>
      <c r="M1243" t="inlineStr">
        <is>
          <t>00820199-8</t>
        </is>
      </c>
      <c r="N1243" t="inlineStr">
        <is>
          <t>7205-8035</t>
        </is>
      </c>
      <c r="O1243" t="inlineStr">
        <is>
          <t>Consumidor final</t>
        </is>
      </c>
      <c r="P1243" t="inlineStr">
        <is>
          <t>LAC-003</t>
        </is>
      </c>
      <c r="Q1243" t="inlineStr">
        <is>
          <t>Leche entera 1L</t>
        </is>
      </c>
      <c r="R1243" t="inlineStr">
        <is>
          <t>Lácteos</t>
        </is>
      </c>
      <c r="S1243" t="inlineStr">
        <is>
          <t>Lácteos Chalate</t>
        </is>
      </c>
      <c r="T1243" t="inlineStr">
        <is>
          <t>2335-1020</t>
        </is>
      </c>
      <c r="U1243" t="n">
        <v>1.2</v>
      </c>
      <c r="V1243" t="n">
        <v>1</v>
      </c>
      <c r="W1243" t="n">
        <v>0</v>
      </c>
      <c r="X1243">
        <f>IFERROR(U1243*V1243*(1-W1243/100),"")</f>
        <v/>
      </c>
      <c r="Y1243">
        <f>IFERROR(ROUND(X1243*0.13,2),"")</f>
        <v/>
      </c>
      <c r="Z1243">
        <f>IFERROR(X1243+Y1243,"")</f>
        <v/>
      </c>
      <c r="AA1243" t="inlineStr">
        <is>
          <t>Tarjeta</t>
        </is>
      </c>
      <c r="AB1243" t="inlineStr"/>
    </row>
    <row r="1244">
      <c r="A1244" t="inlineStr">
        <is>
          <t>F-11438</t>
        </is>
      </c>
      <c r="B1244" s="3" t="n">
        <v>46231</v>
      </c>
      <c r="C1244" t="inlineStr">
        <is>
          <t>Factura</t>
        </is>
      </c>
      <c r="D1244" t="inlineStr">
        <is>
          <t>SA01</t>
        </is>
      </c>
      <c r="E1244" t="inlineStr">
        <is>
          <t>STA ANA</t>
        </is>
      </c>
      <c r="F1244" t="inlineStr">
        <is>
          <t>Av. Independencia Sur #12</t>
        </is>
      </c>
      <c r="G1244" t="inlineStr">
        <is>
          <t>Santa Ana</t>
        </is>
      </c>
      <c r="H1244" t="inlineStr">
        <is>
          <t>Santa Ana</t>
        </is>
      </c>
      <c r="I1244" t="inlineStr">
        <is>
          <t>Mauricio Linares</t>
        </is>
      </c>
      <c r="J1244" t="inlineStr">
        <is>
          <t>2440-9921</t>
        </is>
      </c>
      <c r="K1244" t="inlineStr">
        <is>
          <t>Diego Zelaya</t>
        </is>
      </c>
      <c r="L1244" t="inlineStr">
        <is>
          <t>Rosa García López</t>
        </is>
      </c>
      <c r="M1244" t="inlineStr">
        <is>
          <t>08949227-3</t>
        </is>
      </c>
      <c r="N1244" t="inlineStr">
        <is>
          <t>7696-6025</t>
        </is>
      </c>
      <c r="O1244" t="inlineStr">
        <is>
          <t>Consumidor final</t>
        </is>
      </c>
      <c r="P1244" t="inlineStr">
        <is>
          <t>BEB-001</t>
        </is>
      </c>
      <c r="Q1244" t="inlineStr">
        <is>
          <t>Gaseosa 2.5L</t>
        </is>
      </c>
      <c r="R1244" t="inlineStr">
        <is>
          <t>bebidas</t>
        </is>
      </c>
      <c r="S1244" t="inlineStr">
        <is>
          <t>Bebidas Izalco</t>
        </is>
      </c>
      <c r="T1244" t="inlineStr">
        <is>
          <t>2450-7700</t>
        </is>
      </c>
      <c r="U1244" t="n">
        <v>1.95</v>
      </c>
      <c r="V1244" t="n">
        <v>1</v>
      </c>
      <c r="W1244" t="n">
        <v>0</v>
      </c>
      <c r="X1244">
        <f>IFERROR(U1244*V1244*(1-W1244/100),"")</f>
        <v/>
      </c>
      <c r="Y1244">
        <f>IFERROR(ROUND(X1244*0.13,2),"")</f>
        <v/>
      </c>
      <c r="Z1244">
        <f>IFERROR(X1244+Y1244,"")</f>
        <v/>
      </c>
      <c r="AA1244" t="inlineStr">
        <is>
          <t>Efectivo</t>
        </is>
      </c>
      <c r="AB1244" t="inlineStr">
        <is>
          <t>Llamar al 7788-1234 antes de entregar</t>
        </is>
      </c>
    </row>
    <row r="1245">
      <c r="A1245" t="inlineStr">
        <is>
          <t>F-11438</t>
        </is>
      </c>
      <c r="B1245" t="inlineStr">
        <is>
          <t>28/07/2026</t>
        </is>
      </c>
      <c r="C1245" t="inlineStr">
        <is>
          <t>Factura</t>
        </is>
      </c>
      <c r="D1245" t="inlineStr">
        <is>
          <t>SA01</t>
        </is>
      </c>
      <c r="E1245" t="inlineStr">
        <is>
          <t>Santa Ana</t>
        </is>
      </c>
      <c r="F1245" t="inlineStr">
        <is>
          <t>Av. Independencia Sur #12</t>
        </is>
      </c>
      <c r="G1245" t="inlineStr">
        <is>
          <t>Santa Ana</t>
        </is>
      </c>
      <c r="H1245" t="inlineStr">
        <is>
          <t>Santa Ana</t>
        </is>
      </c>
      <c r="I1245" t="inlineStr">
        <is>
          <t>Mauricio Linares</t>
        </is>
      </c>
      <c r="J1245" t="inlineStr">
        <is>
          <t>2440-9921</t>
        </is>
      </c>
      <c r="K1245" t="inlineStr">
        <is>
          <t>Diego Zelaya</t>
        </is>
      </c>
      <c r="L1245" t="inlineStr">
        <is>
          <t>Rosa García López</t>
        </is>
      </c>
      <c r="M1245" t="inlineStr">
        <is>
          <t>08949227-3</t>
        </is>
      </c>
      <c r="N1245" t="inlineStr">
        <is>
          <t>7696-6025</t>
        </is>
      </c>
      <c r="O1245" t="inlineStr">
        <is>
          <t>Consumidor final</t>
        </is>
      </c>
      <c r="P1245" t="inlineStr">
        <is>
          <t>PAN-001</t>
        </is>
      </c>
      <c r="Q1245" t="inlineStr">
        <is>
          <t>Pan francés bolsa 10u</t>
        </is>
      </c>
      <c r="R1245" t="inlineStr">
        <is>
          <t>Panadería</t>
        </is>
      </c>
      <c r="S1245" t="inlineStr">
        <is>
          <t>Panificadora Ilopango</t>
        </is>
      </c>
      <c r="T1245" t="inlineStr">
        <is>
          <t>2295-0081</t>
        </is>
      </c>
      <c r="U1245" t="n">
        <v>1</v>
      </c>
      <c r="V1245" t="n">
        <v>1</v>
      </c>
      <c r="W1245" t="n">
        <v>0</v>
      </c>
      <c r="X1245">
        <f>IFERROR(U1245*V1245*(1-W1245/100),"")</f>
        <v/>
      </c>
      <c r="Y1245">
        <f>IFERROR(ROUND(X1245*0.13,2),"")</f>
        <v/>
      </c>
      <c r="Z1245">
        <f>IFERROR(X1245+Y1245,"")</f>
        <v/>
      </c>
      <c r="AA1245" t="inlineStr">
        <is>
          <t>Efectivo</t>
        </is>
      </c>
      <c r="AB1245" t="inlineStr">
        <is>
          <t>Llamar al 7788-1234 antes de entregar</t>
        </is>
      </c>
    </row>
    <row r="1246">
      <c r="A1246" t="inlineStr">
        <is>
          <t>F-11439</t>
        </is>
      </c>
      <c r="B1246" t="inlineStr">
        <is>
          <t>2026-07-24</t>
        </is>
      </c>
      <c r="C1246" t="inlineStr">
        <is>
          <t>factura</t>
        </is>
      </c>
      <c r="D1246" t="inlineStr">
        <is>
          <t>US01</t>
        </is>
      </c>
      <c r="E1246" t="inlineStr">
        <is>
          <t>Usulutan</t>
        </is>
      </c>
      <c r="F1246" t="inlineStr">
        <is>
          <t>2a Av. Norte #9</t>
        </is>
      </c>
      <c r="G1246" t="inlineStr">
        <is>
          <t>Usulután</t>
        </is>
      </c>
      <c r="H1246" t="inlineStr">
        <is>
          <t>Usulután</t>
        </is>
      </c>
      <c r="I1246" t="inlineStr">
        <is>
          <t>Nelson Fuentes</t>
        </is>
      </c>
      <c r="J1246" t="inlineStr">
        <is>
          <t>2662-8810</t>
        </is>
      </c>
      <c r="K1246" t="inlineStr">
        <is>
          <t>Miguel Bonilla</t>
        </is>
      </c>
      <c r="L1246" t="inlineStr">
        <is>
          <t>Xiomara Flores Rivera</t>
        </is>
      </c>
      <c r="M1246" t="inlineStr">
        <is>
          <t>09919727-8</t>
        </is>
      </c>
      <c r="N1246" t="inlineStr">
        <is>
          <t>2544-6511</t>
        </is>
      </c>
      <c r="O1246" t="inlineStr">
        <is>
          <t>Consumidor final</t>
        </is>
      </c>
      <c r="P1246" t="inlineStr">
        <is>
          <t>CAF-002</t>
        </is>
      </c>
      <c r="Q1246" t="inlineStr">
        <is>
          <t>Café en grano 1lb</t>
        </is>
      </c>
      <c r="R1246" t="inlineStr">
        <is>
          <t>Abarrotes</t>
        </is>
      </c>
      <c r="S1246" t="inlineStr">
        <is>
          <t>Café Volcán S.A.</t>
        </is>
      </c>
      <c r="T1246" t="inlineStr">
        <is>
          <t>2510-3344</t>
        </is>
      </c>
      <c r="U1246" t="n">
        <v>6.75</v>
      </c>
      <c r="V1246" t="n">
        <v>3</v>
      </c>
      <c r="W1246" t="n">
        <v>0</v>
      </c>
      <c r="X1246">
        <f>IFERROR(U1246*V1246*(1-W1246/100),"")</f>
        <v/>
      </c>
      <c r="Y1246">
        <f>IFERROR(ROUND(X1246*0.13,2),"")</f>
        <v/>
      </c>
      <c r="Z1246">
        <f>IFERROR(X1246+Y1246,"")</f>
        <v/>
      </c>
      <c r="AA1246" t="inlineStr">
        <is>
          <t>Transferencia</t>
        </is>
      </c>
      <c r="AB1246" t="inlineStr"/>
    </row>
    <row r="1247">
      <c r="A1247" t="inlineStr">
        <is>
          <t>F-11439</t>
        </is>
      </c>
      <c r="B1247" s="3" t="n">
        <v>46227</v>
      </c>
      <c r="C1247" t="inlineStr">
        <is>
          <t>factura</t>
        </is>
      </c>
      <c r="D1247" t="inlineStr">
        <is>
          <t>US01</t>
        </is>
      </c>
      <c r="E1247" t="inlineStr">
        <is>
          <t>Usulutan</t>
        </is>
      </c>
      <c r="F1247" t="inlineStr">
        <is>
          <t>2a Av. Norte #9</t>
        </is>
      </c>
      <c r="G1247" t="inlineStr">
        <is>
          <t>Usulután</t>
        </is>
      </c>
      <c r="H1247" t="inlineStr">
        <is>
          <t>Usulután</t>
        </is>
      </c>
      <c r="I1247" t="inlineStr">
        <is>
          <t>Nelson Fuentes</t>
        </is>
      </c>
      <c r="J1247" t="inlineStr">
        <is>
          <t>2662-8810</t>
        </is>
      </c>
      <c r="K1247" t="inlineStr">
        <is>
          <t>Miguel Bonilla</t>
        </is>
      </c>
      <c r="L1247" t="inlineStr">
        <is>
          <t>Xiomara Flores Rivera</t>
        </is>
      </c>
      <c r="M1247" t="inlineStr">
        <is>
          <t>09919727-8</t>
        </is>
      </c>
      <c r="N1247" t="inlineStr">
        <is>
          <t>2544-6511</t>
        </is>
      </c>
      <c r="O1247" t="inlineStr">
        <is>
          <t>Consumidor final</t>
        </is>
      </c>
      <c r="P1247" t="inlineStr">
        <is>
          <t>HIG-003</t>
        </is>
      </c>
      <c r="Q1247" t="inlineStr">
        <is>
          <t>Jabón de lavar barra</t>
        </is>
      </c>
      <c r="R1247" t="inlineStr">
        <is>
          <t>Limpieza</t>
        </is>
      </c>
      <c r="S1247" t="inlineStr">
        <is>
          <t>Higiene Total C.A.</t>
        </is>
      </c>
      <c r="T1247" t="inlineStr">
        <is>
          <t>2207-5566</t>
        </is>
      </c>
      <c r="U1247" t="n">
        <v>0.75</v>
      </c>
      <c r="V1247" t="n">
        <v>2</v>
      </c>
      <c r="W1247" t="n">
        <v>0</v>
      </c>
      <c r="X1247">
        <f>IFERROR(U1247*V1247*(1-W1247/100),"")</f>
        <v/>
      </c>
      <c r="Y1247">
        <f>IFERROR(ROUND(X1247*0.13,2),"")</f>
        <v/>
      </c>
      <c r="Z1247">
        <f>IFERROR(X1247+Y1247,"")</f>
        <v/>
      </c>
      <c r="AA1247" t="inlineStr">
        <is>
          <t>Transferencia</t>
        </is>
      </c>
      <c r="AB1247" t="inlineStr">
        <is>
          <t>Cliente frecuente</t>
        </is>
      </c>
    </row>
    <row r="1248">
      <c r="A1248" t="inlineStr">
        <is>
          <t>F-11439</t>
        </is>
      </c>
      <c r="B1248" s="3" t="n">
        <v>46227</v>
      </c>
      <c r="C1248" t="inlineStr">
        <is>
          <t>factura</t>
        </is>
      </c>
      <c r="D1248" t="inlineStr">
        <is>
          <t>US01</t>
        </is>
      </c>
      <c r="E1248" t="inlineStr">
        <is>
          <t>Usulutan</t>
        </is>
      </c>
      <c r="F1248" t="inlineStr">
        <is>
          <t>2a Av. Norte #9</t>
        </is>
      </c>
      <c r="G1248" t="inlineStr">
        <is>
          <t>Usulután</t>
        </is>
      </c>
      <c r="H1248" t="inlineStr">
        <is>
          <t>Usulután</t>
        </is>
      </c>
      <c r="I1248" t="inlineStr">
        <is>
          <t>Nelson Fuentes</t>
        </is>
      </c>
      <c r="J1248" t="inlineStr">
        <is>
          <t>2662-8810</t>
        </is>
      </c>
      <c r="K1248" t="inlineStr">
        <is>
          <t>Miguel Bonilla</t>
        </is>
      </c>
      <c r="L1248" t="inlineStr">
        <is>
          <t>Xiomara Flores Rivera</t>
        </is>
      </c>
      <c r="M1248" t="inlineStr">
        <is>
          <t>09919727-8</t>
        </is>
      </c>
      <c r="N1248" t="inlineStr">
        <is>
          <t>2544-6511</t>
        </is>
      </c>
      <c r="O1248" t="inlineStr">
        <is>
          <t>Consumidor final</t>
        </is>
      </c>
      <c r="P1248" t="inlineStr">
        <is>
          <t>LAC-002</t>
        </is>
      </c>
      <c r="Q1248" t="inlineStr">
        <is>
          <t>Crema 500ml</t>
        </is>
      </c>
      <c r="R1248" t="inlineStr">
        <is>
          <t>Lácteos</t>
        </is>
      </c>
      <c r="S1248" t="inlineStr">
        <is>
          <t>Lácteos Chalate</t>
        </is>
      </c>
      <c r="T1248" t="inlineStr">
        <is>
          <t>2335-1020</t>
        </is>
      </c>
      <c r="U1248" t="inlineStr">
        <is>
          <t>2,25</t>
        </is>
      </c>
      <c r="V1248" t="n">
        <v>1</v>
      </c>
      <c r="W1248" t="n">
        <v>0</v>
      </c>
      <c r="X1248">
        <f>IFERROR(U1248*V1248*(1-W1248/100),"")</f>
        <v/>
      </c>
      <c r="Y1248">
        <f>IFERROR(ROUND(X1248*0.13,2),"")</f>
        <v/>
      </c>
      <c r="Z1248">
        <f>IFERROR(X1248+Y1248,"")</f>
        <v/>
      </c>
      <c r="AA1248" t="inlineStr">
        <is>
          <t>Transferencia</t>
        </is>
      </c>
      <c r="AB1248" t="inlineStr">
        <is>
          <t>entregar en bodega</t>
        </is>
      </c>
    </row>
    <row r="1249">
      <c r="A1249" t="inlineStr">
        <is>
          <t>F-11442</t>
        </is>
      </c>
      <c r="B1249" s="3" t="n">
        <v>46292</v>
      </c>
      <c r="C1249" t="inlineStr">
        <is>
          <t>Factura</t>
        </is>
      </c>
      <c r="D1249" t="inlineStr">
        <is>
          <t>LL01</t>
        </is>
      </c>
      <c r="E1249" t="inlineStr">
        <is>
          <t>Sta. Tecla</t>
        </is>
      </c>
      <c r="F1249" t="inlineStr">
        <is>
          <t>Calle Daniel Hernández #18</t>
        </is>
      </c>
      <c r="G1249" t="inlineStr">
        <is>
          <t>Santa Tecla</t>
        </is>
      </c>
      <c r="H1249" t="inlineStr">
        <is>
          <t>La Libertad</t>
        </is>
      </c>
      <c r="I1249" t="inlineStr">
        <is>
          <t>Óscar Rivas</t>
        </is>
      </c>
      <c r="J1249" t="inlineStr">
        <is>
          <t>2228-7731</t>
        </is>
      </c>
      <c r="K1249" t="inlineStr">
        <is>
          <t>Luis Escobar</t>
        </is>
      </c>
      <c r="L1249" t="inlineStr">
        <is>
          <t>Walter Mejía Castillo</t>
        </is>
      </c>
      <c r="M1249" t="inlineStr">
        <is>
          <t>02326285-9</t>
        </is>
      </c>
      <c r="N1249" t="inlineStr">
        <is>
          <t>2959-3937</t>
        </is>
      </c>
      <c r="O1249" t="inlineStr">
        <is>
          <t>Consumidor final</t>
        </is>
      </c>
      <c r="P1249" t="inlineStr">
        <is>
          <t>BEB-001</t>
        </is>
      </c>
      <c r="Q1249" t="inlineStr">
        <is>
          <t>Gaseosa 2.5L</t>
        </is>
      </c>
      <c r="R1249" t="inlineStr">
        <is>
          <t>Bebidas</t>
        </is>
      </c>
      <c r="S1249" t="inlineStr">
        <is>
          <t>Bebidas Izalco</t>
        </is>
      </c>
      <c r="T1249" t="inlineStr">
        <is>
          <t>2450-7700</t>
        </is>
      </c>
      <c r="U1249" t="n">
        <v>1.95</v>
      </c>
      <c r="V1249" t="n">
        <v>2</v>
      </c>
      <c r="W1249" t="n">
        <v>0</v>
      </c>
      <c r="X1249">
        <f>IFERROR(U1249*V1249*(1-W1249/100),"")</f>
        <v/>
      </c>
      <c r="Y1249">
        <f>IFERROR(ROUND(X1249*0.13,2),"")</f>
        <v/>
      </c>
      <c r="Z1249">
        <f>IFERROR(X1249+Y1249,"")</f>
        <v/>
      </c>
      <c r="AA1249" t="inlineStr">
        <is>
          <t>Transferencia</t>
        </is>
      </c>
      <c r="AB1249" t="inlineStr"/>
    </row>
    <row r="1250">
      <c r="A1250" t="inlineStr">
        <is>
          <t>F-11442</t>
        </is>
      </c>
      <c r="B1250" s="3" t="n">
        <v>46292</v>
      </c>
      <c r="C1250" t="inlineStr">
        <is>
          <t>Factura</t>
        </is>
      </c>
      <c r="D1250" t="inlineStr">
        <is>
          <t>LL01</t>
        </is>
      </c>
      <c r="E1250" t="inlineStr">
        <is>
          <t>Santa Tecla</t>
        </is>
      </c>
      <c r="F1250" t="inlineStr">
        <is>
          <t>Calle Daniel Hernández #18</t>
        </is>
      </c>
      <c r="G1250" t="inlineStr">
        <is>
          <t>Santa Tecla</t>
        </is>
      </c>
      <c r="H1250" t="inlineStr">
        <is>
          <t>La Libertad</t>
        </is>
      </c>
      <c r="I1250" t="inlineStr">
        <is>
          <t>Óscar Rivas</t>
        </is>
      </c>
      <c r="J1250" t="inlineStr">
        <is>
          <t>2228-7731</t>
        </is>
      </c>
      <c r="K1250" t="inlineStr">
        <is>
          <t>Luis Escobar</t>
        </is>
      </c>
      <c r="L1250" t="inlineStr">
        <is>
          <t>Walter Mejía Castillo</t>
        </is>
      </c>
      <c r="M1250" t="inlineStr">
        <is>
          <t>02326285-9</t>
        </is>
      </c>
      <c r="N1250" t="inlineStr">
        <is>
          <t>2959-3937</t>
        </is>
      </c>
      <c r="O1250" t="inlineStr">
        <is>
          <t>Consumidor final</t>
        </is>
      </c>
      <c r="P1250" t="inlineStr">
        <is>
          <t>CAF-001</t>
        </is>
      </c>
      <c r="Q1250" t="inlineStr">
        <is>
          <t>Café molido 400g</t>
        </is>
      </c>
      <c r="R1250" t="inlineStr">
        <is>
          <t>Abarrotes</t>
        </is>
      </c>
      <c r="S1250" t="inlineStr">
        <is>
          <t>Café Volcán S.A.</t>
        </is>
      </c>
      <c r="T1250" t="inlineStr">
        <is>
          <t>2510-3344</t>
        </is>
      </c>
      <c r="U1250" t="n">
        <v>4.5</v>
      </c>
      <c r="V1250" t="n">
        <v>6</v>
      </c>
      <c r="W1250" t="n">
        <v>0</v>
      </c>
      <c r="X1250">
        <f>IFERROR(U1250*V1250*(1-W1250/100),"")</f>
        <v/>
      </c>
      <c r="Y1250">
        <f>IFERROR(ROUND(X1250*0.13,2),"")</f>
        <v/>
      </c>
      <c r="Z1250">
        <f>IFERROR(X1250+Y1250,"")</f>
        <v/>
      </c>
      <c r="AA1250" t="inlineStr">
        <is>
          <t>Transferencia</t>
        </is>
      </c>
      <c r="AB1250" t="inlineStr">
        <is>
          <t>Llamar al 7788-1234 antes de entregar</t>
        </is>
      </c>
    </row>
    <row r="1251">
      <c r="A1251" t="inlineStr">
        <is>
          <t>F-11443</t>
        </is>
      </c>
      <c r="B1251" t="inlineStr">
        <is>
          <t>05-Sep-26</t>
        </is>
      </c>
      <c r="C1251" t="inlineStr">
        <is>
          <t>factura</t>
        </is>
      </c>
      <c r="D1251" t="inlineStr">
        <is>
          <t>SS03</t>
        </is>
      </c>
      <c r="E1251" t="inlineStr">
        <is>
          <t xml:space="preserve">SOYAPANGO </t>
        </is>
      </c>
      <c r="F1251" t="inlineStr">
        <is>
          <t>Blvd. del Ejército km 4</t>
        </is>
      </c>
      <c r="G1251" t="inlineStr">
        <is>
          <t>Soyapango</t>
        </is>
      </c>
      <c r="H1251" t="inlineStr">
        <is>
          <t>San Salvador</t>
        </is>
      </c>
      <c r="I1251" t="inlineStr">
        <is>
          <t>Karla Henríquez</t>
        </is>
      </c>
      <c r="J1251" t="inlineStr">
        <is>
          <t>2277-3402</t>
        </is>
      </c>
      <c r="K1251" t="inlineStr">
        <is>
          <t>Carlos Molina</t>
        </is>
      </c>
      <c r="L1251" t="inlineStr">
        <is>
          <t>DOUGLAS HERNÁNDEZ ARGUETA</t>
        </is>
      </c>
      <c r="M1251" t="inlineStr">
        <is>
          <t>04449700-5</t>
        </is>
      </c>
      <c r="N1251" t="inlineStr">
        <is>
          <t>7632-6201</t>
        </is>
      </c>
      <c r="O1251" t="inlineStr">
        <is>
          <t>Consumidor final</t>
        </is>
      </c>
      <c r="P1251" t="inlineStr">
        <is>
          <t>ARR-001</t>
        </is>
      </c>
      <c r="Q1251" t="inlineStr">
        <is>
          <t>Arroz blanco 5lb</t>
        </is>
      </c>
      <c r="R1251" t="inlineStr">
        <is>
          <t>Granos básicos</t>
        </is>
      </c>
      <c r="S1251" t="inlineStr">
        <is>
          <t>Granos del Pacífico</t>
        </is>
      </c>
      <c r="T1251" t="inlineStr">
        <is>
          <t>2234-8890</t>
        </is>
      </c>
      <c r="U1251" t="inlineStr">
        <is>
          <t>$3.95</t>
        </is>
      </c>
      <c r="V1251" t="n">
        <v>1</v>
      </c>
      <c r="W1251" t="n">
        <v>0</v>
      </c>
      <c r="X1251">
        <f>IFERROR(U1251*V1251*(1-W1251/100),"")</f>
        <v/>
      </c>
      <c r="Y1251">
        <f>IFERROR(ROUND(X1251*0.13,2),"")</f>
        <v/>
      </c>
      <c r="Z1251">
        <f>IFERROR(X1251+Y1251,"")</f>
        <v/>
      </c>
      <c r="AA1251" t="inlineStr">
        <is>
          <t>Tarjeta</t>
        </is>
      </c>
      <c r="AB1251" t="inlineStr"/>
    </row>
    <row r="1252">
      <c r="A1252" t="inlineStr">
        <is>
          <t>F-11445</t>
        </is>
      </c>
      <c r="B1252" t="inlineStr">
        <is>
          <t>2026-08-28</t>
        </is>
      </c>
      <c r="C1252" t="inlineStr">
        <is>
          <t>Factura</t>
        </is>
      </c>
      <c r="D1252" t="inlineStr">
        <is>
          <t>SM01</t>
        </is>
      </c>
      <c r="E1252" t="inlineStr">
        <is>
          <t>S. Miguel</t>
        </is>
      </c>
      <c r="F1252" t="inlineStr">
        <is>
          <t>Av. Roosevelt Sur #7</t>
        </is>
      </c>
      <c r="G1252" t="inlineStr">
        <is>
          <t>San Miguel</t>
        </is>
      </c>
      <c r="H1252" t="inlineStr">
        <is>
          <t>San Miguel</t>
        </is>
      </c>
      <c r="I1252" t="inlineStr">
        <is>
          <t>Iris Portillo</t>
        </is>
      </c>
      <c r="J1252" t="inlineStr">
        <is>
          <t>2661-5076</t>
        </is>
      </c>
      <c r="K1252" t="inlineStr">
        <is>
          <t>Paola Cruz</t>
        </is>
      </c>
      <c r="L1252" t="inlineStr">
        <is>
          <t>Jorge García Hernández</t>
        </is>
      </c>
      <c r="M1252" t="inlineStr">
        <is>
          <t>09167886-4</t>
        </is>
      </c>
      <c r="N1252" t="inlineStr">
        <is>
          <t>7875-6853</t>
        </is>
      </c>
      <c r="O1252" t="inlineStr">
        <is>
          <t>Consumidor final</t>
        </is>
      </c>
      <c r="P1252" t="inlineStr">
        <is>
          <t>HAR-001</t>
        </is>
      </c>
      <c r="Q1252" t="inlineStr">
        <is>
          <t>Harina de maíz 2lb</t>
        </is>
      </c>
      <c r="R1252" t="inlineStr">
        <is>
          <t>Abarrotes</t>
        </is>
      </c>
      <c r="S1252" t="inlineStr">
        <is>
          <t>Granos del Pacífico</t>
        </is>
      </c>
      <c r="T1252" t="inlineStr">
        <is>
          <t>2234-8890</t>
        </is>
      </c>
      <c r="U1252" t="n">
        <v>1.35</v>
      </c>
      <c r="V1252" t="n">
        <v>12</v>
      </c>
      <c r="W1252" t="n">
        <v>0</v>
      </c>
      <c r="X1252">
        <f>IFERROR(U1252*V1252*(1-W1252/100),"")</f>
        <v/>
      </c>
      <c r="Y1252">
        <f>IFERROR(ROUND(X1252*0.13,2),"")</f>
        <v/>
      </c>
      <c r="Z1252">
        <f>IFERROR(X1252+Y1252,"")</f>
        <v/>
      </c>
      <c r="AA1252" t="inlineStr">
        <is>
          <t>Bitcoin</t>
        </is>
      </c>
      <c r="AB1252" t="inlineStr">
        <is>
          <t>entregar en bodega</t>
        </is>
      </c>
    </row>
    <row r="1253">
      <c r="A1253" t="inlineStr">
        <is>
          <t>11445</t>
        </is>
      </c>
      <c r="B1253" t="inlineStr">
        <is>
          <t>28/08/2026</t>
        </is>
      </c>
      <c r="C1253" t="inlineStr">
        <is>
          <t>Factura</t>
        </is>
      </c>
      <c r="D1253" t="inlineStr">
        <is>
          <t>SM01</t>
        </is>
      </c>
      <c r="E1253" t="inlineStr">
        <is>
          <t>SAN MIGUEL</t>
        </is>
      </c>
      <c r="F1253" t="inlineStr">
        <is>
          <t>Av. Roosevelt Sur #7</t>
        </is>
      </c>
      <c r="G1253" t="inlineStr">
        <is>
          <t>San Miguel</t>
        </is>
      </c>
      <c r="H1253" t="inlineStr">
        <is>
          <t>San Miguel</t>
        </is>
      </c>
      <c r="I1253" t="inlineStr">
        <is>
          <t>Iris Portillo</t>
        </is>
      </c>
      <c r="J1253" t="inlineStr">
        <is>
          <t>2661-5076</t>
        </is>
      </c>
      <c r="K1253" t="inlineStr">
        <is>
          <t>Paola Cruz</t>
        </is>
      </c>
      <c r="L1253" t="inlineStr">
        <is>
          <t>Jorge García Hernández</t>
        </is>
      </c>
      <c r="M1253" t="inlineStr">
        <is>
          <t>09167886-4</t>
        </is>
      </c>
      <c r="N1253" t="inlineStr">
        <is>
          <t>7875-6853</t>
        </is>
      </c>
      <c r="O1253" t="inlineStr">
        <is>
          <t>Consumidor final</t>
        </is>
      </c>
      <c r="P1253" t="inlineStr">
        <is>
          <t>ARR-001</t>
        </is>
      </c>
      <c r="Q1253" t="inlineStr">
        <is>
          <t>Arroz blanco 5lb</t>
        </is>
      </c>
      <c r="R1253" t="inlineStr">
        <is>
          <t>Granos básicos</t>
        </is>
      </c>
      <c r="S1253" t="inlineStr">
        <is>
          <t>Granos del Pacífico</t>
        </is>
      </c>
      <c r="T1253" t="inlineStr">
        <is>
          <t>2234-8890</t>
        </is>
      </c>
      <c r="U1253" t="inlineStr">
        <is>
          <t>$3.95</t>
        </is>
      </c>
      <c r="V1253" t="n">
        <v>12</v>
      </c>
      <c r="W1253" t="n">
        <v>0</v>
      </c>
      <c r="X1253">
        <f>IFERROR(U1253*V1253*(1-W1253/100),"")</f>
        <v/>
      </c>
      <c r="Y1253">
        <f>IFERROR(ROUND(X1253*0.13,2),"")</f>
        <v/>
      </c>
      <c r="Z1253">
        <f>IFERROR(X1253+Y1253,"")</f>
        <v/>
      </c>
      <c r="AA1253" t="inlineStr">
        <is>
          <t>Bitcoin</t>
        </is>
      </c>
      <c r="AB1253" t="inlineStr">
        <is>
          <t>Llamar al 7788-1234 antes de entregar</t>
        </is>
      </c>
    </row>
    <row r="1254">
      <c r="A1254" t="inlineStr">
        <is>
          <t>F-11446</t>
        </is>
      </c>
      <c r="B1254" s="3" t="n">
        <v>46253</v>
      </c>
      <c r="C1254" t="inlineStr">
        <is>
          <t>Factura</t>
        </is>
      </c>
      <c r="D1254" t="inlineStr">
        <is>
          <t>SS03</t>
        </is>
      </c>
      <c r="E1254" t="inlineStr">
        <is>
          <t>soyapango</t>
        </is>
      </c>
      <c r="F1254" t="inlineStr">
        <is>
          <t>Blvd. del Ejército km 4</t>
        </is>
      </c>
      <c r="G1254" t="inlineStr">
        <is>
          <t>Soyapango</t>
        </is>
      </c>
      <c r="H1254" t="inlineStr">
        <is>
          <t>San Salvador</t>
        </is>
      </c>
      <c r="I1254" t="inlineStr">
        <is>
          <t>Karla Henríquez</t>
        </is>
      </c>
      <c r="J1254" t="inlineStr">
        <is>
          <t>2277-3402</t>
        </is>
      </c>
      <c r="K1254" t="inlineStr">
        <is>
          <t>Carlos Molina</t>
        </is>
      </c>
      <c r="L1254" t="inlineStr">
        <is>
          <t>Rosa Quintanilla Alvarado</t>
        </is>
      </c>
      <c r="M1254" t="inlineStr">
        <is>
          <t>03900916-8</t>
        </is>
      </c>
      <c r="N1254" t="inlineStr">
        <is>
          <t>6451-4292</t>
        </is>
      </c>
      <c r="O1254" t="inlineStr">
        <is>
          <t>Consumidor final</t>
        </is>
      </c>
      <c r="P1254" t="inlineStr">
        <is>
          <t>PAN-002</t>
        </is>
      </c>
      <c r="Q1254" t="inlineStr">
        <is>
          <t>Semita alta</t>
        </is>
      </c>
      <c r="R1254" t="inlineStr">
        <is>
          <t>Panadería</t>
        </is>
      </c>
      <c r="S1254" t="inlineStr">
        <is>
          <t>Panificadora Ilopango</t>
        </is>
      </c>
      <c r="T1254" t="inlineStr">
        <is>
          <t>2295-0081</t>
        </is>
      </c>
      <c r="U1254" t="n">
        <v>1.75</v>
      </c>
      <c r="V1254" t="n">
        <v>1</v>
      </c>
      <c r="W1254" t="n">
        <v>0</v>
      </c>
      <c r="X1254">
        <f>IFERROR(U1254*V1254*(1-W1254/100),"")</f>
        <v/>
      </c>
      <c r="Y1254">
        <f>IFERROR(ROUND(X1254*0.13,2),"")</f>
        <v/>
      </c>
      <c r="Z1254">
        <f>IFERROR(X1254+Y1254,"")</f>
        <v/>
      </c>
      <c r="AA1254" t="inlineStr">
        <is>
          <t>Efectivo</t>
        </is>
      </c>
      <c r="AB1254" t="inlineStr"/>
    </row>
    <row r="1255">
      <c r="A1255" t="inlineStr">
        <is>
          <t>11446</t>
        </is>
      </c>
      <c r="B1255" t="inlineStr">
        <is>
          <t>19/08/2026</t>
        </is>
      </c>
      <c r="C1255" t="inlineStr">
        <is>
          <t>Factura</t>
        </is>
      </c>
      <c r="D1255" t="inlineStr">
        <is>
          <t>SS03</t>
        </is>
      </c>
      <c r="E1255" t="inlineStr">
        <is>
          <t>soyapango</t>
        </is>
      </c>
      <c r="F1255" t="inlineStr">
        <is>
          <t>Blvd. del Ejército km 4</t>
        </is>
      </c>
      <c r="G1255" t="inlineStr">
        <is>
          <t>Soyapango</t>
        </is>
      </c>
      <c r="H1255" t="inlineStr">
        <is>
          <t>San Salvador</t>
        </is>
      </c>
      <c r="I1255" t="inlineStr">
        <is>
          <t>Karla Henríquez</t>
        </is>
      </c>
      <c r="J1255" t="inlineStr">
        <is>
          <t>2277-3402</t>
        </is>
      </c>
      <c r="K1255" t="inlineStr">
        <is>
          <t>Carlos Molina</t>
        </is>
      </c>
      <c r="L1255" t="inlineStr">
        <is>
          <t>Rosa Quintanilla Alvarado</t>
        </is>
      </c>
      <c r="M1255" t="inlineStr">
        <is>
          <t>03900916-8</t>
        </is>
      </c>
      <c r="N1255" t="inlineStr">
        <is>
          <t>6451-4292</t>
        </is>
      </c>
      <c r="O1255" t="inlineStr">
        <is>
          <t>Consumidor final</t>
        </is>
      </c>
      <c r="P1255" t="inlineStr">
        <is>
          <t>CAF-002</t>
        </is>
      </c>
      <c r="Q1255" t="inlineStr">
        <is>
          <t>Café en grano 1lb</t>
        </is>
      </c>
      <c r="R1255" t="inlineStr">
        <is>
          <t>Abarrotes</t>
        </is>
      </c>
      <c r="S1255" t="inlineStr">
        <is>
          <t>Café Volcán S.A.</t>
        </is>
      </c>
      <c r="T1255" t="inlineStr">
        <is>
          <t>2510-3344</t>
        </is>
      </c>
      <c r="U1255" t="n">
        <v>6.75</v>
      </c>
      <c r="V1255" t="n">
        <v>2</v>
      </c>
      <c r="W1255" t="n">
        <v>0</v>
      </c>
      <c r="X1255">
        <f>IFERROR(U1255*V1255*(1-W1255/100),"")</f>
        <v/>
      </c>
      <c r="Y1255">
        <f>IFERROR(ROUND(X1255*0.13,2),"")</f>
        <v/>
      </c>
      <c r="Z1255">
        <f>IFERROR(X1255+Y1255,"")</f>
        <v/>
      </c>
      <c r="AA1255" t="inlineStr">
        <is>
          <t>Efectivo</t>
        </is>
      </c>
      <c r="AB1255" t="inlineStr">
        <is>
          <t>pagó con billete de $100</t>
        </is>
      </c>
    </row>
    <row r="1256">
      <c r="A1256" t="inlineStr">
        <is>
          <t>F-11446</t>
        </is>
      </c>
      <c r="B1256" s="3" t="n">
        <v>46253</v>
      </c>
      <c r="C1256" t="inlineStr">
        <is>
          <t>Factura</t>
        </is>
      </c>
      <c r="D1256" t="inlineStr">
        <is>
          <t>SS03</t>
        </is>
      </c>
      <c r="E1256" t="inlineStr">
        <is>
          <t>soyapango</t>
        </is>
      </c>
      <c r="F1256" t="inlineStr">
        <is>
          <t>Blvd. del Ejército km 4</t>
        </is>
      </c>
      <c r="G1256" t="inlineStr">
        <is>
          <t>Soyapango</t>
        </is>
      </c>
      <c r="H1256" t="inlineStr">
        <is>
          <t>San Salvador</t>
        </is>
      </c>
      <c r="I1256" t="inlineStr">
        <is>
          <t>Karla Henríquez</t>
        </is>
      </c>
      <c r="J1256" t="inlineStr">
        <is>
          <t>2277-3402</t>
        </is>
      </c>
      <c r="K1256" t="inlineStr">
        <is>
          <t>Carlos Molina</t>
        </is>
      </c>
      <c r="L1256" t="inlineStr">
        <is>
          <t>Rosa Quintanilla Alvarado</t>
        </is>
      </c>
      <c r="M1256" t="inlineStr">
        <is>
          <t>03900916-8</t>
        </is>
      </c>
      <c r="N1256" t="inlineStr">
        <is>
          <t>6451-4292</t>
        </is>
      </c>
      <c r="O1256" t="inlineStr">
        <is>
          <t>Consumidor final</t>
        </is>
      </c>
      <c r="P1256" t="inlineStr">
        <is>
          <t>BEB-002</t>
        </is>
      </c>
      <c r="Q1256" t="inlineStr">
        <is>
          <t>Agua purificada 1 galón</t>
        </is>
      </c>
      <c r="R1256" t="inlineStr">
        <is>
          <t>Bebidas</t>
        </is>
      </c>
      <c r="S1256" t="inlineStr">
        <is>
          <t>Bebidas Izalco</t>
        </is>
      </c>
      <c r="T1256" t="inlineStr">
        <is>
          <t>2450-7700</t>
        </is>
      </c>
      <c r="U1256" t="n">
        <v>1.1</v>
      </c>
      <c r="V1256" t="n">
        <v>1</v>
      </c>
      <c r="W1256" t="n">
        <v>0</v>
      </c>
      <c r="X1256">
        <f>IFERROR(U1256*V1256*(1-W1256/100),"")</f>
        <v/>
      </c>
      <c r="Y1256">
        <f>IFERROR(ROUND(X1256*0.13,2),"")</f>
        <v/>
      </c>
      <c r="Z1256">
        <f>IFERROR(X1256+Y1256,"")</f>
        <v/>
      </c>
      <c r="AA1256" t="inlineStr">
        <is>
          <t>Efectivo</t>
        </is>
      </c>
      <c r="AB1256" t="inlineStr">
        <is>
          <t>Cliente frecuente</t>
        </is>
      </c>
    </row>
    <row r="1257">
      <c r="A1257" t="inlineStr">
        <is>
          <t>F-11448</t>
        </is>
      </c>
      <c r="B1257" t="inlineStr">
        <is>
          <t>2026-07-01</t>
        </is>
      </c>
      <c r="C1257" t="inlineStr">
        <is>
          <t>Factura</t>
        </is>
      </c>
      <c r="D1257" t="inlineStr">
        <is>
          <t>SS02</t>
        </is>
      </c>
      <c r="E1257" t="inlineStr">
        <is>
          <t>Escalón</t>
        </is>
      </c>
      <c r="F1257" t="inlineStr">
        <is>
          <t>Paseo General Escalón #3910</t>
        </is>
      </c>
      <c r="G1257" t="inlineStr">
        <is>
          <t>San Salvador</t>
        </is>
      </c>
      <c r="H1257" t="inlineStr">
        <is>
          <t>San Salvador</t>
        </is>
      </c>
      <c r="I1257" t="inlineStr">
        <is>
          <t>Claudia Menjívar</t>
        </is>
      </c>
      <c r="J1257" t="inlineStr">
        <is>
          <t>2264-1190</t>
        </is>
      </c>
      <c r="K1257" t="inlineStr">
        <is>
          <t>Fátima Rosales</t>
        </is>
      </c>
      <c r="L1257" t="inlineStr">
        <is>
          <t>Rosa Argueta Alvarado</t>
        </is>
      </c>
      <c r="M1257" t="inlineStr">
        <is>
          <t>05070765-0</t>
        </is>
      </c>
      <c r="N1257" t="inlineStr">
        <is>
          <t>6692-3069</t>
        </is>
      </c>
      <c r="O1257" t="inlineStr">
        <is>
          <t>Consumidor final</t>
        </is>
      </c>
      <c r="P1257" t="inlineStr">
        <is>
          <t>BEB-001</t>
        </is>
      </c>
      <c r="Q1257" t="inlineStr">
        <is>
          <t>Gaseosa 2.5L</t>
        </is>
      </c>
      <c r="R1257" t="inlineStr">
        <is>
          <t>Bebidas</t>
        </is>
      </c>
      <c r="S1257" t="inlineStr">
        <is>
          <t>Bebidas Izalco</t>
        </is>
      </c>
      <c r="T1257" t="inlineStr">
        <is>
          <t>2450-7700</t>
        </is>
      </c>
      <c r="U1257" t="n">
        <v>1.95</v>
      </c>
      <c r="V1257" t="n">
        <v>3</v>
      </c>
      <c r="W1257" t="n">
        <v>0</v>
      </c>
      <c r="X1257">
        <f>IFERROR(U1257*V1257*(1-W1257/100),"")</f>
        <v/>
      </c>
      <c r="Y1257">
        <f>IFERROR(ROUND(X1257*0.13,2),"")</f>
        <v/>
      </c>
      <c r="Z1257">
        <f>IFERROR(X1257+Y1257,"")</f>
        <v/>
      </c>
      <c r="AA1257" t="inlineStr">
        <is>
          <t>Efectivo</t>
        </is>
      </c>
      <c r="AB1257" t="inlineStr"/>
    </row>
    <row r="1258">
      <c r="A1258" t="inlineStr">
        <is>
          <t>F-11448</t>
        </is>
      </c>
      <c r="B1258" s="3" t="n">
        <v>46204</v>
      </c>
      <c r="C1258" t="inlineStr">
        <is>
          <t>Factura</t>
        </is>
      </c>
      <c r="D1258" t="inlineStr">
        <is>
          <t>SS02</t>
        </is>
      </c>
      <c r="E1258" t="inlineStr">
        <is>
          <t>Escalón</t>
        </is>
      </c>
      <c r="F1258" t="inlineStr">
        <is>
          <t>Paseo General Escalón #3910</t>
        </is>
      </c>
      <c r="G1258" t="inlineStr">
        <is>
          <t>San Salvador</t>
        </is>
      </c>
      <c r="H1258" t="inlineStr">
        <is>
          <t>San Salvador</t>
        </is>
      </c>
      <c r="I1258" t="inlineStr">
        <is>
          <t>Claudia Menjívar</t>
        </is>
      </c>
      <c r="J1258" t="inlineStr">
        <is>
          <t>2264-1190</t>
        </is>
      </c>
      <c r="K1258" t="inlineStr">
        <is>
          <t>Fátima Rosales</t>
        </is>
      </c>
      <c r="L1258" t="inlineStr">
        <is>
          <t>Rosa Argueta Alvarado</t>
        </is>
      </c>
      <c r="M1258" t="inlineStr">
        <is>
          <t>05070765-0</t>
        </is>
      </c>
      <c r="N1258" t="inlineStr">
        <is>
          <t>6692-3069</t>
        </is>
      </c>
      <c r="O1258" t="inlineStr">
        <is>
          <t>Consumidor final</t>
        </is>
      </c>
      <c r="P1258" t="inlineStr">
        <is>
          <t>CAF-001</t>
        </is>
      </c>
      <c r="Q1258" t="inlineStr">
        <is>
          <t>Café molido 400g</t>
        </is>
      </c>
      <c r="R1258" t="inlineStr">
        <is>
          <t>ABARROTES</t>
        </is>
      </c>
      <c r="S1258" t="inlineStr">
        <is>
          <t>Café Volcán S.A.</t>
        </is>
      </c>
      <c r="T1258" t="inlineStr">
        <is>
          <t>2510-3344</t>
        </is>
      </c>
      <c r="U1258" t="n">
        <v>4.25</v>
      </c>
      <c r="V1258" t="n">
        <v>2</v>
      </c>
      <c r="W1258" t="n">
        <v>0</v>
      </c>
      <c r="X1258">
        <f>IFERROR(U1258*V1258*(1-W1258/100),"")</f>
        <v/>
      </c>
      <c r="Y1258">
        <f>IFERROR(ROUND(X1258*0.13,2),"")</f>
        <v/>
      </c>
      <c r="Z1258">
        <f>IFERROR(X1258+Y1258,"")</f>
        <v/>
      </c>
      <c r="AA1258" t="inlineStr">
        <is>
          <t>Efectivo</t>
        </is>
      </c>
      <c r="AB1258" t="inlineStr">
        <is>
          <t>precio especial autorizado por gerente</t>
        </is>
      </c>
    </row>
    <row r="1259">
      <c r="A1259" t="inlineStr">
        <is>
          <t>F-11448</t>
        </is>
      </c>
      <c r="B1259" s="3" t="n">
        <v>46204</v>
      </c>
      <c r="C1259" t="inlineStr">
        <is>
          <t>Factura</t>
        </is>
      </c>
      <c r="D1259" t="inlineStr">
        <is>
          <t>SS02</t>
        </is>
      </c>
      <c r="E1259" t="inlineStr">
        <is>
          <t>ESCALON</t>
        </is>
      </c>
      <c r="F1259" t="inlineStr">
        <is>
          <t>Paseo General Escalón #3910</t>
        </is>
      </c>
      <c r="G1259" t="inlineStr">
        <is>
          <t>San Salvador</t>
        </is>
      </c>
      <c r="H1259" t="inlineStr">
        <is>
          <t>San Salvador</t>
        </is>
      </c>
      <c r="I1259" t="inlineStr">
        <is>
          <t>Claudia Menjívar</t>
        </is>
      </c>
      <c r="J1259" t="inlineStr">
        <is>
          <t>2264-1190</t>
        </is>
      </c>
      <c r="K1259" t="inlineStr">
        <is>
          <t>Fátima Rosales</t>
        </is>
      </c>
      <c r="L1259" t="inlineStr">
        <is>
          <t>Rosa Argueta Alvarado</t>
        </is>
      </c>
      <c r="M1259" t="inlineStr">
        <is>
          <t>05070765-0</t>
        </is>
      </c>
      <c r="N1259" t="inlineStr">
        <is>
          <t>6692-3069</t>
        </is>
      </c>
      <c r="O1259" t="inlineStr">
        <is>
          <t>Consumidor final</t>
        </is>
      </c>
      <c r="P1259" t="inlineStr">
        <is>
          <t>HAR-001</t>
        </is>
      </c>
      <c r="Q1259" t="inlineStr">
        <is>
          <t>Harina de maíz 2lb</t>
        </is>
      </c>
      <c r="R1259" t="inlineStr">
        <is>
          <t>Abarrotes</t>
        </is>
      </c>
      <c r="S1259" t="inlineStr">
        <is>
          <t>Granos del Pacífico</t>
        </is>
      </c>
      <c r="T1259" t="inlineStr">
        <is>
          <t>2234-8890</t>
        </is>
      </c>
      <c r="U1259" t="n">
        <v>1.35</v>
      </c>
      <c r="V1259" t="n">
        <v>1</v>
      </c>
      <c r="W1259" t="n">
        <v>0</v>
      </c>
      <c r="X1259">
        <f>IFERROR(U1259*V1259*(1-W1259/100),"")</f>
        <v/>
      </c>
      <c r="Y1259">
        <f>IFERROR(ROUND(X1259*0.13,2),"")</f>
        <v/>
      </c>
      <c r="Z1259">
        <f>IFERROR(X1259+Y1259,"")</f>
        <v/>
      </c>
      <c r="AA1259" t="inlineStr">
        <is>
          <t>Efectivo</t>
        </is>
      </c>
      <c r="AB1259" t="inlineStr"/>
    </row>
    <row r="1260">
      <c r="A1260" t="inlineStr">
        <is>
          <t>F-11449</t>
        </is>
      </c>
      <c r="B1260" s="3" t="n">
        <v>46292</v>
      </c>
      <c r="C1260" t="inlineStr">
        <is>
          <t>Factura</t>
        </is>
      </c>
      <c r="D1260" t="inlineStr">
        <is>
          <t>SS01</t>
        </is>
      </c>
      <c r="E1260" t="inlineStr">
        <is>
          <t>SAN SALVADOR CENTRO</t>
        </is>
      </c>
      <c r="F1260" t="inlineStr">
        <is>
          <t>4a Calle Poniente #215</t>
        </is>
      </c>
      <c r="G1260" t="inlineStr">
        <is>
          <t>San Salvador</t>
        </is>
      </c>
      <c r="H1260" t="inlineStr">
        <is>
          <t>San Salvador</t>
        </is>
      </c>
      <c r="I1260" t="inlineStr">
        <is>
          <t>Roberto Alfaro</t>
        </is>
      </c>
      <c r="J1260" t="inlineStr">
        <is>
          <t>2221-4580</t>
        </is>
      </c>
      <c r="K1260" t="inlineStr">
        <is>
          <t>José Martínez</t>
        </is>
      </c>
      <c r="L1260" t="inlineStr">
        <is>
          <t>René Alvarado Lemus</t>
        </is>
      </c>
      <c r="M1260" t="inlineStr">
        <is>
          <t>07676586-8</t>
        </is>
      </c>
      <c r="N1260" t="inlineStr">
        <is>
          <t>6907-6114</t>
        </is>
      </c>
      <c r="O1260" t="inlineStr">
        <is>
          <t>Consumidor final</t>
        </is>
      </c>
      <c r="P1260" t="inlineStr">
        <is>
          <t>BEB-001</t>
        </is>
      </c>
      <c r="Q1260" t="inlineStr">
        <is>
          <t>Gaseosa 2.5L</t>
        </is>
      </c>
      <c r="R1260" t="inlineStr">
        <is>
          <t>bebidas</t>
        </is>
      </c>
      <c r="S1260" t="inlineStr">
        <is>
          <t>Bebidas Izalco</t>
        </is>
      </c>
      <c r="T1260" t="inlineStr">
        <is>
          <t>2450-7700</t>
        </is>
      </c>
      <c r="U1260" t="n">
        <v>1.95</v>
      </c>
      <c r="V1260" t="n">
        <v>2</v>
      </c>
      <c r="W1260" t="n">
        <v>0</v>
      </c>
      <c r="X1260">
        <f>IFERROR(U1260*V1260*(1-W1260/100),"")</f>
        <v/>
      </c>
      <c r="Y1260">
        <f>IFERROR(ROUND(X1260*0.13,2),"")</f>
        <v/>
      </c>
      <c r="Z1260">
        <f>IFERROR(X1260+Y1260,"")</f>
        <v/>
      </c>
      <c r="AA1260" t="inlineStr">
        <is>
          <t>Efectivo</t>
        </is>
      </c>
      <c r="AB1260" t="inlineStr">
        <is>
          <t>Llamar al 7788-1234 antes de entregar</t>
        </is>
      </c>
    </row>
    <row r="1261">
      <c r="A1261" t="inlineStr">
        <is>
          <t>F-11449</t>
        </is>
      </c>
      <c r="B1261" s="3" t="n">
        <v>46292</v>
      </c>
      <c r="C1261" t="inlineStr">
        <is>
          <t>Factura</t>
        </is>
      </c>
      <c r="D1261" t="inlineStr">
        <is>
          <t>SS01</t>
        </is>
      </c>
      <c r="E1261" t="inlineStr">
        <is>
          <t xml:space="preserve">san salvador centro </t>
        </is>
      </c>
      <c r="F1261" t="inlineStr">
        <is>
          <t>4a Calle Poniente #215</t>
        </is>
      </c>
      <c r="G1261" t="inlineStr">
        <is>
          <t>San Salvador</t>
        </is>
      </c>
      <c r="H1261" t="inlineStr">
        <is>
          <t>San Salvador</t>
        </is>
      </c>
      <c r="I1261" t="inlineStr">
        <is>
          <t>Roberto Alfaro</t>
        </is>
      </c>
      <c r="J1261" t="inlineStr">
        <is>
          <t>2221-4580</t>
        </is>
      </c>
      <c r="K1261" t="inlineStr">
        <is>
          <t>José Martínez</t>
        </is>
      </c>
      <c r="L1261" t="inlineStr">
        <is>
          <t>René Alvarado Lemus</t>
        </is>
      </c>
      <c r="M1261" t="inlineStr">
        <is>
          <t>07676586-8</t>
        </is>
      </c>
      <c r="N1261" t="inlineStr">
        <is>
          <t>6907-6114</t>
        </is>
      </c>
      <c r="O1261" t="inlineStr">
        <is>
          <t>Consumidor final</t>
        </is>
      </c>
      <c r="P1261" t="inlineStr">
        <is>
          <t>AZU-001</t>
        </is>
      </c>
      <c r="Q1261" t="inlineStr">
        <is>
          <t>Azúcar blanca 2.5kg</t>
        </is>
      </c>
      <c r="R1261" t="inlineStr">
        <is>
          <t>Abarrotes</t>
        </is>
      </c>
      <c r="S1261" t="inlineStr">
        <is>
          <t>Granos del Pacífico</t>
        </is>
      </c>
      <c r="T1261" t="inlineStr">
        <is>
          <t>2234-8890</t>
        </is>
      </c>
      <c r="U1261" t="n">
        <v>3.1</v>
      </c>
      <c r="V1261" t="n">
        <v>6</v>
      </c>
      <c r="W1261" t="n">
        <v>0</v>
      </c>
      <c r="X1261">
        <f>IFERROR(U1261*V1261*(1-W1261/100),"")</f>
        <v/>
      </c>
      <c r="Y1261">
        <f>IFERROR(ROUND(X1261*0.13,2),"")</f>
        <v/>
      </c>
      <c r="Z1261">
        <f>IFERROR(X1261+Y1261,"")</f>
        <v/>
      </c>
      <c r="AA1261" t="inlineStr">
        <is>
          <t>Efectivo</t>
        </is>
      </c>
      <c r="AB1261" t="inlineStr"/>
    </row>
    <row r="1262">
      <c r="A1262" t="inlineStr">
        <is>
          <t>F-11451</t>
        </is>
      </c>
      <c r="B1262" s="3" t="n">
        <v>46222</v>
      </c>
      <c r="C1262" t="inlineStr">
        <is>
          <t>Factura</t>
        </is>
      </c>
      <c r="D1262" t="inlineStr">
        <is>
          <t>US01</t>
        </is>
      </c>
      <c r="E1262" t="inlineStr">
        <is>
          <t>Usulután</t>
        </is>
      </c>
      <c r="F1262" t="inlineStr">
        <is>
          <t>2a Av. Norte #9</t>
        </is>
      </c>
      <c r="G1262" t="inlineStr">
        <is>
          <t>Usulután</t>
        </is>
      </c>
      <c r="H1262" t="inlineStr">
        <is>
          <t>Usulután</t>
        </is>
      </c>
      <c r="I1262" t="inlineStr">
        <is>
          <t>Nelson Fuentes</t>
        </is>
      </c>
      <c r="J1262" t="inlineStr">
        <is>
          <t>2662-8810</t>
        </is>
      </c>
      <c r="K1262" t="inlineStr">
        <is>
          <t>Miguel Bonilla</t>
        </is>
      </c>
      <c r="L1262" t="inlineStr">
        <is>
          <t>Rosa Argueta Ramírez</t>
        </is>
      </c>
      <c r="M1262" t="inlineStr">
        <is>
          <t>08671348-2</t>
        </is>
      </c>
      <c r="N1262" t="inlineStr">
        <is>
          <t>2777-4047</t>
        </is>
      </c>
      <c r="O1262" t="inlineStr">
        <is>
          <t>Consumidor final</t>
        </is>
      </c>
      <c r="P1262" t="inlineStr">
        <is>
          <t>HIG-003</t>
        </is>
      </c>
      <c r="Q1262" t="inlineStr">
        <is>
          <t>Jabón de lavar barra</t>
        </is>
      </c>
      <c r="R1262" t="inlineStr">
        <is>
          <t>Limpieza</t>
        </is>
      </c>
      <c r="S1262" t="inlineStr">
        <is>
          <t>Higiene Total C.A.</t>
        </is>
      </c>
      <c r="T1262" t="inlineStr">
        <is>
          <t>2207-5566</t>
        </is>
      </c>
      <c r="U1262" t="inlineStr">
        <is>
          <t>0,75</t>
        </is>
      </c>
      <c r="V1262" t="n">
        <v>2</v>
      </c>
      <c r="W1262" t="n">
        <v>0</v>
      </c>
      <c r="X1262">
        <f>IFERROR(U1262*V1262*(1-W1262/100),"")</f>
        <v/>
      </c>
      <c r="Y1262">
        <f>IFERROR(ROUND(X1262*0.13,2),"")</f>
        <v/>
      </c>
      <c r="Z1262">
        <f>IFERROR(X1262+Y1262,"")</f>
        <v/>
      </c>
      <c r="AA1262" t="inlineStr">
        <is>
          <t>Efectivo</t>
        </is>
      </c>
      <c r="AB1262" t="inlineStr"/>
    </row>
    <row r="1263">
      <c r="A1263" t="inlineStr">
        <is>
          <t>F-11451</t>
        </is>
      </c>
      <c r="B1263" s="3" t="n">
        <v>46222</v>
      </c>
      <c r="C1263" t="inlineStr">
        <is>
          <t>Factura</t>
        </is>
      </c>
      <c r="D1263" t="inlineStr">
        <is>
          <t>US01</t>
        </is>
      </c>
      <c r="E1263" t="inlineStr">
        <is>
          <t>Usulutan</t>
        </is>
      </c>
      <c r="F1263" t="inlineStr">
        <is>
          <t>2a Av. Norte #9</t>
        </is>
      </c>
      <c r="G1263" t="inlineStr">
        <is>
          <t>Usulután</t>
        </is>
      </c>
      <c r="H1263" t="inlineStr">
        <is>
          <t>Usulután</t>
        </is>
      </c>
      <c r="I1263" t="inlineStr">
        <is>
          <t>Nelson Fuentes</t>
        </is>
      </c>
      <c r="J1263" t="inlineStr">
        <is>
          <t>2662-8810</t>
        </is>
      </c>
      <c r="K1263" t="inlineStr">
        <is>
          <t>Miguel Bonilla</t>
        </is>
      </c>
      <c r="L1263" t="inlineStr">
        <is>
          <t>Rosa Argueta Ramírez</t>
        </is>
      </c>
      <c r="M1263" t="inlineStr">
        <is>
          <t>08671348-2</t>
        </is>
      </c>
      <c r="N1263" t="inlineStr">
        <is>
          <t>2777-4047</t>
        </is>
      </c>
      <c r="O1263" t="inlineStr">
        <is>
          <t>Consumidor final</t>
        </is>
      </c>
      <c r="P1263" t="inlineStr">
        <is>
          <t>BEB-002</t>
        </is>
      </c>
      <c r="Q1263" t="inlineStr">
        <is>
          <t>Agua purificada 1 galón</t>
        </is>
      </c>
      <c r="R1263" t="inlineStr">
        <is>
          <t>Bebidas</t>
        </is>
      </c>
      <c r="S1263" t="inlineStr">
        <is>
          <t>Bebidas Izalco</t>
        </is>
      </c>
      <c r="T1263" t="inlineStr">
        <is>
          <t>2450-7700</t>
        </is>
      </c>
      <c r="U1263" t="n">
        <v>1.1</v>
      </c>
      <c r="V1263" t="n">
        <v>2</v>
      </c>
      <c r="W1263" t="n">
        <v>0</v>
      </c>
      <c r="X1263">
        <f>IFERROR(U1263*V1263*(1-W1263/100),"")</f>
        <v/>
      </c>
      <c r="Y1263">
        <f>IFERROR(ROUND(X1263*0.13,2),"")</f>
        <v/>
      </c>
      <c r="Z1263">
        <f>IFERROR(X1263+Y1263,"")</f>
        <v/>
      </c>
      <c r="AA1263" t="inlineStr">
        <is>
          <t>Efectivo</t>
        </is>
      </c>
      <c r="AB1263" t="inlineStr"/>
    </row>
    <row r="1264">
      <c r="A1264" t="inlineStr">
        <is>
          <t>F-11451</t>
        </is>
      </c>
      <c r="B1264" s="3" t="n">
        <v>46222</v>
      </c>
      <c r="C1264" t="inlineStr">
        <is>
          <t>Factura</t>
        </is>
      </c>
      <c r="D1264" t="inlineStr">
        <is>
          <t>US01</t>
        </is>
      </c>
      <c r="E1264" t="inlineStr">
        <is>
          <t>Usulután</t>
        </is>
      </c>
      <c r="F1264" t="inlineStr">
        <is>
          <t>2a Av. Norte #9</t>
        </is>
      </c>
      <c r="G1264" t="inlineStr">
        <is>
          <t>Usulután</t>
        </is>
      </c>
      <c r="H1264" t="inlineStr">
        <is>
          <t>Usulután</t>
        </is>
      </c>
      <c r="I1264" t="inlineStr">
        <is>
          <t>Nelson Fuentes</t>
        </is>
      </c>
      <c r="J1264" t="inlineStr">
        <is>
          <t>2662-8810</t>
        </is>
      </c>
      <c r="K1264" t="inlineStr">
        <is>
          <t>Miguel Bonilla</t>
        </is>
      </c>
      <c r="L1264" t="inlineStr">
        <is>
          <t>Rosa Argueta Ramírez</t>
        </is>
      </c>
      <c r="M1264" t="inlineStr">
        <is>
          <t>08671348-2</t>
        </is>
      </c>
      <c r="N1264" t="inlineStr">
        <is>
          <t>2777-4047</t>
        </is>
      </c>
      <c r="O1264" t="inlineStr">
        <is>
          <t>Consumidor final</t>
        </is>
      </c>
      <c r="P1264" t="inlineStr">
        <is>
          <t>PAN-002</t>
        </is>
      </c>
      <c r="Q1264" t="inlineStr">
        <is>
          <t>Semita alta</t>
        </is>
      </c>
      <c r="R1264" t="inlineStr">
        <is>
          <t>Panadería</t>
        </is>
      </c>
      <c r="S1264" t="inlineStr">
        <is>
          <t>Panificadora Ilopango</t>
        </is>
      </c>
      <c r="T1264" t="inlineStr">
        <is>
          <t>2295-0081</t>
        </is>
      </c>
      <c r="U1264" t="n">
        <v>1.75</v>
      </c>
      <c r="V1264" t="n">
        <v>2</v>
      </c>
      <c r="W1264" t="n">
        <v>0</v>
      </c>
      <c r="X1264">
        <f>IFERROR(U1264*V1264*(1-W1264/100),"")</f>
        <v/>
      </c>
      <c r="Y1264">
        <f>IFERROR(ROUND(X1264*0.13,2),"")</f>
        <v/>
      </c>
      <c r="Z1264">
        <f>IFERROR(X1264+Y1264,"")</f>
        <v/>
      </c>
      <c r="AA1264" t="inlineStr">
        <is>
          <t>Efectivo</t>
        </is>
      </c>
      <c r="AB1264" t="inlineStr">
        <is>
          <t>precio especial autorizado por gerente</t>
        </is>
      </c>
    </row>
    <row r="1265">
      <c r="A1265" t="inlineStr">
        <is>
          <t>F-11454</t>
        </is>
      </c>
      <c r="B1265" t="inlineStr">
        <is>
          <t>24/07/2026</t>
        </is>
      </c>
      <c r="C1265" t="inlineStr">
        <is>
          <t>CCF</t>
        </is>
      </c>
      <c r="D1265" t="inlineStr">
        <is>
          <t>SS03</t>
        </is>
      </c>
      <c r="E1265" t="inlineStr">
        <is>
          <t>soyapango</t>
        </is>
      </c>
      <c r="F1265" t="inlineStr">
        <is>
          <t>Blvd. del Ejército km 4</t>
        </is>
      </c>
      <c r="G1265" t="inlineStr">
        <is>
          <t>Soyapango</t>
        </is>
      </c>
      <c r="H1265" t="inlineStr">
        <is>
          <t>San Salvador</t>
        </is>
      </c>
      <c r="I1265" t="inlineStr">
        <is>
          <t>Karla Henríquez</t>
        </is>
      </c>
      <c r="J1265" t="inlineStr">
        <is>
          <t>2277-3402</t>
        </is>
      </c>
      <c r="K1265" t="inlineStr">
        <is>
          <t>Marta Gómez</t>
        </is>
      </c>
      <c r="L1265" t="inlineStr">
        <is>
          <t>Tienda La Bendición</t>
        </is>
      </c>
      <c r="M1265" t="inlineStr">
        <is>
          <t>95045-4</t>
        </is>
      </c>
      <c r="N1265" t="inlineStr">
        <is>
          <t>6142-4109</t>
        </is>
      </c>
      <c r="O1265" t="inlineStr">
        <is>
          <t>Contribuyente</t>
        </is>
      </c>
      <c r="P1265" t="inlineStr">
        <is>
          <t>AZU-001</t>
        </is>
      </c>
      <c r="Q1265" t="inlineStr">
        <is>
          <t>Azúcar blanca 2.5kg</t>
        </is>
      </c>
      <c r="R1265" t="inlineStr">
        <is>
          <t>Abarrotes</t>
        </is>
      </c>
      <c r="S1265" t="inlineStr">
        <is>
          <t>Granos del Pacífico</t>
        </is>
      </c>
      <c r="T1265" t="inlineStr">
        <is>
          <t>2234-8890</t>
        </is>
      </c>
      <c r="U1265" t="n">
        <v>3.1</v>
      </c>
      <c r="V1265" t="n">
        <v>2</v>
      </c>
      <c r="W1265" t="n">
        <v>10</v>
      </c>
      <c r="X1265">
        <f>IFERROR(U1265*V1265*(1-W1265/100),"")</f>
        <v/>
      </c>
      <c r="Y1265">
        <f>IFERROR(ROUND(X1265*0.13,2),"")</f>
        <v/>
      </c>
      <c r="Z1265">
        <f>IFERROR(X1265+Y1265,"")</f>
        <v/>
      </c>
      <c r="AA1265" t="inlineStr">
        <is>
          <t>Efectivo</t>
        </is>
      </c>
      <c r="AB1265" t="inlineStr">
        <is>
          <t>Llamar al 7788-1234 antes de entregar</t>
        </is>
      </c>
    </row>
    <row r="1266">
      <c r="A1266" t="inlineStr">
        <is>
          <t>11454</t>
        </is>
      </c>
      <c r="B1266" t="inlineStr">
        <is>
          <t>24/07/2026</t>
        </is>
      </c>
      <c r="C1266" t="inlineStr">
        <is>
          <t>CCF</t>
        </is>
      </c>
      <c r="D1266" t="inlineStr">
        <is>
          <t>SS03</t>
        </is>
      </c>
      <c r="E1266" t="inlineStr">
        <is>
          <t xml:space="preserve">SOYAPANGO </t>
        </is>
      </c>
      <c r="F1266" t="inlineStr">
        <is>
          <t>Blvd. del Ejército km 4</t>
        </is>
      </c>
      <c r="G1266" t="inlineStr">
        <is>
          <t>Soyapango</t>
        </is>
      </c>
      <c r="H1266" t="inlineStr">
        <is>
          <t>San Salvador</t>
        </is>
      </c>
      <c r="I1266" t="inlineStr">
        <is>
          <t>Karla Henríquez</t>
        </is>
      </c>
      <c r="J1266" t="inlineStr">
        <is>
          <t>2277-3402</t>
        </is>
      </c>
      <c r="K1266" t="inlineStr">
        <is>
          <t>Marta Gómez</t>
        </is>
      </c>
      <c r="L1266" t="inlineStr">
        <is>
          <t>Tienda La Bendición</t>
        </is>
      </c>
      <c r="M1266" t="inlineStr">
        <is>
          <t>95045-4</t>
        </is>
      </c>
      <c r="N1266" t="inlineStr">
        <is>
          <t>6142-4109</t>
        </is>
      </c>
      <c r="O1266" t="inlineStr">
        <is>
          <t>Contribuyente</t>
        </is>
      </c>
      <c r="P1266" t="inlineStr">
        <is>
          <t>FRI-001</t>
        </is>
      </c>
      <c r="Q1266" t="inlineStr">
        <is>
          <t>Frijol rojo de seda 2lb</t>
        </is>
      </c>
      <c r="R1266" t="inlineStr">
        <is>
          <t>Abarrotes</t>
        </is>
      </c>
      <c r="S1266" t="inlineStr">
        <is>
          <t>Granos del Pacífico</t>
        </is>
      </c>
      <c r="T1266" t="inlineStr">
        <is>
          <t>2234-8890</t>
        </is>
      </c>
      <c r="U1266" t="inlineStr">
        <is>
          <t>$2.40</t>
        </is>
      </c>
      <c r="V1266" t="n">
        <v>3</v>
      </c>
      <c r="W1266" t="n">
        <v>0</v>
      </c>
      <c r="X1266">
        <f>IFERROR(U1266*V1266*(1-W1266/100),"")</f>
        <v/>
      </c>
      <c r="Y1266">
        <f>IFERROR(ROUND(X1266*0.13,2),"")</f>
        <v/>
      </c>
      <c r="Z1266">
        <f>IFERROR(X1266+Y1266,"")</f>
        <v/>
      </c>
      <c r="AA1266" t="inlineStr">
        <is>
          <t>Efectivo</t>
        </is>
      </c>
      <c r="AB1266" t="inlineStr">
        <is>
          <t>pagó con billete de $100</t>
        </is>
      </c>
    </row>
    <row r="1267">
      <c r="A1267" t="inlineStr">
        <is>
          <t>F-11454</t>
        </is>
      </c>
      <c r="B1267" t="inlineStr">
        <is>
          <t>2026-07-24</t>
        </is>
      </c>
      <c r="C1267" t="inlineStr">
        <is>
          <t>CCF</t>
        </is>
      </c>
      <c r="D1267" t="inlineStr">
        <is>
          <t>SS03</t>
        </is>
      </c>
      <c r="E1267" t="inlineStr">
        <is>
          <t>soyapango</t>
        </is>
      </c>
      <c r="F1267" t="inlineStr">
        <is>
          <t>Blvd. del Ejército km 4</t>
        </is>
      </c>
      <c r="G1267" t="inlineStr">
        <is>
          <t>Soyapango</t>
        </is>
      </c>
      <c r="H1267" t="inlineStr">
        <is>
          <t>San Salvador</t>
        </is>
      </c>
      <c r="I1267" t="inlineStr">
        <is>
          <t>Karla Henríquez</t>
        </is>
      </c>
      <c r="J1267" t="inlineStr">
        <is>
          <t>2277-3402</t>
        </is>
      </c>
      <c r="K1267" t="inlineStr">
        <is>
          <t>Marta Gómez</t>
        </is>
      </c>
      <c r="L1267" t="inlineStr">
        <is>
          <t>Tienda La Bendición</t>
        </is>
      </c>
      <c r="M1267" t="inlineStr">
        <is>
          <t>95045-4</t>
        </is>
      </c>
      <c r="N1267" t="inlineStr">
        <is>
          <t>6142-4109</t>
        </is>
      </c>
      <c r="O1267" t="inlineStr">
        <is>
          <t>Contribuyente</t>
        </is>
      </c>
      <c r="P1267" t="inlineStr">
        <is>
          <t>PAN-002</t>
        </is>
      </c>
      <c r="Q1267" t="inlineStr">
        <is>
          <t>Semita alta</t>
        </is>
      </c>
      <c r="R1267" t="inlineStr">
        <is>
          <t>Panadería</t>
        </is>
      </c>
      <c r="S1267" t="inlineStr">
        <is>
          <t>Panificadora Ilopango</t>
        </is>
      </c>
      <c r="T1267" t="inlineStr">
        <is>
          <t>2295-0081</t>
        </is>
      </c>
      <c r="U1267" t="n">
        <v>1.75</v>
      </c>
      <c r="V1267" t="n">
        <v>4</v>
      </c>
      <c r="W1267" t="n">
        <v>0</v>
      </c>
      <c r="X1267">
        <f>IFERROR(U1267*V1267*(1-W1267/100),"")</f>
        <v/>
      </c>
      <c r="Y1267">
        <f>IFERROR(ROUND(X1267*0.13,2),"")</f>
        <v/>
      </c>
      <c r="Z1267">
        <f>IFERROR(X1267+Y1267,"")</f>
        <v/>
      </c>
      <c r="AA1267" t="inlineStr">
        <is>
          <t>Efectivo</t>
        </is>
      </c>
      <c r="AB1267" t="inlineStr">
        <is>
          <t>Llamar al 7788-1234 antes de entregar</t>
        </is>
      </c>
    </row>
    <row r="1268">
      <c r="A1268" t="inlineStr">
        <is>
          <t>F-11454</t>
        </is>
      </c>
      <c r="B1268" s="3" t="n">
        <v>46227</v>
      </c>
      <c r="C1268" t="inlineStr">
        <is>
          <t>CCF</t>
        </is>
      </c>
      <c r="D1268" t="inlineStr">
        <is>
          <t>SS03</t>
        </is>
      </c>
      <c r="E1268" t="inlineStr">
        <is>
          <t>Soyapango</t>
        </is>
      </c>
      <c r="F1268" t="inlineStr">
        <is>
          <t>Blvd. del Ejército km 4</t>
        </is>
      </c>
      <c r="G1268" t="inlineStr">
        <is>
          <t>Soyapango</t>
        </is>
      </c>
      <c r="H1268" t="inlineStr">
        <is>
          <t>San Salvador</t>
        </is>
      </c>
      <c r="I1268" t="inlineStr">
        <is>
          <t>Karla Henríquez</t>
        </is>
      </c>
      <c r="J1268" t="inlineStr">
        <is>
          <t>2277-3402</t>
        </is>
      </c>
      <c r="K1268" t="inlineStr">
        <is>
          <t>Marta Gómez</t>
        </is>
      </c>
      <c r="L1268" t="inlineStr">
        <is>
          <t>Tienda La Bendición</t>
        </is>
      </c>
      <c r="M1268" t="inlineStr">
        <is>
          <t>95045-4</t>
        </is>
      </c>
      <c r="N1268" t="inlineStr">
        <is>
          <t>6142-4109</t>
        </is>
      </c>
      <c r="O1268" t="inlineStr">
        <is>
          <t>Contribuyente</t>
        </is>
      </c>
      <c r="P1268" t="inlineStr">
        <is>
          <t>CAF-001</t>
        </is>
      </c>
      <c r="Q1268" t="inlineStr">
        <is>
          <t>Café molido 400g</t>
        </is>
      </c>
      <c r="R1268" t="inlineStr">
        <is>
          <t>ABARROTES</t>
        </is>
      </c>
      <c r="S1268" t="inlineStr">
        <is>
          <t>Café Volcán S.A.</t>
        </is>
      </c>
      <c r="T1268" t="inlineStr">
        <is>
          <t>2510-3344</t>
        </is>
      </c>
      <c r="U1268" t="n">
        <v>4.25</v>
      </c>
      <c r="V1268" t="n">
        <v>1</v>
      </c>
      <c r="W1268" t="n">
        <v>0</v>
      </c>
      <c r="X1268">
        <f>IFERROR(U1268*V1268*(1-W1268/100),"")</f>
        <v/>
      </c>
      <c r="Y1268">
        <f>IFERROR(ROUND(X1268*0.13,2),"")</f>
        <v/>
      </c>
      <c r="Z1268">
        <f>IFERROR(X1268+Y1268,"")</f>
        <v/>
      </c>
      <c r="AA1268" t="inlineStr">
        <is>
          <t>Efectivo</t>
        </is>
      </c>
      <c r="AB1268" t="inlineStr">
        <is>
          <t>precio especial autorizado por gerente</t>
        </is>
      </c>
    </row>
    <row r="1269">
      <c r="A1269" t="inlineStr">
        <is>
          <t>F-11456</t>
        </is>
      </c>
      <c r="B1269" t="inlineStr">
        <is>
          <t>2026-07-27</t>
        </is>
      </c>
      <c r="C1269" t="inlineStr">
        <is>
          <t>FCF</t>
        </is>
      </c>
      <c r="D1269" t="inlineStr">
        <is>
          <t>SO01</t>
        </is>
      </c>
      <c r="E1269" t="inlineStr">
        <is>
          <t>SONSONATE</t>
        </is>
      </c>
      <c r="F1269" t="inlineStr">
        <is>
          <t>Calle Obispo Marroquín #3</t>
        </is>
      </c>
      <c r="G1269" t="inlineStr">
        <is>
          <t>Sonsonate</t>
        </is>
      </c>
      <c r="H1269" t="inlineStr">
        <is>
          <t>Sonsonate</t>
        </is>
      </c>
      <c r="I1269" t="inlineStr">
        <is>
          <t>Ernesto Chávez</t>
        </is>
      </c>
      <c r="J1269" t="inlineStr">
        <is>
          <t>2451-2288</t>
        </is>
      </c>
      <c r="K1269" t="inlineStr">
        <is>
          <t>Ricardo Funes</t>
        </is>
      </c>
      <c r="L1269" t="inlineStr">
        <is>
          <t>Carlos Castillo Argueta</t>
        </is>
      </c>
      <c r="M1269" t="inlineStr">
        <is>
          <t>08586960-1</t>
        </is>
      </c>
      <c r="N1269" t="inlineStr">
        <is>
          <t>2715-7891</t>
        </is>
      </c>
      <c r="O1269" t="inlineStr">
        <is>
          <t>Consumidor final</t>
        </is>
      </c>
      <c r="P1269" t="inlineStr">
        <is>
          <t>LAC-002</t>
        </is>
      </c>
      <c r="Q1269" t="inlineStr">
        <is>
          <t>Crema 500ml</t>
        </is>
      </c>
      <c r="R1269" t="inlineStr">
        <is>
          <t>Lacteos</t>
        </is>
      </c>
      <c r="S1269" t="inlineStr">
        <is>
          <t>Lácteos Chalate</t>
        </is>
      </c>
      <c r="T1269" t="inlineStr">
        <is>
          <t>2335-1020</t>
        </is>
      </c>
      <c r="U1269" t="n">
        <v>2.25</v>
      </c>
      <c r="V1269" t="n">
        <v>2</v>
      </c>
      <c r="W1269" t="n">
        <v>0</v>
      </c>
      <c r="X1269">
        <f>IFERROR(U1269*V1269*(1-W1269/100),"")</f>
        <v/>
      </c>
      <c r="Y1269">
        <f>IFERROR(ROUND(X1269*0.13,2),"")</f>
        <v/>
      </c>
      <c r="Z1269">
        <f>IFERROR(X1269+Y1269,"")</f>
        <v/>
      </c>
      <c r="AA1269" t="inlineStr">
        <is>
          <t>Bitcoin</t>
        </is>
      </c>
      <c r="AB1269" t="inlineStr"/>
    </row>
    <row r="1270">
      <c r="A1270" t="inlineStr">
        <is>
          <t>F-11457</t>
        </is>
      </c>
      <c r="B1270" t="inlineStr">
        <is>
          <t>2026-08-09</t>
        </is>
      </c>
      <c r="C1270" t="inlineStr">
        <is>
          <t>Factura</t>
        </is>
      </c>
      <c r="D1270" t="inlineStr">
        <is>
          <t>SS01</t>
        </is>
      </c>
      <c r="E1270" t="inlineStr">
        <is>
          <t>SAN SALVADOR CENTRO</t>
        </is>
      </c>
      <c r="F1270" t="inlineStr">
        <is>
          <t>4a Calle Poniente #215</t>
        </is>
      </c>
      <c r="G1270" t="inlineStr">
        <is>
          <t>San Salvador</t>
        </is>
      </c>
      <c r="H1270" t="inlineStr">
        <is>
          <t>San Salvador</t>
        </is>
      </c>
      <c r="I1270" t="inlineStr">
        <is>
          <t>Roberto Alfaro</t>
        </is>
      </c>
      <c r="J1270" t="inlineStr">
        <is>
          <t>2221-4580</t>
        </is>
      </c>
      <c r="K1270" t="inlineStr">
        <is>
          <t>Daniela Orellana</t>
        </is>
      </c>
      <c r="L1270" t="inlineStr">
        <is>
          <t>Silvia Mejía Sorto</t>
        </is>
      </c>
      <c r="M1270" t="inlineStr">
        <is>
          <t>08942439-6</t>
        </is>
      </c>
      <c r="N1270" t="inlineStr">
        <is>
          <t>2492-5995</t>
        </is>
      </c>
      <c r="O1270" t="inlineStr">
        <is>
          <t>Consumidor final</t>
        </is>
      </c>
      <c r="P1270" t="inlineStr">
        <is>
          <t>FRI-001</t>
        </is>
      </c>
      <c r="Q1270" t="inlineStr">
        <is>
          <t>Frijol rojo de seda 2lb</t>
        </is>
      </c>
      <c r="R1270" t="inlineStr">
        <is>
          <t>Abarrotes</t>
        </is>
      </c>
      <c r="S1270" t="inlineStr">
        <is>
          <t>Granos del Pacífico</t>
        </is>
      </c>
      <c r="T1270" t="inlineStr">
        <is>
          <t>2234-8890</t>
        </is>
      </c>
      <c r="U1270" t="inlineStr">
        <is>
          <t>$2.40</t>
        </is>
      </c>
      <c r="V1270" t="n">
        <v>24</v>
      </c>
      <c r="W1270" t="n">
        <v>0</v>
      </c>
      <c r="X1270">
        <f>IFERROR(U1270*V1270*(1-W1270/100),"")</f>
        <v/>
      </c>
      <c r="Y1270">
        <f>IFERROR(ROUND(X1270*0.13,2),"")</f>
        <v/>
      </c>
      <c r="Z1270">
        <f>IFERROR(X1270+Y1270,"")</f>
        <v/>
      </c>
      <c r="AA1270" t="inlineStr">
        <is>
          <t>Bitcoin</t>
        </is>
      </c>
      <c r="AB1270" t="inlineStr"/>
    </row>
    <row r="1271">
      <c r="A1271" t="inlineStr">
        <is>
          <t>F-11460</t>
        </is>
      </c>
      <c r="B1271" s="3" t="n">
        <v>46231</v>
      </c>
      <c r="C1271" t="inlineStr">
        <is>
          <t>Factura</t>
        </is>
      </c>
      <c r="D1271" t="inlineStr">
        <is>
          <t>SA01</t>
        </is>
      </c>
      <c r="E1271" t="inlineStr">
        <is>
          <t>Santa Ana</t>
        </is>
      </c>
      <c r="F1271" t="inlineStr">
        <is>
          <t>Av. Independencia Sur #12</t>
        </is>
      </c>
      <c r="G1271" t="inlineStr">
        <is>
          <t>Santa Ana</t>
        </is>
      </c>
      <c r="H1271" t="inlineStr">
        <is>
          <t>Santa Ana</t>
        </is>
      </c>
      <c r="I1271" t="inlineStr">
        <is>
          <t>Mauricio Linares</t>
        </is>
      </c>
      <c r="J1271" t="inlineStr">
        <is>
          <t>2440-9921</t>
        </is>
      </c>
      <c r="K1271" t="inlineStr">
        <is>
          <t>Diego Zelaya</t>
        </is>
      </c>
      <c r="L1271" t="inlineStr">
        <is>
          <t>María López Lemus</t>
        </is>
      </c>
      <c r="M1271" t="inlineStr">
        <is>
          <t>09741522-8</t>
        </is>
      </c>
      <c r="N1271" t="inlineStr">
        <is>
          <t>2724-4257</t>
        </is>
      </c>
      <c r="O1271" t="inlineStr">
        <is>
          <t>Consumidor final</t>
        </is>
      </c>
      <c r="P1271" t="inlineStr">
        <is>
          <t>PAN-001</t>
        </is>
      </c>
      <c r="Q1271" t="inlineStr">
        <is>
          <t>Pan francés bolsa 10u</t>
        </is>
      </c>
      <c r="R1271" t="inlineStr">
        <is>
          <t>Panaderia</t>
        </is>
      </c>
      <c r="S1271" t="inlineStr">
        <is>
          <t>Panificadora Ilopango</t>
        </is>
      </c>
      <c r="T1271" t="inlineStr">
        <is>
          <t>2295-0081</t>
        </is>
      </c>
      <c r="U1271" t="n">
        <v>1</v>
      </c>
      <c r="V1271" t="n">
        <v>6</v>
      </c>
      <c r="W1271" t="n">
        <v>0</v>
      </c>
      <c r="X1271">
        <f>IFERROR(U1271*V1271*(1-W1271/100),"")</f>
        <v/>
      </c>
      <c r="Y1271">
        <f>IFERROR(ROUND(X1271*0.13,2),"")</f>
        <v/>
      </c>
      <c r="Z1271">
        <f>IFERROR(X1271+Y1271,"")</f>
        <v/>
      </c>
      <c r="AA1271" t="inlineStr">
        <is>
          <t>Transferencia</t>
        </is>
      </c>
      <c r="AB1271" t="inlineStr"/>
    </row>
    <row r="1272">
      <c r="A1272" t="inlineStr">
        <is>
          <t>F-11460</t>
        </is>
      </c>
      <c r="B1272" t="inlineStr">
        <is>
          <t>2026-07-28</t>
        </is>
      </c>
      <c r="C1272" t="inlineStr">
        <is>
          <t>Factura</t>
        </is>
      </c>
      <c r="D1272" t="inlineStr">
        <is>
          <t>SA01</t>
        </is>
      </c>
      <c r="E1272" t="inlineStr">
        <is>
          <t>Santa Ana</t>
        </is>
      </c>
      <c r="F1272" t="inlineStr">
        <is>
          <t>Av. Independencia Sur #12</t>
        </is>
      </c>
      <c r="G1272" t="inlineStr">
        <is>
          <t>Santa Ana</t>
        </is>
      </c>
      <c r="H1272" t="inlineStr">
        <is>
          <t>Santa Ana</t>
        </is>
      </c>
      <c r="I1272" t="inlineStr">
        <is>
          <t>Mauricio Linares</t>
        </is>
      </c>
      <c r="J1272" t="inlineStr">
        <is>
          <t>2440-9921</t>
        </is>
      </c>
      <c r="K1272" t="inlineStr">
        <is>
          <t>Diego Zelaya</t>
        </is>
      </c>
      <c r="L1272" t="inlineStr">
        <is>
          <t>María López Lemus</t>
        </is>
      </c>
      <c r="M1272" t="inlineStr">
        <is>
          <t>09741522-8</t>
        </is>
      </c>
      <c r="N1272" t="inlineStr">
        <is>
          <t>2724-4257</t>
        </is>
      </c>
      <c r="O1272" t="inlineStr">
        <is>
          <t>Consumidor final</t>
        </is>
      </c>
      <c r="P1272" t="inlineStr">
        <is>
          <t>HIG-003</t>
        </is>
      </c>
      <c r="Q1272" t="inlineStr">
        <is>
          <t>Jabón de lavar barra</t>
        </is>
      </c>
      <c r="R1272" t="inlineStr">
        <is>
          <t>Limpieza</t>
        </is>
      </c>
      <c r="S1272" t="inlineStr">
        <is>
          <t>Higiene Total C.A.</t>
        </is>
      </c>
      <c r="T1272" t="inlineStr">
        <is>
          <t>2207-5566</t>
        </is>
      </c>
      <c r="U1272" t="n">
        <v>0.75</v>
      </c>
      <c r="V1272" t="n">
        <v>1</v>
      </c>
      <c r="W1272" t="n">
        <v>0</v>
      </c>
      <c r="X1272">
        <f>IFERROR(U1272*V1272*(1-W1272/100),"")</f>
        <v/>
      </c>
      <c r="Y1272">
        <f>IFERROR(ROUND(X1272*0.13,2),"")</f>
        <v/>
      </c>
      <c r="Z1272">
        <f>IFERROR(X1272+Y1272,"")</f>
        <v/>
      </c>
      <c r="AA1272" t="inlineStr">
        <is>
          <t>Transferencia</t>
        </is>
      </c>
      <c r="AB1272" t="inlineStr">
        <is>
          <t>Cliente frecuente</t>
        </is>
      </c>
    </row>
    <row r="1273">
      <c r="A1273" t="inlineStr">
        <is>
          <t>F-11460</t>
        </is>
      </c>
      <c r="B1273" s="3" t="n">
        <v>46231</v>
      </c>
      <c r="C1273" t="inlineStr">
        <is>
          <t>Factura</t>
        </is>
      </c>
      <c r="D1273" t="inlineStr">
        <is>
          <t>SA01</t>
        </is>
      </c>
      <c r="E1273" t="inlineStr">
        <is>
          <t>Santa  Ana</t>
        </is>
      </c>
      <c r="F1273" t="inlineStr">
        <is>
          <t>Av. Independencia Sur #12</t>
        </is>
      </c>
      <c r="G1273" t="inlineStr">
        <is>
          <t>Santa Ana</t>
        </is>
      </c>
      <c r="H1273" t="inlineStr">
        <is>
          <t>Santa Ana</t>
        </is>
      </c>
      <c r="I1273" t="inlineStr">
        <is>
          <t>Mauricio Linares</t>
        </is>
      </c>
      <c r="J1273" t="inlineStr">
        <is>
          <t>2440-9921</t>
        </is>
      </c>
      <c r="K1273" t="inlineStr">
        <is>
          <t>Diego Zelaya</t>
        </is>
      </c>
      <c r="L1273" t="inlineStr">
        <is>
          <t>María López Lemus</t>
        </is>
      </c>
      <c r="M1273" t="inlineStr">
        <is>
          <t>09741522-8</t>
        </is>
      </c>
      <c r="N1273" t="inlineStr">
        <is>
          <t>2724-4257</t>
        </is>
      </c>
      <c r="O1273" t="inlineStr">
        <is>
          <t>Consumidor final</t>
        </is>
      </c>
      <c r="P1273" t="inlineStr">
        <is>
          <t>LAC-001</t>
        </is>
      </c>
      <c r="Q1273" t="inlineStr">
        <is>
          <t>Quesillo 1lb</t>
        </is>
      </c>
      <c r="R1273" t="inlineStr">
        <is>
          <t>Lácteos</t>
        </is>
      </c>
      <c r="S1273" t="inlineStr">
        <is>
          <t>Lácteos Chalate</t>
        </is>
      </c>
      <c r="T1273" t="inlineStr">
        <is>
          <t>2335-1020</t>
        </is>
      </c>
      <c r="U1273" t="n">
        <v>3.8</v>
      </c>
      <c r="V1273" t="n">
        <v>1</v>
      </c>
      <c r="W1273" t="n">
        <v>0</v>
      </c>
      <c r="X1273">
        <f>IFERROR(U1273*V1273*(1-W1273/100),"")</f>
        <v/>
      </c>
      <c r="Y1273">
        <f>IFERROR(ROUND(X1273*0.13,2),"")</f>
        <v/>
      </c>
      <c r="Z1273">
        <f>IFERROR(X1273+Y1273,"")</f>
        <v/>
      </c>
      <c r="AA1273" t="inlineStr">
        <is>
          <t>Transferencia</t>
        </is>
      </c>
      <c r="AB1273" t="inlineStr">
        <is>
          <t>precio especial autorizado por gerente</t>
        </is>
      </c>
    </row>
    <row r="1274">
      <c r="A1274" t="inlineStr">
        <is>
          <t>F-11461</t>
        </is>
      </c>
      <c r="B1274" s="3" t="n">
        <v>46289</v>
      </c>
      <c r="C1274" t="inlineStr">
        <is>
          <t>factura</t>
        </is>
      </c>
      <c r="D1274" t="inlineStr">
        <is>
          <t>LL02</t>
        </is>
      </c>
      <c r="E1274" t="inlineStr">
        <is>
          <t>Pto. La Libertad</t>
        </is>
      </c>
      <c r="F1274" t="inlineStr">
        <is>
          <t>Calle El Malecón, Local 4</t>
        </is>
      </c>
      <c r="G1274" t="inlineStr">
        <is>
          <t>La Libertad</t>
        </is>
      </c>
      <c r="H1274" t="inlineStr">
        <is>
          <t>La Libertad</t>
        </is>
      </c>
      <c r="I1274" t="inlineStr">
        <is>
          <t>Wendy Aguilar</t>
        </is>
      </c>
      <c r="J1274" t="inlineStr">
        <is>
          <t>2335-6140</t>
        </is>
      </c>
      <c r="K1274" t="inlineStr">
        <is>
          <t>Gabriela Saravia</t>
        </is>
      </c>
      <c r="L1274" t="inlineStr">
        <is>
          <t>Sandra Rivera Pérez</t>
        </is>
      </c>
      <c r="M1274" t="inlineStr">
        <is>
          <t>00391949-0</t>
        </is>
      </c>
      <c r="N1274" t="inlineStr">
        <is>
          <t>6654-8845</t>
        </is>
      </c>
      <c r="O1274" t="inlineStr">
        <is>
          <t>Consumidor final</t>
        </is>
      </c>
      <c r="P1274" t="inlineStr">
        <is>
          <t>HIG-002</t>
        </is>
      </c>
      <c r="Q1274" t="inlineStr">
        <is>
          <t>Papel higiénico 4 rollos</t>
        </is>
      </c>
      <c r="R1274" t="inlineStr">
        <is>
          <t>Higiene</t>
        </is>
      </c>
      <c r="S1274" t="inlineStr">
        <is>
          <t>Higiene Total C.A.</t>
        </is>
      </c>
      <c r="T1274" t="inlineStr">
        <is>
          <t>2207-5566</t>
        </is>
      </c>
      <c r="U1274" t="n">
        <v>2.15</v>
      </c>
      <c r="V1274" t="n">
        <v>-1</v>
      </c>
      <c r="W1274" t="n">
        <v>0</v>
      </c>
      <c r="X1274">
        <f>IFERROR(U1274*V1274*(1-W1274/100),"")</f>
        <v/>
      </c>
      <c r="Y1274">
        <f>IFERROR(ROUND(X1274*0.13,2),"")</f>
        <v/>
      </c>
      <c r="Z1274">
        <f>IFERROR(X1274+Y1274,"")</f>
        <v/>
      </c>
      <c r="AA1274" t="inlineStr">
        <is>
          <t>Tarjeta</t>
        </is>
      </c>
      <c r="AB1274" t="inlineStr"/>
    </row>
    <row r="1275">
      <c r="A1275" t="inlineStr">
        <is>
          <t>F-11461</t>
        </is>
      </c>
      <c r="B1275" s="3" t="n">
        <v>46289</v>
      </c>
      <c r="C1275" t="inlineStr">
        <is>
          <t>factura</t>
        </is>
      </c>
      <c r="D1275" t="inlineStr">
        <is>
          <t>LL02</t>
        </is>
      </c>
      <c r="E1275" t="inlineStr">
        <is>
          <t>La Libertad Puerto</t>
        </is>
      </c>
      <c r="F1275" t="inlineStr">
        <is>
          <t>Calle El Malecón, Local 4</t>
        </is>
      </c>
      <c r="G1275" t="inlineStr">
        <is>
          <t>La Libertad</t>
        </is>
      </c>
      <c r="H1275" t="inlineStr">
        <is>
          <t>La Libertad</t>
        </is>
      </c>
      <c r="I1275" t="inlineStr">
        <is>
          <t>Wendy Aguilar</t>
        </is>
      </c>
      <c r="J1275" t="inlineStr">
        <is>
          <t>2335-6140</t>
        </is>
      </c>
      <c r="K1275" t="inlineStr">
        <is>
          <t>Gabriela Saravia</t>
        </is>
      </c>
      <c r="L1275" t="inlineStr">
        <is>
          <t>Sandra Rivera Pérez</t>
        </is>
      </c>
      <c r="M1275" t="inlineStr">
        <is>
          <t>00391949-0</t>
        </is>
      </c>
      <c r="N1275" t="inlineStr">
        <is>
          <t>6654-8845</t>
        </is>
      </c>
      <c r="O1275" t="inlineStr">
        <is>
          <t>Consumidor final</t>
        </is>
      </c>
      <c r="P1275" t="inlineStr">
        <is>
          <t>HIG-003</t>
        </is>
      </c>
      <c r="Q1275" t="inlineStr">
        <is>
          <t>Jabón de lavar barra</t>
        </is>
      </c>
      <c r="R1275" t="inlineStr">
        <is>
          <t>Limpieza</t>
        </is>
      </c>
      <c r="S1275" t="inlineStr">
        <is>
          <t>Higiene Total C.A.</t>
        </is>
      </c>
      <c r="T1275" t="inlineStr">
        <is>
          <t>2207-5566</t>
        </is>
      </c>
      <c r="U1275" t="n">
        <v>0.75</v>
      </c>
      <c r="V1275" t="n">
        <v>2</v>
      </c>
      <c r="W1275" t="n">
        <v>0</v>
      </c>
      <c r="X1275">
        <f>IFERROR(U1275*V1275*(1-W1275/100),"")</f>
        <v/>
      </c>
      <c r="Y1275">
        <f>IFERROR(ROUND(X1275*0.13,2),"")</f>
        <v/>
      </c>
      <c r="Z1275">
        <f>IFERROR(X1275+Y1275,"")</f>
        <v/>
      </c>
      <c r="AA1275" t="inlineStr">
        <is>
          <t>Tarjeta</t>
        </is>
      </c>
      <c r="AB1275" t="inlineStr"/>
    </row>
    <row r="1276">
      <c r="A1276" t="inlineStr">
        <is>
          <t>F-11461</t>
        </is>
      </c>
      <c r="B1276" s="3" t="n">
        <v>46289</v>
      </c>
      <c r="C1276" t="inlineStr">
        <is>
          <t>factura</t>
        </is>
      </c>
      <c r="D1276" t="inlineStr">
        <is>
          <t>LL02</t>
        </is>
      </c>
      <c r="E1276" t="inlineStr">
        <is>
          <t>Pto. La Libertad</t>
        </is>
      </c>
      <c r="F1276" t="inlineStr">
        <is>
          <t>Calle El Malecón, Local 4</t>
        </is>
      </c>
      <c r="G1276" t="inlineStr">
        <is>
          <t>La Libertad</t>
        </is>
      </c>
      <c r="H1276" t="inlineStr">
        <is>
          <t>La Libertad</t>
        </is>
      </c>
      <c r="I1276" t="inlineStr">
        <is>
          <t>Wendy Aguilar</t>
        </is>
      </c>
      <c r="J1276" t="inlineStr">
        <is>
          <t>2335-6140</t>
        </is>
      </c>
      <c r="K1276" t="inlineStr">
        <is>
          <t>Gabriela Saravia</t>
        </is>
      </c>
      <c r="L1276" t="inlineStr">
        <is>
          <t>Sandra Rivera Pérez</t>
        </is>
      </c>
      <c r="M1276" t="inlineStr">
        <is>
          <t>00391949-0</t>
        </is>
      </c>
      <c r="N1276" t="inlineStr">
        <is>
          <t>6654-8845</t>
        </is>
      </c>
      <c r="O1276" t="inlineStr">
        <is>
          <t>Consumidor final</t>
        </is>
      </c>
      <c r="P1276" t="inlineStr">
        <is>
          <t>BEB-003</t>
        </is>
      </c>
      <c r="Q1276" t="inlineStr">
        <is>
          <t>Horchata en polvo 400g</t>
        </is>
      </c>
      <c r="R1276" t="inlineStr">
        <is>
          <t>Abarrotes</t>
        </is>
      </c>
      <c r="S1276" t="inlineStr">
        <is>
          <t>Bebidas Izalco</t>
        </is>
      </c>
      <c r="T1276" t="inlineStr">
        <is>
          <t>2450-7700</t>
        </is>
      </c>
      <c r="U1276" t="n">
        <v>2.6</v>
      </c>
      <c r="V1276" t="n">
        <v>1</v>
      </c>
      <c r="W1276" t="n">
        <v>0</v>
      </c>
      <c r="X1276">
        <f>IFERROR(U1276*V1276*(1-W1276/100),"")</f>
        <v/>
      </c>
      <c r="Y1276">
        <f>IFERROR(ROUND(X1276*0.13,2),"")</f>
        <v/>
      </c>
      <c r="Z1276">
        <f>IFERROR(X1276+Y1276,"")</f>
        <v/>
      </c>
      <c r="AA1276" t="inlineStr">
        <is>
          <t>Tarjeta</t>
        </is>
      </c>
      <c r="AB1276" t="inlineStr"/>
    </row>
    <row r="1277">
      <c r="A1277" t="inlineStr">
        <is>
          <t>F-11461</t>
        </is>
      </c>
      <c r="B1277" s="3" t="n">
        <v>46289</v>
      </c>
      <c r="C1277" t="inlineStr">
        <is>
          <t>factura</t>
        </is>
      </c>
      <c r="D1277" t="inlineStr">
        <is>
          <t>LL02</t>
        </is>
      </c>
      <c r="E1277" t="inlineStr">
        <is>
          <t>Puerto de La Libertad</t>
        </is>
      </c>
      <c r="F1277" t="inlineStr">
        <is>
          <t>Calle El Malecón, Local 4</t>
        </is>
      </c>
      <c r="G1277" t="inlineStr">
        <is>
          <t>La Libertad</t>
        </is>
      </c>
      <c r="H1277" t="inlineStr">
        <is>
          <t>La Libertad</t>
        </is>
      </c>
      <c r="I1277" t="inlineStr">
        <is>
          <t>Wendy Aguilar</t>
        </is>
      </c>
      <c r="J1277" t="inlineStr">
        <is>
          <t>2335-6140</t>
        </is>
      </c>
      <c r="K1277" t="inlineStr">
        <is>
          <t>Gabriela Saravia</t>
        </is>
      </c>
      <c r="L1277" t="inlineStr">
        <is>
          <t>Sandra Rivera Pérez</t>
        </is>
      </c>
      <c r="M1277" t="inlineStr">
        <is>
          <t>00391949-0</t>
        </is>
      </c>
      <c r="N1277" t="inlineStr">
        <is>
          <t>6654-8845</t>
        </is>
      </c>
      <c r="O1277" t="inlineStr">
        <is>
          <t>Consumidor final</t>
        </is>
      </c>
      <c r="P1277" t="inlineStr">
        <is>
          <t>PAN-002</t>
        </is>
      </c>
      <c r="Q1277" t="inlineStr">
        <is>
          <t>Semita alta</t>
        </is>
      </c>
      <c r="R1277" t="inlineStr">
        <is>
          <t>Panadería</t>
        </is>
      </c>
      <c r="S1277" t="inlineStr">
        <is>
          <t>Panificadora Ilopango</t>
        </is>
      </c>
      <c r="T1277" t="inlineStr">
        <is>
          <t>2295-0081</t>
        </is>
      </c>
      <c r="U1277" t="n">
        <v>1.75</v>
      </c>
      <c r="V1277" t="n">
        <v>12</v>
      </c>
      <c r="W1277" t="n">
        <v>0</v>
      </c>
      <c r="X1277">
        <f>IFERROR(U1277*V1277*(1-W1277/100),"")</f>
        <v/>
      </c>
      <c r="Y1277">
        <f>IFERROR(ROUND(X1277*0.13,2),"")</f>
        <v/>
      </c>
      <c r="Z1277">
        <f>IFERROR(X1277+Y1277,"")</f>
        <v/>
      </c>
      <c r="AA1277" t="inlineStr">
        <is>
          <t>Tarjeta</t>
        </is>
      </c>
      <c r="AB1277" t="inlineStr"/>
    </row>
    <row r="1278">
      <c r="A1278" t="inlineStr">
        <is>
          <t>F-11464</t>
        </is>
      </c>
      <c r="B1278" s="3" t="n">
        <v>46206</v>
      </c>
      <c r="C1278" t="inlineStr">
        <is>
          <t>Factura</t>
        </is>
      </c>
      <c r="D1278" t="inlineStr">
        <is>
          <t>SS02</t>
        </is>
      </c>
      <c r="E1278" t="inlineStr">
        <is>
          <t>Escalon</t>
        </is>
      </c>
      <c r="F1278" t="inlineStr">
        <is>
          <t>Paseo General Escalón #3910</t>
        </is>
      </c>
      <c r="G1278" t="inlineStr">
        <is>
          <t>San Salvador</t>
        </is>
      </c>
      <c r="H1278" t="inlineStr">
        <is>
          <t>San Salvador</t>
        </is>
      </c>
      <c r="I1278" t="inlineStr">
        <is>
          <t>Claudia Menjívar</t>
        </is>
      </c>
      <c r="J1278" t="inlineStr">
        <is>
          <t>2264-1190</t>
        </is>
      </c>
      <c r="K1278" t="inlineStr">
        <is>
          <t>Fátima Rosales</t>
        </is>
      </c>
      <c r="L1278" t="inlineStr">
        <is>
          <t>Sandra Rivera Pérez</t>
        </is>
      </c>
      <c r="M1278" t="inlineStr">
        <is>
          <t>00391949-0</t>
        </is>
      </c>
      <c r="N1278" t="inlineStr">
        <is>
          <t>6654-8845</t>
        </is>
      </c>
      <c r="O1278" t="inlineStr">
        <is>
          <t>Consumidor final</t>
        </is>
      </c>
      <c r="P1278" t="inlineStr">
        <is>
          <t>BEB-002</t>
        </is>
      </c>
      <c r="Q1278" t="inlineStr">
        <is>
          <t>Agua purificada 1 galón</t>
        </is>
      </c>
      <c r="R1278" t="inlineStr">
        <is>
          <t>Bebidas</t>
        </is>
      </c>
      <c r="S1278" t="inlineStr">
        <is>
          <t>Bebidas Izalco</t>
        </is>
      </c>
      <c r="T1278" t="inlineStr">
        <is>
          <t>2450-7700</t>
        </is>
      </c>
      <c r="U1278" t="n">
        <v>1.1</v>
      </c>
      <c r="V1278" t="n">
        <v>3</v>
      </c>
      <c r="W1278" t="n">
        <v>0</v>
      </c>
      <c r="X1278">
        <f>IFERROR(U1278*V1278*(1-W1278/100),"")</f>
        <v/>
      </c>
      <c r="Y1278">
        <f>IFERROR(ROUND(X1278*0.13,2),"")</f>
        <v/>
      </c>
      <c r="Z1278">
        <f>IFERROR(X1278+Y1278,"")</f>
        <v/>
      </c>
      <c r="AA1278" t="inlineStr">
        <is>
          <t>Efectivo</t>
        </is>
      </c>
      <c r="AB1278" t="inlineStr"/>
    </row>
    <row r="1279">
      <c r="A1279" t="inlineStr">
        <is>
          <t>F-11464</t>
        </is>
      </c>
      <c r="B1279" s="3" t="n">
        <v>46206</v>
      </c>
      <c r="C1279" t="inlineStr">
        <is>
          <t>Factura</t>
        </is>
      </c>
      <c r="D1279" t="inlineStr">
        <is>
          <t>SS02</t>
        </is>
      </c>
      <c r="E1279" t="inlineStr">
        <is>
          <t>Col. Escalón</t>
        </is>
      </c>
      <c r="F1279" t="inlineStr">
        <is>
          <t>Paseo General Escalón #3910</t>
        </is>
      </c>
      <c r="G1279" t="inlineStr">
        <is>
          <t>San Salvador</t>
        </is>
      </c>
      <c r="H1279" t="inlineStr">
        <is>
          <t>San Salvador</t>
        </is>
      </c>
      <c r="I1279" t="inlineStr">
        <is>
          <t>Claudia Menjívar</t>
        </is>
      </c>
      <c r="J1279" t="inlineStr">
        <is>
          <t>2264-1190</t>
        </is>
      </c>
      <c r="K1279" t="inlineStr">
        <is>
          <t>Fátima Rosales</t>
        </is>
      </c>
      <c r="L1279" t="inlineStr">
        <is>
          <t>SANDRA RIVERA PÉREZ</t>
        </is>
      </c>
      <c r="M1279" t="inlineStr">
        <is>
          <t>00391949-0</t>
        </is>
      </c>
      <c r="N1279" t="inlineStr">
        <is>
          <t>6654-8845</t>
        </is>
      </c>
      <c r="O1279" t="inlineStr">
        <is>
          <t>Consumidor final</t>
        </is>
      </c>
      <c r="P1279" t="inlineStr">
        <is>
          <t>CAF-002</t>
        </is>
      </c>
      <c r="Q1279" t="inlineStr">
        <is>
          <t>Café en grano 1lb</t>
        </is>
      </c>
      <c r="R1279" t="inlineStr">
        <is>
          <t>Abarrotes</t>
        </is>
      </c>
      <c r="S1279" t="inlineStr">
        <is>
          <t>Café Volcán S.A.</t>
        </is>
      </c>
      <c r="T1279" t="inlineStr">
        <is>
          <t>2510-3344</t>
        </is>
      </c>
      <c r="U1279" t="n">
        <v>6.75</v>
      </c>
      <c r="V1279" t="n">
        <v>2</v>
      </c>
      <c r="W1279" t="n">
        <v>0</v>
      </c>
      <c r="X1279">
        <f>IFERROR(U1279*V1279*(1-W1279/100),"")</f>
        <v/>
      </c>
      <c r="Y1279">
        <f>IFERROR(ROUND(X1279*0.13,2),"")</f>
        <v/>
      </c>
      <c r="Z1279">
        <f>IFERROR(X1279+Y1279,"")</f>
        <v/>
      </c>
      <c r="AA1279" t="inlineStr">
        <is>
          <t>Efectivo</t>
        </is>
      </c>
      <c r="AB1279" t="inlineStr"/>
    </row>
    <row r="1280">
      <c r="A1280" t="inlineStr">
        <is>
          <t>F-11464</t>
        </is>
      </c>
      <c r="B1280" t="inlineStr">
        <is>
          <t>03-Jul-26</t>
        </is>
      </c>
      <c r="C1280" t="inlineStr">
        <is>
          <t>Factura</t>
        </is>
      </c>
      <c r="D1280" t="inlineStr">
        <is>
          <t>SS02</t>
        </is>
      </c>
      <c r="E1280" t="inlineStr">
        <is>
          <t>Escalón</t>
        </is>
      </c>
      <c r="F1280" t="inlineStr">
        <is>
          <t>Paseo General Escalón #3910</t>
        </is>
      </c>
      <c r="G1280" t="inlineStr">
        <is>
          <t>San Salvador</t>
        </is>
      </c>
      <c r="H1280" t="inlineStr">
        <is>
          <t>San Salvador</t>
        </is>
      </c>
      <c r="I1280" t="inlineStr">
        <is>
          <t>Claudia Menjívar</t>
        </is>
      </c>
      <c r="J1280" t="inlineStr">
        <is>
          <t>2264-1190</t>
        </is>
      </c>
      <c r="K1280" t="inlineStr">
        <is>
          <t>Fátima Rosales</t>
        </is>
      </c>
      <c r="L1280" t="inlineStr">
        <is>
          <t>Sandra Rivera Pérez</t>
        </is>
      </c>
      <c r="M1280" t="inlineStr">
        <is>
          <t>00391949-0</t>
        </is>
      </c>
      <c r="N1280" t="inlineStr">
        <is>
          <t>6654-8845</t>
        </is>
      </c>
      <c r="O1280" t="inlineStr">
        <is>
          <t>Consumidor final</t>
        </is>
      </c>
      <c r="P1280" t="inlineStr">
        <is>
          <t>CAF-001</t>
        </is>
      </c>
      <c r="Q1280" t="inlineStr">
        <is>
          <t>Café molido 400g</t>
        </is>
      </c>
      <c r="R1280" t="inlineStr">
        <is>
          <t>Abarrotes</t>
        </is>
      </c>
      <c r="S1280" t="inlineStr">
        <is>
          <t>Café Volcán S.A.</t>
        </is>
      </c>
      <c r="T1280" t="inlineStr">
        <is>
          <t>2510-3344</t>
        </is>
      </c>
      <c r="U1280" t="inlineStr">
        <is>
          <t>$4.25</t>
        </is>
      </c>
      <c r="V1280" t="n">
        <v>1</v>
      </c>
      <c r="W1280" t="n">
        <v>0</v>
      </c>
      <c r="X1280">
        <f>IFERROR(U1280*V1280*(1-W1280/100),"")</f>
        <v/>
      </c>
      <c r="Y1280">
        <f>IFERROR(ROUND(X1280*0.13,2),"")</f>
        <v/>
      </c>
      <c r="Z1280">
        <f>IFERROR(X1280+Y1280,"")</f>
        <v/>
      </c>
      <c r="AA1280" t="inlineStr">
        <is>
          <t>Efectivo</t>
        </is>
      </c>
      <c r="AB1280" t="inlineStr">
        <is>
          <t>pagó con billete de $100</t>
        </is>
      </c>
    </row>
    <row r="1281">
      <c r="A1281" t="inlineStr">
        <is>
          <t>F-11464</t>
        </is>
      </c>
      <c r="B1281" t="inlineStr">
        <is>
          <t>03/07/2026</t>
        </is>
      </c>
      <c r="C1281" t="inlineStr">
        <is>
          <t>Factura</t>
        </is>
      </c>
      <c r="D1281" t="inlineStr">
        <is>
          <t>SS02</t>
        </is>
      </c>
      <c r="E1281" t="inlineStr">
        <is>
          <t>Col. Escalón</t>
        </is>
      </c>
      <c r="F1281" t="inlineStr">
        <is>
          <t>Paseo General Escalón #3910</t>
        </is>
      </c>
      <c r="G1281" t="inlineStr">
        <is>
          <t>San Salvador</t>
        </is>
      </c>
      <c r="H1281" t="inlineStr">
        <is>
          <t>San Salvador</t>
        </is>
      </c>
      <c r="I1281" t="inlineStr">
        <is>
          <t>Claudia Menjívar</t>
        </is>
      </c>
      <c r="J1281" t="inlineStr">
        <is>
          <t>2264-1190</t>
        </is>
      </c>
      <c r="K1281" t="inlineStr">
        <is>
          <t>Fátima Rosales</t>
        </is>
      </c>
      <c r="L1281" t="inlineStr">
        <is>
          <t>Sandra Rivera Pérez</t>
        </is>
      </c>
      <c r="M1281" t="inlineStr">
        <is>
          <t>00391949-0</t>
        </is>
      </c>
      <c r="N1281" t="inlineStr">
        <is>
          <t>6654-8845</t>
        </is>
      </c>
      <c r="O1281" t="inlineStr">
        <is>
          <t>Consumidor final</t>
        </is>
      </c>
      <c r="P1281" t="inlineStr">
        <is>
          <t>LAC-001</t>
        </is>
      </c>
      <c r="Q1281" t="inlineStr">
        <is>
          <t>Quesillo 1lb</t>
        </is>
      </c>
      <c r="R1281" t="inlineStr">
        <is>
          <t>Lacteos</t>
        </is>
      </c>
      <c r="S1281" t="inlineStr">
        <is>
          <t>Lácteos Chalate</t>
        </is>
      </c>
      <c r="T1281" t="inlineStr">
        <is>
          <t>7120-4455</t>
        </is>
      </c>
      <c r="U1281" t="n">
        <v>3.8</v>
      </c>
      <c r="V1281" t="n">
        <v>2</v>
      </c>
      <c r="W1281" t="n">
        <v>0</v>
      </c>
      <c r="X1281">
        <f>IFERROR(U1281*V1281*(1-W1281/100),"")</f>
        <v/>
      </c>
      <c r="Y1281">
        <f>IFERROR(ROUND(X1281*0.13,2),"")</f>
        <v/>
      </c>
      <c r="Z1281">
        <f>IFERROR(X1281+Y1281,"")</f>
        <v/>
      </c>
      <c r="AA1281" t="inlineStr">
        <is>
          <t>Efectivo</t>
        </is>
      </c>
      <c r="AB1281" t="inlineStr">
        <is>
          <t>precio especial autorizado por gerente</t>
        </is>
      </c>
    </row>
    <row r="1282">
      <c r="A1282" t="inlineStr">
        <is>
          <t>F-11465</t>
        </is>
      </c>
      <c r="B1282" s="3" t="n">
        <v>46270</v>
      </c>
      <c r="C1282" t="inlineStr">
        <is>
          <t>Factura</t>
        </is>
      </c>
      <c r="D1282" t="inlineStr">
        <is>
          <t>SM01</t>
        </is>
      </c>
      <c r="E1282" t="inlineStr">
        <is>
          <t>SAN MIGUEL</t>
        </is>
      </c>
      <c r="F1282" t="inlineStr">
        <is>
          <t>Av. Roosevelt Sur #7</t>
        </is>
      </c>
      <c r="G1282" t="inlineStr">
        <is>
          <t>San Miguel</t>
        </is>
      </c>
      <c r="H1282" t="inlineStr">
        <is>
          <t>San Miguel</t>
        </is>
      </c>
      <c r="I1282" t="inlineStr">
        <is>
          <t>Iris Portillo</t>
        </is>
      </c>
      <c r="J1282" t="inlineStr">
        <is>
          <t>2661-5076</t>
        </is>
      </c>
      <c r="K1282" t="inlineStr">
        <is>
          <t>Jorge Villalta</t>
        </is>
      </c>
      <c r="L1282" t="inlineStr">
        <is>
          <t>Carlos García Cornejo</t>
        </is>
      </c>
      <c r="M1282" t="inlineStr">
        <is>
          <t>09671747-5</t>
        </is>
      </c>
      <c r="N1282" t="inlineStr">
        <is>
          <t>6898-8471</t>
        </is>
      </c>
      <c r="O1282" t="inlineStr">
        <is>
          <t>Consumidor final</t>
        </is>
      </c>
      <c r="P1282" t="inlineStr">
        <is>
          <t>LAC-003</t>
        </is>
      </c>
      <c r="Q1282" t="inlineStr">
        <is>
          <t>Leche entera 1L</t>
        </is>
      </c>
      <c r="R1282" t="inlineStr">
        <is>
          <t>Lácteos</t>
        </is>
      </c>
      <c r="S1282" t="inlineStr">
        <is>
          <t>Lácteos Chalate</t>
        </is>
      </c>
      <c r="T1282" t="inlineStr">
        <is>
          <t>2335-1020</t>
        </is>
      </c>
      <c r="U1282" t="n">
        <v>1.2</v>
      </c>
      <c r="V1282" t="n">
        <v>1</v>
      </c>
      <c r="W1282" t="n">
        <v>0</v>
      </c>
      <c r="X1282">
        <f>IFERROR(U1282*V1282*(1-W1282/100),"")</f>
        <v/>
      </c>
      <c r="Y1282">
        <f>IFERROR(ROUND(X1282*0.13,2),"")</f>
        <v/>
      </c>
      <c r="Z1282">
        <f>IFERROR(X1282+Y1282,"")</f>
        <v/>
      </c>
      <c r="AA1282" t="inlineStr">
        <is>
          <t>Tarjeta</t>
        </is>
      </c>
      <c r="AB1282" t="inlineStr"/>
    </row>
    <row r="1283">
      <c r="A1283" t="inlineStr">
        <is>
          <t>11468</t>
        </is>
      </c>
      <c r="B1283" t="inlineStr">
        <is>
          <t>15-Aug-26</t>
        </is>
      </c>
      <c r="C1283" t="inlineStr">
        <is>
          <t>Factura</t>
        </is>
      </c>
      <c r="D1283" t="inlineStr">
        <is>
          <t>SM01</t>
        </is>
      </c>
      <c r="E1283" t="inlineStr">
        <is>
          <t>S. Miguel</t>
        </is>
      </c>
      <c r="F1283" t="inlineStr">
        <is>
          <t>Av. Roosevelt Sur #7</t>
        </is>
      </c>
      <c r="G1283" t="inlineStr">
        <is>
          <t>San Miguel</t>
        </is>
      </c>
      <c r="H1283" t="inlineStr">
        <is>
          <t>San Miguel</t>
        </is>
      </c>
      <c r="I1283" t="inlineStr">
        <is>
          <t>Iris Portillo</t>
        </is>
      </c>
      <c r="J1283" t="inlineStr">
        <is>
          <t>2661-5076</t>
        </is>
      </c>
      <c r="K1283" t="inlineStr">
        <is>
          <t>Jorge Villalta</t>
        </is>
      </c>
      <c r="L1283" t="inlineStr">
        <is>
          <t>María López Lemus</t>
        </is>
      </c>
      <c r="M1283" t="inlineStr">
        <is>
          <t>09741522-8</t>
        </is>
      </c>
      <c r="N1283" t="inlineStr">
        <is>
          <t>2724-4257</t>
        </is>
      </c>
      <c r="O1283" t="inlineStr">
        <is>
          <t>Consumidor final</t>
        </is>
      </c>
      <c r="P1283" t="inlineStr">
        <is>
          <t>AZU-001</t>
        </is>
      </c>
      <c r="Q1283" t="inlineStr">
        <is>
          <t>Azúcar blanca 2.5kg</t>
        </is>
      </c>
      <c r="R1283" t="inlineStr">
        <is>
          <t>Abarrotes</t>
        </is>
      </c>
      <c r="S1283" t="inlineStr">
        <is>
          <t>Granos del Pacífico</t>
        </is>
      </c>
      <c r="T1283" t="inlineStr">
        <is>
          <t>2234-8890</t>
        </is>
      </c>
      <c r="U1283" t="inlineStr">
        <is>
          <t>3,10</t>
        </is>
      </c>
      <c r="V1283" t="n">
        <v>3</v>
      </c>
      <c r="W1283" t="n">
        <v>0</v>
      </c>
      <c r="X1283">
        <f>IFERROR(U1283*V1283*(1-W1283/100),"")</f>
        <v/>
      </c>
      <c r="Y1283">
        <f>IFERROR(ROUND(X1283*0.13,2),"")</f>
        <v/>
      </c>
      <c r="Z1283">
        <f>IFERROR(X1283+Y1283,"")</f>
        <v/>
      </c>
      <c r="AA1283" t="inlineStr">
        <is>
          <t>Transferencia</t>
        </is>
      </c>
      <c r="AB1283" t="inlineStr"/>
    </row>
    <row r="1284">
      <c r="A1284" t="inlineStr">
        <is>
          <t>F-11468</t>
        </is>
      </c>
      <c r="B1284" t="inlineStr">
        <is>
          <t>15/08/2026</t>
        </is>
      </c>
      <c r="C1284" t="inlineStr">
        <is>
          <t>Factura</t>
        </is>
      </c>
      <c r="D1284" t="inlineStr">
        <is>
          <t>SM01</t>
        </is>
      </c>
      <c r="E1284" t="inlineStr">
        <is>
          <t>San Miguel</t>
        </is>
      </c>
      <c r="F1284" t="inlineStr">
        <is>
          <t>Av. Roosevelt Sur #7</t>
        </is>
      </c>
      <c r="G1284" t="inlineStr">
        <is>
          <t>San Miguel</t>
        </is>
      </c>
      <c r="H1284" t="inlineStr">
        <is>
          <t>San Miguel</t>
        </is>
      </c>
      <c r="I1284" t="inlineStr">
        <is>
          <t>Iris Portillo</t>
        </is>
      </c>
      <c r="J1284" t="inlineStr">
        <is>
          <t>2661-5076</t>
        </is>
      </c>
      <c r="K1284" t="inlineStr">
        <is>
          <t>Jorge Villalta</t>
        </is>
      </c>
      <c r="L1284" t="inlineStr">
        <is>
          <t>María López Lemus</t>
        </is>
      </c>
      <c r="M1284" t="inlineStr">
        <is>
          <t>09741522-8</t>
        </is>
      </c>
      <c r="N1284" t="inlineStr">
        <is>
          <t>2724-4257</t>
        </is>
      </c>
      <c r="O1284" t="inlineStr">
        <is>
          <t>Consumidor final</t>
        </is>
      </c>
      <c r="P1284" t="inlineStr">
        <is>
          <t>PAN-002</t>
        </is>
      </c>
      <c r="Q1284" t="inlineStr">
        <is>
          <t>Semita alta</t>
        </is>
      </c>
      <c r="R1284" t="inlineStr">
        <is>
          <t>Panadería</t>
        </is>
      </c>
      <c r="S1284" t="inlineStr">
        <is>
          <t>Panificadora Ilopango</t>
        </is>
      </c>
      <c r="T1284" t="inlineStr">
        <is>
          <t>2295-0081</t>
        </is>
      </c>
      <c r="U1284" t="n">
        <v>1.75</v>
      </c>
      <c r="V1284" t="n">
        <v>12</v>
      </c>
      <c r="W1284" t="n">
        <v>0</v>
      </c>
      <c r="X1284">
        <f>IFERROR(U1284*V1284*(1-W1284/100),"")</f>
        <v/>
      </c>
      <c r="Y1284">
        <f>IFERROR(ROUND(X1284*0.13,2),"")</f>
        <v/>
      </c>
      <c r="Z1284">
        <f>IFERROR(X1284+Y1284,"")</f>
        <v/>
      </c>
      <c r="AA1284" t="inlineStr">
        <is>
          <t>Transferencia</t>
        </is>
      </c>
      <c r="AB1284" t="inlineStr"/>
    </row>
    <row r="1285">
      <c r="A1285" t="inlineStr">
        <is>
          <t>F-11468</t>
        </is>
      </c>
      <c r="B1285" t="inlineStr">
        <is>
          <t>15/08/2026</t>
        </is>
      </c>
      <c r="C1285" t="inlineStr">
        <is>
          <t>Factura</t>
        </is>
      </c>
      <c r="D1285" t="inlineStr">
        <is>
          <t>SM01</t>
        </is>
      </c>
      <c r="E1285" t="inlineStr">
        <is>
          <t>SAN MIGUEL</t>
        </is>
      </c>
      <c r="F1285" t="inlineStr">
        <is>
          <t>Av. Roosevelt Sur #7</t>
        </is>
      </c>
      <c r="G1285" t="inlineStr">
        <is>
          <t>San Miguel</t>
        </is>
      </c>
      <c r="H1285" t="inlineStr">
        <is>
          <t>San Miguel</t>
        </is>
      </c>
      <c r="I1285" t="inlineStr">
        <is>
          <t>Iris Portillo</t>
        </is>
      </c>
      <c r="J1285" t="inlineStr">
        <is>
          <t>2661-5076</t>
        </is>
      </c>
      <c r="K1285" t="inlineStr">
        <is>
          <t>Jorge Villalta</t>
        </is>
      </c>
      <c r="L1285" t="inlineStr">
        <is>
          <t>María López Lemus</t>
        </is>
      </c>
      <c r="M1285" t="inlineStr">
        <is>
          <t>09741522-8</t>
        </is>
      </c>
      <c r="N1285" t="inlineStr">
        <is>
          <t>2724-4257</t>
        </is>
      </c>
      <c r="O1285" t="inlineStr">
        <is>
          <t>Consumidor final</t>
        </is>
      </c>
      <c r="P1285" t="inlineStr">
        <is>
          <t>HIG-001</t>
        </is>
      </c>
      <c r="Q1285" t="inlineStr">
        <is>
          <t>Detergente 1kg</t>
        </is>
      </c>
      <c r="R1285" t="inlineStr">
        <is>
          <t>limpieza</t>
        </is>
      </c>
      <c r="S1285" t="inlineStr">
        <is>
          <t>Higiene Total C.A.</t>
        </is>
      </c>
      <c r="T1285" t="inlineStr">
        <is>
          <t>2207-5566</t>
        </is>
      </c>
      <c r="U1285" t="n">
        <v>3.45</v>
      </c>
      <c r="V1285" t="n">
        <v>24</v>
      </c>
      <c r="W1285" t="n">
        <v>0</v>
      </c>
      <c r="X1285">
        <f>IFERROR(U1285*V1285*(1-W1285/100),"")</f>
        <v/>
      </c>
      <c r="Y1285">
        <f>IFERROR(ROUND(X1285*0.13,2),"")</f>
        <v/>
      </c>
      <c r="Z1285">
        <f>IFERROR(X1285+Y1285,"")</f>
        <v/>
      </c>
      <c r="AA1285" t="inlineStr">
        <is>
          <t>Transferencia</t>
        </is>
      </c>
      <c r="AB1285" t="inlineStr"/>
    </row>
    <row r="1286">
      <c r="A1286" t="inlineStr">
        <is>
          <t>F-11468</t>
        </is>
      </c>
      <c r="B1286" s="3" t="n">
        <v>46249</v>
      </c>
      <c r="C1286" t="inlineStr">
        <is>
          <t>Factura</t>
        </is>
      </c>
      <c r="D1286" t="inlineStr"/>
      <c r="E1286" t="inlineStr">
        <is>
          <t>S. Miguel</t>
        </is>
      </c>
      <c r="F1286" t="inlineStr">
        <is>
          <t>Av. Roosevelt Sur #7</t>
        </is>
      </c>
      <c r="G1286" t="inlineStr">
        <is>
          <t>San Miguel</t>
        </is>
      </c>
      <c r="H1286" t="inlineStr">
        <is>
          <t>San Miguel</t>
        </is>
      </c>
      <c r="I1286" t="inlineStr">
        <is>
          <t>Iris Portillo</t>
        </is>
      </c>
      <c r="J1286" t="inlineStr">
        <is>
          <t>2661-5076</t>
        </is>
      </c>
      <c r="K1286" t="inlineStr">
        <is>
          <t>Jorge Villalta</t>
        </is>
      </c>
      <c r="L1286" t="inlineStr">
        <is>
          <t>María López Lemus</t>
        </is>
      </c>
      <c r="M1286" t="inlineStr">
        <is>
          <t>09741522-8</t>
        </is>
      </c>
      <c r="N1286" t="inlineStr">
        <is>
          <t>2724-4257</t>
        </is>
      </c>
      <c r="O1286" t="inlineStr">
        <is>
          <t>Consumidor final</t>
        </is>
      </c>
      <c r="P1286" t="inlineStr">
        <is>
          <t>PAN-001</t>
        </is>
      </c>
      <c r="Q1286" t="inlineStr">
        <is>
          <t>Pan francés bolsa 10u</t>
        </is>
      </c>
      <c r="R1286" t="inlineStr">
        <is>
          <t>Panaderia</t>
        </is>
      </c>
      <c r="S1286" t="inlineStr">
        <is>
          <t>Panificadora Ilopango</t>
        </is>
      </c>
      <c r="T1286" t="inlineStr">
        <is>
          <t>2295-0081</t>
        </is>
      </c>
      <c r="U1286" t="n">
        <v>1</v>
      </c>
      <c r="V1286" t="n">
        <v>6</v>
      </c>
      <c r="W1286" t="n">
        <v>0</v>
      </c>
      <c r="X1286">
        <f>IFERROR(U1286*V1286*(1-W1286/100),"")</f>
        <v/>
      </c>
      <c r="Y1286">
        <f>IFERROR(ROUND(X1286*0.13,2),"")</f>
        <v/>
      </c>
      <c r="Z1286">
        <f>IFERROR(X1286+Y1286,"")</f>
        <v/>
      </c>
      <c r="AA1286" t="inlineStr">
        <is>
          <t>Transferencia</t>
        </is>
      </c>
      <c r="AB1286" t="inlineStr"/>
    </row>
    <row r="1287">
      <c r="A1287" t="inlineStr">
        <is>
          <t>F-11471</t>
        </is>
      </c>
      <c r="B1287" s="3" t="n">
        <v>46228</v>
      </c>
      <c r="C1287" t="inlineStr">
        <is>
          <t>Factura</t>
        </is>
      </c>
      <c r="D1287" t="inlineStr">
        <is>
          <t>LL01</t>
        </is>
      </c>
      <c r="E1287" t="inlineStr">
        <is>
          <t>SANTA TECLA</t>
        </is>
      </c>
      <c r="F1287" t="inlineStr">
        <is>
          <t>Calle Daniel Hernández #18</t>
        </is>
      </c>
      <c r="G1287" t="inlineStr">
        <is>
          <t>Santa Tecla</t>
        </is>
      </c>
      <c r="H1287" t="inlineStr">
        <is>
          <t>La Libertad</t>
        </is>
      </c>
      <c r="I1287" t="inlineStr">
        <is>
          <t>Óscar Rivas</t>
        </is>
      </c>
      <c r="J1287" t="inlineStr">
        <is>
          <t>2228-7731</t>
        </is>
      </c>
      <c r="K1287" t="inlineStr">
        <is>
          <t>Andrea Pineda</t>
        </is>
      </c>
      <c r="L1287" t="inlineStr">
        <is>
          <t>Walter Mejía Castillo</t>
        </is>
      </c>
      <c r="M1287" t="inlineStr">
        <is>
          <t>02326285-9</t>
        </is>
      </c>
      <c r="N1287" t="inlineStr">
        <is>
          <t>2959-3937</t>
        </is>
      </c>
      <c r="O1287" t="inlineStr">
        <is>
          <t>Consumidor final</t>
        </is>
      </c>
      <c r="P1287" t="inlineStr">
        <is>
          <t>LAC-002</t>
        </is>
      </c>
      <c r="Q1287" t="inlineStr">
        <is>
          <t>Crema 500ml</t>
        </is>
      </c>
      <c r="R1287" t="inlineStr">
        <is>
          <t>Lacteos</t>
        </is>
      </c>
      <c r="S1287" t="inlineStr">
        <is>
          <t>Lácteos Chalate</t>
        </is>
      </c>
      <c r="T1287" t="inlineStr">
        <is>
          <t>2335-1020</t>
        </is>
      </c>
      <c r="U1287" t="inlineStr">
        <is>
          <t>$2.25</t>
        </is>
      </c>
      <c r="V1287" t="n">
        <v>1</v>
      </c>
      <c r="W1287" t="n">
        <v>0</v>
      </c>
      <c r="X1287">
        <f>IFERROR(U1287*V1287*(1-W1287/100),"")</f>
        <v/>
      </c>
      <c r="Y1287">
        <f>IFERROR(ROUND(X1287*0.13,2),"")</f>
        <v/>
      </c>
      <c r="Z1287">
        <f>IFERROR(X1287+Y1287,"")</f>
        <v/>
      </c>
      <c r="AA1287" t="inlineStr">
        <is>
          <t>Efectivo</t>
        </is>
      </c>
      <c r="AB1287" t="inlineStr">
        <is>
          <t>Cliente frecuente</t>
        </is>
      </c>
    </row>
    <row r="1288">
      <c r="A1288" t="inlineStr">
        <is>
          <t>F-11471</t>
        </is>
      </c>
      <c r="B1288" s="3" t="n">
        <v>46228</v>
      </c>
      <c r="C1288" t="inlineStr">
        <is>
          <t>Factura</t>
        </is>
      </c>
      <c r="D1288" t="inlineStr">
        <is>
          <t>LL01</t>
        </is>
      </c>
      <c r="E1288" t="inlineStr">
        <is>
          <t>Sta. Tecla</t>
        </is>
      </c>
      <c r="F1288" t="inlineStr">
        <is>
          <t>Calle Daniel Hernández #18</t>
        </is>
      </c>
      <c r="G1288" t="inlineStr">
        <is>
          <t>Santa Tecla</t>
        </is>
      </c>
      <c r="H1288" t="inlineStr">
        <is>
          <t>La Libertad</t>
        </is>
      </c>
      <c r="I1288" t="inlineStr">
        <is>
          <t>Óscar Rivas</t>
        </is>
      </c>
      <c r="J1288" t="inlineStr">
        <is>
          <t>2228-7731</t>
        </is>
      </c>
      <c r="K1288" t="inlineStr">
        <is>
          <t>Andrea Pineda</t>
        </is>
      </c>
      <c r="L1288" t="inlineStr">
        <is>
          <t>Walter Mejía Castillo</t>
        </is>
      </c>
      <c r="M1288" t="inlineStr"/>
      <c r="N1288" t="inlineStr">
        <is>
          <t>2959-3937</t>
        </is>
      </c>
      <c r="O1288" t="inlineStr">
        <is>
          <t>Consumidor final</t>
        </is>
      </c>
      <c r="P1288" t="inlineStr">
        <is>
          <t>HAR-001</t>
        </is>
      </c>
      <c r="Q1288" t="inlineStr">
        <is>
          <t>Harina de maíz 2lb</t>
        </is>
      </c>
      <c r="R1288" t="inlineStr">
        <is>
          <t>Abarrotes</t>
        </is>
      </c>
      <c r="S1288" t="inlineStr">
        <is>
          <t>Granos del Pacífico</t>
        </is>
      </c>
      <c r="T1288" t="inlineStr">
        <is>
          <t>2234-8890</t>
        </is>
      </c>
      <c r="U1288" t="n">
        <v>1.35</v>
      </c>
      <c r="V1288" t="n">
        <v>1</v>
      </c>
      <c r="W1288" t="n">
        <v>0</v>
      </c>
      <c r="X1288">
        <f>IFERROR(U1288*V1288*(1-W1288/100),"")</f>
        <v/>
      </c>
      <c r="Y1288">
        <f>IFERROR(ROUND(X1288*0.13,2),"")</f>
        <v/>
      </c>
      <c r="Z1288">
        <f>IFERROR(X1288+Y1288,"")</f>
        <v/>
      </c>
      <c r="AA1288" t="inlineStr">
        <is>
          <t>Efectivo</t>
        </is>
      </c>
      <c r="AB1288" t="inlineStr">
        <is>
          <t>precio especial autorizado por gerente</t>
        </is>
      </c>
    </row>
    <row r="1289">
      <c r="A1289" t="inlineStr">
        <is>
          <t>F-11472</t>
        </is>
      </c>
      <c r="B1289" s="3" t="n">
        <v>46246</v>
      </c>
      <c r="C1289" t="inlineStr">
        <is>
          <t>factura</t>
        </is>
      </c>
      <c r="D1289" t="inlineStr">
        <is>
          <t>SS01</t>
        </is>
      </c>
      <c r="E1289" t="inlineStr">
        <is>
          <t xml:space="preserve">san salvador centro </t>
        </is>
      </c>
      <c r="F1289" t="inlineStr">
        <is>
          <t>4a Calle Poniente #215</t>
        </is>
      </c>
      <c r="G1289" t="inlineStr">
        <is>
          <t>San Salvador</t>
        </is>
      </c>
      <c r="H1289" t="inlineStr">
        <is>
          <t>San Salvador</t>
        </is>
      </c>
      <c r="I1289" t="inlineStr">
        <is>
          <t>Roberto Alfaro</t>
        </is>
      </c>
      <c r="J1289" t="inlineStr">
        <is>
          <t>2221-4580</t>
        </is>
      </c>
      <c r="K1289" t="inlineStr">
        <is>
          <t>José Martínez</t>
        </is>
      </c>
      <c r="L1289" t="inlineStr">
        <is>
          <t>María López Lemus</t>
        </is>
      </c>
      <c r="M1289" t="inlineStr">
        <is>
          <t>09741522-8</t>
        </is>
      </c>
      <c r="N1289" t="inlineStr">
        <is>
          <t>2724-4257</t>
        </is>
      </c>
      <c r="O1289" t="inlineStr">
        <is>
          <t>Consumidor final</t>
        </is>
      </c>
      <c r="P1289" t="inlineStr">
        <is>
          <t>LAC-001</t>
        </is>
      </c>
      <c r="Q1289" t="inlineStr">
        <is>
          <t>Quesillo 1lb</t>
        </is>
      </c>
      <c r="R1289" t="inlineStr">
        <is>
          <t>Lácteos</t>
        </is>
      </c>
      <c r="S1289" t="inlineStr">
        <is>
          <t>Lácteos Chalate</t>
        </is>
      </c>
      <c r="T1289" t="inlineStr">
        <is>
          <t>2335-1020</t>
        </is>
      </c>
      <c r="U1289" t="n">
        <v>3.8</v>
      </c>
      <c r="V1289" t="n">
        <v>4</v>
      </c>
      <c r="W1289" t="n">
        <v>0</v>
      </c>
      <c r="X1289">
        <f>IFERROR(U1289*V1289*(1-W1289/100),"")</f>
        <v/>
      </c>
      <c r="Y1289">
        <f>IFERROR(ROUND(X1289*0.13,2),"")</f>
        <v/>
      </c>
      <c r="Z1289">
        <f>IFERROR(X1289+Y1289,"")</f>
        <v/>
      </c>
      <c r="AA1289" t="inlineStr">
        <is>
          <t>Tarjeta</t>
        </is>
      </c>
      <c r="AB1289" t="inlineStr">
        <is>
          <t>pagó con billete de $100</t>
        </is>
      </c>
    </row>
    <row r="1290">
      <c r="A1290" t="inlineStr">
        <is>
          <t>F-11472</t>
        </is>
      </c>
      <c r="B1290" s="3" t="n">
        <v>46246</v>
      </c>
      <c r="C1290" t="inlineStr">
        <is>
          <t>factura</t>
        </is>
      </c>
      <c r="D1290" t="inlineStr">
        <is>
          <t>SS01</t>
        </is>
      </c>
      <c r="E1290" t="inlineStr">
        <is>
          <t>S.S. Centro</t>
        </is>
      </c>
      <c r="F1290" t="inlineStr">
        <is>
          <t>4a Calle Poniente #215</t>
        </is>
      </c>
      <c r="G1290" t="inlineStr">
        <is>
          <t>San Salvador</t>
        </is>
      </c>
      <c r="H1290" t="inlineStr">
        <is>
          <t>San Salvador</t>
        </is>
      </c>
      <c r="I1290" t="inlineStr">
        <is>
          <t>Roberto Alfaro</t>
        </is>
      </c>
      <c r="J1290" t="inlineStr">
        <is>
          <t>2221-4580</t>
        </is>
      </c>
      <c r="K1290" t="inlineStr">
        <is>
          <t>José Martínez</t>
        </is>
      </c>
      <c r="L1290" t="inlineStr">
        <is>
          <t>María López Lemus</t>
        </is>
      </c>
      <c r="M1290" t="inlineStr">
        <is>
          <t>09741522-8</t>
        </is>
      </c>
      <c r="N1290" t="inlineStr">
        <is>
          <t>2724-4257</t>
        </is>
      </c>
      <c r="O1290" t="inlineStr">
        <is>
          <t>Consumidor final</t>
        </is>
      </c>
      <c r="P1290" t="inlineStr">
        <is>
          <t>HIG-002</t>
        </is>
      </c>
      <c r="Q1290" t="inlineStr">
        <is>
          <t>Papel higiénico 4 rollos</t>
        </is>
      </c>
      <c r="R1290" t="inlineStr">
        <is>
          <t>Higiene</t>
        </is>
      </c>
      <c r="S1290" t="inlineStr">
        <is>
          <t>Higiene Total C.A.</t>
        </is>
      </c>
      <c r="T1290" t="inlineStr">
        <is>
          <t>2207-5566</t>
        </is>
      </c>
      <c r="U1290" t="n">
        <v>2.15</v>
      </c>
      <c r="V1290" t="n">
        <v>6</v>
      </c>
      <c r="W1290" t="n">
        <v>0</v>
      </c>
      <c r="X1290">
        <f>IFERROR(U1290*V1290*(1-W1290/100),"")</f>
        <v/>
      </c>
      <c r="Y1290">
        <f>IFERROR(ROUND(X1290*0.13,2),"")</f>
        <v/>
      </c>
      <c r="Z1290">
        <f>IFERROR(X1290+Y1290,"")</f>
        <v/>
      </c>
      <c r="AA1290" t="inlineStr">
        <is>
          <t>Tarjeta</t>
        </is>
      </c>
      <c r="AB1290" t="inlineStr"/>
    </row>
    <row r="1291">
      <c r="A1291" t="inlineStr">
        <is>
          <t>F-11472</t>
        </is>
      </c>
      <c r="B1291" s="3" t="n">
        <v>46246</v>
      </c>
      <c r="C1291" t="inlineStr">
        <is>
          <t>factura</t>
        </is>
      </c>
      <c r="D1291" t="inlineStr">
        <is>
          <t>SS01</t>
        </is>
      </c>
      <c r="E1291" t="inlineStr">
        <is>
          <t xml:space="preserve">san salvador centro </t>
        </is>
      </c>
      <c r="F1291" t="inlineStr">
        <is>
          <t>4a Calle Poniente #215</t>
        </is>
      </c>
      <c r="G1291" t="inlineStr">
        <is>
          <t>San Salvador</t>
        </is>
      </c>
      <c r="H1291" t="inlineStr">
        <is>
          <t>San Salvador</t>
        </is>
      </c>
      <c r="I1291" t="inlineStr">
        <is>
          <t>Roberto Alfaro</t>
        </is>
      </c>
      <c r="J1291" t="inlineStr">
        <is>
          <t>2221-4580</t>
        </is>
      </c>
      <c r="K1291" t="inlineStr">
        <is>
          <t>José Martínez</t>
        </is>
      </c>
      <c r="L1291" t="inlineStr">
        <is>
          <t>María López Lemus</t>
        </is>
      </c>
      <c r="M1291" t="inlineStr">
        <is>
          <t>09741522-8</t>
        </is>
      </c>
      <c r="N1291" t="inlineStr">
        <is>
          <t>2724-4257</t>
        </is>
      </c>
      <c r="O1291" t="inlineStr">
        <is>
          <t>Consumidor final</t>
        </is>
      </c>
      <c r="P1291" t="inlineStr">
        <is>
          <t>FRI-001</t>
        </is>
      </c>
      <c r="Q1291" t="inlineStr">
        <is>
          <t>Frijol rojo de seda 2lb</t>
        </is>
      </c>
      <c r="R1291" t="inlineStr">
        <is>
          <t>Abarrotes</t>
        </is>
      </c>
      <c r="S1291" t="inlineStr">
        <is>
          <t>Granos del Pacífico</t>
        </is>
      </c>
      <c r="T1291" t="inlineStr">
        <is>
          <t>2234-8890</t>
        </is>
      </c>
      <c r="U1291" t="n">
        <v>2.4</v>
      </c>
      <c r="V1291" t="n">
        <v>1</v>
      </c>
      <c r="W1291" t="n">
        <v>0</v>
      </c>
      <c r="X1291">
        <f>IFERROR(U1291*V1291*(1-W1291/100),"")</f>
        <v/>
      </c>
      <c r="Y1291">
        <f>IFERROR(ROUND(X1291*0.13,2),"")</f>
        <v/>
      </c>
      <c r="Z1291">
        <f>IFERROR(X1291+Y1291,"")</f>
        <v/>
      </c>
      <c r="AA1291" t="inlineStr">
        <is>
          <t>Tarjeta</t>
        </is>
      </c>
      <c r="AB1291" t="inlineStr">
        <is>
          <t>Llamar al 7788-1234 antes de entregar</t>
        </is>
      </c>
    </row>
    <row r="1292">
      <c r="A1292" t="inlineStr">
        <is>
          <t>F-11472</t>
        </is>
      </c>
      <c r="B1292" s="3" t="n">
        <v>46246</v>
      </c>
      <c r="C1292" t="inlineStr">
        <is>
          <t>factura</t>
        </is>
      </c>
      <c r="D1292" t="inlineStr">
        <is>
          <t>SS01</t>
        </is>
      </c>
      <c r="E1292" t="inlineStr">
        <is>
          <t xml:space="preserve">san salvador centro </t>
        </is>
      </c>
      <c r="F1292" t="inlineStr">
        <is>
          <t>4a Calle Poniente #215</t>
        </is>
      </c>
      <c r="G1292" t="inlineStr">
        <is>
          <t>San Salvador</t>
        </is>
      </c>
      <c r="H1292" t="inlineStr">
        <is>
          <t>San Salvador</t>
        </is>
      </c>
      <c r="I1292" t="inlineStr">
        <is>
          <t>Roberto Alfaro</t>
        </is>
      </c>
      <c r="J1292" t="inlineStr">
        <is>
          <t>2221-4580</t>
        </is>
      </c>
      <c r="K1292" t="inlineStr">
        <is>
          <t>José Martínez</t>
        </is>
      </c>
      <c r="L1292" t="inlineStr">
        <is>
          <t>María López Lemus</t>
        </is>
      </c>
      <c r="M1292" t="inlineStr">
        <is>
          <t>09741522-8</t>
        </is>
      </c>
      <c r="N1292" t="inlineStr">
        <is>
          <t>2724-4257</t>
        </is>
      </c>
      <c r="O1292" t="inlineStr">
        <is>
          <t>Consumidor final</t>
        </is>
      </c>
      <c r="P1292" t="inlineStr">
        <is>
          <t>ARR-001</t>
        </is>
      </c>
      <c r="Q1292" t="inlineStr">
        <is>
          <t>Arroz blanco 5lb</t>
        </is>
      </c>
      <c r="R1292" t="inlineStr">
        <is>
          <t>Abarrotes</t>
        </is>
      </c>
      <c r="S1292" t="inlineStr">
        <is>
          <t>Granos del Pacífico</t>
        </is>
      </c>
      <c r="T1292" t="inlineStr">
        <is>
          <t>2234-8890</t>
        </is>
      </c>
      <c r="U1292" t="inlineStr">
        <is>
          <t>3,95</t>
        </is>
      </c>
      <c r="V1292" t="n">
        <v>2</v>
      </c>
      <c r="W1292" t="n">
        <v>0</v>
      </c>
      <c r="X1292">
        <f>IFERROR(U1292*V1292*(1-W1292/100),"")</f>
        <v/>
      </c>
      <c r="Y1292">
        <f>IFERROR(ROUND(X1292*0.13,2),"")</f>
        <v/>
      </c>
      <c r="Z1292">
        <f>IFERROR(X1292+Y1292,"")</f>
        <v/>
      </c>
      <c r="AA1292" t="inlineStr">
        <is>
          <t>Tarjeta</t>
        </is>
      </c>
      <c r="AB1292" t="inlineStr">
        <is>
          <t>Cliente frecuente</t>
        </is>
      </c>
    </row>
    <row r="1293">
      <c r="A1293" t="inlineStr">
        <is>
          <t>F-11474</t>
        </is>
      </c>
      <c r="B1293" s="3" t="n">
        <v>46278</v>
      </c>
      <c r="C1293" t="inlineStr">
        <is>
          <t>CCF</t>
        </is>
      </c>
      <c r="D1293" t="inlineStr">
        <is>
          <t>SM01</t>
        </is>
      </c>
      <c r="E1293" t="inlineStr">
        <is>
          <t>SAN MIGUEL</t>
        </is>
      </c>
      <c r="F1293" t="inlineStr">
        <is>
          <t>Av. Roosevelt Sur #7</t>
        </is>
      </c>
      <c r="G1293" t="inlineStr">
        <is>
          <t>San Miguel</t>
        </is>
      </c>
      <c r="H1293" t="inlineStr">
        <is>
          <t>San Miguel</t>
        </is>
      </c>
      <c r="I1293" t="inlineStr">
        <is>
          <t>Iris Portillo</t>
        </is>
      </c>
      <c r="J1293" t="inlineStr">
        <is>
          <t>2661-5076</t>
        </is>
      </c>
      <c r="K1293" t="inlineStr">
        <is>
          <t>Jorge Villalta</t>
        </is>
      </c>
      <c r="L1293" t="inlineStr">
        <is>
          <t>Hotel Brisas del Mar</t>
        </is>
      </c>
      <c r="M1293" t="inlineStr">
        <is>
          <t>280004-0</t>
        </is>
      </c>
      <c r="N1293" t="inlineStr">
        <is>
          <t>2129-2911</t>
        </is>
      </c>
      <c r="O1293" t="inlineStr">
        <is>
          <t>Contribuyente</t>
        </is>
      </c>
      <c r="P1293" t="inlineStr">
        <is>
          <t>HIG-002</t>
        </is>
      </c>
      <c r="Q1293" t="inlineStr">
        <is>
          <t>Papel higiénico 4 rollos</t>
        </is>
      </c>
      <c r="R1293" t="inlineStr">
        <is>
          <t>Limpieza</t>
        </is>
      </c>
      <c r="S1293" t="inlineStr">
        <is>
          <t>Higiene Total C.A.</t>
        </is>
      </c>
      <c r="T1293" t="inlineStr">
        <is>
          <t>2207-5566</t>
        </is>
      </c>
      <c r="U1293" t="n">
        <v>2.15</v>
      </c>
      <c r="V1293" t="n">
        <v>2</v>
      </c>
      <c r="W1293" t="n">
        <v>10</v>
      </c>
      <c r="X1293">
        <f>IFERROR(U1293*V1293*(1-W1293/100),"")</f>
        <v/>
      </c>
      <c r="Y1293">
        <f>IFERROR(ROUND(X1293*0.13,2),"")</f>
        <v/>
      </c>
      <c r="Z1293">
        <f>IFERROR(X1293+Y1293,"")</f>
        <v/>
      </c>
      <c r="AA1293" t="inlineStr">
        <is>
          <t>Tarjeta</t>
        </is>
      </c>
      <c r="AB1293" t="inlineStr"/>
    </row>
    <row r="1294">
      <c r="A1294" t="inlineStr">
        <is>
          <t>F-11474</t>
        </is>
      </c>
      <c r="B1294" s="3" t="n">
        <v>46278</v>
      </c>
      <c r="C1294" t="inlineStr">
        <is>
          <t>CCF</t>
        </is>
      </c>
      <c r="D1294" t="inlineStr">
        <is>
          <t>SM01</t>
        </is>
      </c>
      <c r="E1294" t="inlineStr">
        <is>
          <t>San Miguel</t>
        </is>
      </c>
      <c r="F1294" t="inlineStr">
        <is>
          <t>Av. Roosevelt Sur #7</t>
        </is>
      </c>
      <c r="G1294" t="inlineStr">
        <is>
          <t>San Miguel</t>
        </is>
      </c>
      <c r="H1294" t="inlineStr">
        <is>
          <t>San Miguel</t>
        </is>
      </c>
      <c r="I1294" t="inlineStr">
        <is>
          <t>Iris Portillo</t>
        </is>
      </c>
      <c r="J1294" t="inlineStr">
        <is>
          <t>2661-5076</t>
        </is>
      </c>
      <c r="K1294" t="inlineStr">
        <is>
          <t>Jorge Villalta</t>
        </is>
      </c>
      <c r="L1294" t="inlineStr">
        <is>
          <t>Hotel Brisas del Mar</t>
        </is>
      </c>
      <c r="M1294" t="inlineStr">
        <is>
          <t>280004-0</t>
        </is>
      </c>
      <c r="N1294" t="inlineStr">
        <is>
          <t>2129-2911</t>
        </is>
      </c>
      <c r="O1294" t="inlineStr">
        <is>
          <t>Contribuyente</t>
        </is>
      </c>
      <c r="P1294" t="inlineStr">
        <is>
          <t>HAR-001</t>
        </is>
      </c>
      <c r="Q1294" t="inlineStr">
        <is>
          <t>Harina de maíz 2lb</t>
        </is>
      </c>
      <c r="R1294" t="inlineStr">
        <is>
          <t>Abarrotes</t>
        </is>
      </c>
      <c r="S1294" t="inlineStr">
        <is>
          <t>Granos del Pacífico</t>
        </is>
      </c>
      <c r="T1294" t="inlineStr">
        <is>
          <t>2234-8890</t>
        </is>
      </c>
      <c r="U1294" t="n">
        <v>1.35</v>
      </c>
      <c r="V1294" t="n">
        <v>12</v>
      </c>
      <c r="W1294" t="n">
        <v>0</v>
      </c>
      <c r="X1294">
        <f>IFERROR(U1294*V1294*(1-W1294/100),"")</f>
        <v/>
      </c>
      <c r="Y1294">
        <f>IFERROR(ROUND(X1294*0.13,2),"")</f>
        <v/>
      </c>
      <c r="Z1294">
        <f>IFERROR(X1294+Y1294,"")</f>
        <v/>
      </c>
      <c r="AA1294" t="inlineStr">
        <is>
          <t>Tarjeta</t>
        </is>
      </c>
      <c r="AB1294" t="inlineStr"/>
    </row>
    <row r="1295">
      <c r="A1295" t="inlineStr">
        <is>
          <t>F-11474</t>
        </is>
      </c>
      <c r="B1295" s="3" t="n">
        <v>46278</v>
      </c>
      <c r="C1295" t="inlineStr">
        <is>
          <t>CCF</t>
        </is>
      </c>
      <c r="D1295" t="inlineStr">
        <is>
          <t>SM01</t>
        </is>
      </c>
      <c r="E1295" t="inlineStr">
        <is>
          <t>San Miguel</t>
        </is>
      </c>
      <c r="F1295" t="inlineStr">
        <is>
          <t>Av. Roosevelt Sur #7</t>
        </is>
      </c>
      <c r="G1295" t="inlineStr">
        <is>
          <t>San Miguel</t>
        </is>
      </c>
      <c r="H1295" t="inlineStr">
        <is>
          <t>San Miguel</t>
        </is>
      </c>
      <c r="I1295" t="inlineStr">
        <is>
          <t>Iris Portillo</t>
        </is>
      </c>
      <c r="J1295" t="inlineStr">
        <is>
          <t>2661-5076</t>
        </is>
      </c>
      <c r="K1295" t="inlineStr">
        <is>
          <t>Jorge Villalta</t>
        </is>
      </c>
      <c r="L1295" t="inlineStr">
        <is>
          <t>Hotel Brisas del Mar</t>
        </is>
      </c>
      <c r="M1295" t="inlineStr">
        <is>
          <t>280004-0</t>
        </is>
      </c>
      <c r="N1295" t="inlineStr">
        <is>
          <t>2129-2911</t>
        </is>
      </c>
      <c r="O1295" t="inlineStr">
        <is>
          <t>Contribuyente</t>
        </is>
      </c>
      <c r="P1295" t="inlineStr">
        <is>
          <t>BEB-003</t>
        </is>
      </c>
      <c r="Q1295" t="inlineStr">
        <is>
          <t>Horchata en polvo 400g</t>
        </is>
      </c>
      <c r="R1295" t="inlineStr">
        <is>
          <t>Abarrotes</t>
        </is>
      </c>
      <c r="S1295" t="inlineStr">
        <is>
          <t>Bebidas Izalco</t>
        </is>
      </c>
      <c r="T1295" t="inlineStr">
        <is>
          <t>2450-7700</t>
        </is>
      </c>
      <c r="U1295" t="n">
        <v>2.6</v>
      </c>
      <c r="V1295" t="n">
        <v>1</v>
      </c>
      <c r="W1295" t="n">
        <v>10</v>
      </c>
      <c r="X1295">
        <f>IFERROR(U1295*V1295*(1-W1295/100),"")</f>
        <v/>
      </c>
      <c r="Y1295">
        <f>IFERROR(ROUND(X1295*0.13,2),"")</f>
        <v/>
      </c>
      <c r="Z1295">
        <f>IFERROR(X1295+Y1295,"")</f>
        <v/>
      </c>
      <c r="AA1295" t="inlineStr">
        <is>
          <t>Tarjeta</t>
        </is>
      </c>
      <c r="AB1295" t="inlineStr">
        <is>
          <t>precio especial autorizado por gerente</t>
        </is>
      </c>
    </row>
    <row r="1296">
      <c r="A1296" t="inlineStr">
        <is>
          <t>F-11475</t>
        </is>
      </c>
      <c r="B1296" s="3" t="n">
        <v>46209</v>
      </c>
      <c r="C1296" t="inlineStr">
        <is>
          <t>Factura</t>
        </is>
      </c>
      <c r="D1296" t="inlineStr">
        <is>
          <t>LL02</t>
        </is>
      </c>
      <c r="E1296" t="inlineStr">
        <is>
          <t>Pto. La Libertad</t>
        </is>
      </c>
      <c r="F1296" t="inlineStr">
        <is>
          <t>Calle El Malecón, Local 4</t>
        </is>
      </c>
      <c r="G1296" t="inlineStr">
        <is>
          <t>La Libertad</t>
        </is>
      </c>
      <c r="H1296" t="inlineStr">
        <is>
          <t>La Libertad</t>
        </is>
      </c>
      <c r="I1296" t="inlineStr">
        <is>
          <t>Wendy Aguilar</t>
        </is>
      </c>
      <c r="J1296" t="inlineStr">
        <is>
          <t>2335-6140</t>
        </is>
      </c>
      <c r="K1296" t="inlineStr">
        <is>
          <t>Gabriela Saravia</t>
        </is>
      </c>
      <c r="L1296" t="inlineStr">
        <is>
          <t>Silvia Cornejo Guevara</t>
        </is>
      </c>
      <c r="M1296" t="inlineStr">
        <is>
          <t>01953672-6</t>
        </is>
      </c>
      <c r="N1296" t="inlineStr">
        <is>
          <t>7921-9045</t>
        </is>
      </c>
      <c r="O1296" t="inlineStr">
        <is>
          <t>Consumidor final</t>
        </is>
      </c>
      <c r="P1296" t="inlineStr">
        <is>
          <t>CAF-002</t>
        </is>
      </c>
      <c r="Q1296" t="inlineStr">
        <is>
          <t>Café en grano 1lb</t>
        </is>
      </c>
      <c r="R1296" t="inlineStr">
        <is>
          <t>Abarrotes</t>
        </is>
      </c>
      <c r="S1296" t="inlineStr">
        <is>
          <t>Café Volcán S.A.</t>
        </is>
      </c>
      <c r="T1296" t="inlineStr">
        <is>
          <t>2510-3344</t>
        </is>
      </c>
      <c r="U1296" t="n">
        <v>6.75</v>
      </c>
      <c r="V1296" t="n">
        <v>4</v>
      </c>
      <c r="W1296" t="n">
        <v>0</v>
      </c>
      <c r="X1296">
        <f>IFERROR(U1296*V1296*(1-W1296/100),"")</f>
        <v/>
      </c>
      <c r="Y1296">
        <f>IFERROR(ROUND(X1296*0.13,2),"")</f>
        <v/>
      </c>
      <c r="Z1296">
        <f>IFERROR(X1296+Y1296,"")</f>
        <v/>
      </c>
      <c r="AA1296" t="inlineStr">
        <is>
          <t>Efectivo</t>
        </is>
      </c>
      <c r="AB1296" t="inlineStr"/>
    </row>
    <row r="1297">
      <c r="A1297" t="inlineStr">
        <is>
          <t>F-11475</t>
        </is>
      </c>
      <c r="B1297" s="3" t="n">
        <v>46209</v>
      </c>
      <c r="C1297" t="inlineStr">
        <is>
          <t>Factura</t>
        </is>
      </c>
      <c r="D1297" t="inlineStr">
        <is>
          <t>LL02</t>
        </is>
      </c>
      <c r="E1297" t="inlineStr">
        <is>
          <t>La Libertad Puerto</t>
        </is>
      </c>
      <c r="F1297" t="inlineStr">
        <is>
          <t>Calle El Malecón, Local 4</t>
        </is>
      </c>
      <c r="G1297" t="inlineStr">
        <is>
          <t>La Libertad</t>
        </is>
      </c>
      <c r="H1297" t="inlineStr">
        <is>
          <t>La Libertad</t>
        </is>
      </c>
      <c r="I1297" t="inlineStr">
        <is>
          <t>Wendy Aguilar</t>
        </is>
      </c>
      <c r="J1297" t="inlineStr">
        <is>
          <t>2335-6140</t>
        </is>
      </c>
      <c r="K1297" t="inlineStr">
        <is>
          <t>Gabriela Saravia</t>
        </is>
      </c>
      <c r="L1297" t="inlineStr">
        <is>
          <t>Silvia Cornejo Guevara</t>
        </is>
      </c>
      <c r="M1297" t="inlineStr"/>
      <c r="N1297" t="inlineStr">
        <is>
          <t>7921-9045</t>
        </is>
      </c>
      <c r="O1297" t="inlineStr">
        <is>
          <t>Consumidor final</t>
        </is>
      </c>
      <c r="P1297" t="inlineStr">
        <is>
          <t>LAC-002</t>
        </is>
      </c>
      <c r="Q1297" t="inlineStr">
        <is>
          <t>Crema 500ml</t>
        </is>
      </c>
      <c r="R1297" t="inlineStr">
        <is>
          <t>Lácteos</t>
        </is>
      </c>
      <c r="S1297" t="inlineStr">
        <is>
          <t>Lácteos Chalate</t>
        </is>
      </c>
      <c r="T1297" t="inlineStr">
        <is>
          <t>2335-1020</t>
        </is>
      </c>
      <c r="U1297" t="n">
        <v>2.25</v>
      </c>
      <c r="V1297" t="n">
        <v>3</v>
      </c>
      <c r="W1297" t="n">
        <v>0</v>
      </c>
      <c r="X1297">
        <f>IFERROR(U1297*V1297*(1-W1297/100),"")</f>
        <v/>
      </c>
      <c r="Y1297">
        <f>IFERROR(ROUND(X1297*0.13,2),"")</f>
        <v/>
      </c>
      <c r="Z1297">
        <f>IFERROR(X1297+Y1297,"")</f>
        <v/>
      </c>
      <c r="AA1297" t="inlineStr">
        <is>
          <t>Efectivo</t>
        </is>
      </c>
      <c r="AB1297" t="inlineStr">
        <is>
          <t>pagó con billete de $100</t>
        </is>
      </c>
    </row>
    <row r="1298">
      <c r="A1298" t="inlineStr">
        <is>
          <t>F-11475</t>
        </is>
      </c>
      <c r="B1298" s="3" t="n">
        <v>46209</v>
      </c>
      <c r="C1298" t="inlineStr">
        <is>
          <t>Factura</t>
        </is>
      </c>
      <c r="D1298" t="inlineStr">
        <is>
          <t>LL02</t>
        </is>
      </c>
      <c r="E1298" t="inlineStr">
        <is>
          <t>Puerto de La Libertad</t>
        </is>
      </c>
      <c r="F1298" t="inlineStr">
        <is>
          <t>Calle El Malecón, Local 4</t>
        </is>
      </c>
      <c r="G1298" t="inlineStr">
        <is>
          <t>La Libertad</t>
        </is>
      </c>
      <c r="H1298" t="inlineStr">
        <is>
          <t>La Libertad</t>
        </is>
      </c>
      <c r="I1298" t="inlineStr">
        <is>
          <t>Wendy Aguilar</t>
        </is>
      </c>
      <c r="J1298" t="inlineStr">
        <is>
          <t>2335-6140</t>
        </is>
      </c>
      <c r="K1298" t="inlineStr">
        <is>
          <t>Gabriela Saravia</t>
        </is>
      </c>
      <c r="L1298" t="inlineStr">
        <is>
          <t>Silvia Cornejo Guevara</t>
        </is>
      </c>
      <c r="M1298" t="inlineStr">
        <is>
          <t>01953672-6</t>
        </is>
      </c>
      <c r="N1298" t="inlineStr">
        <is>
          <t>7921-9045</t>
        </is>
      </c>
      <c r="O1298" t="inlineStr">
        <is>
          <t>Consumidor final</t>
        </is>
      </c>
      <c r="P1298" t="inlineStr">
        <is>
          <t>ARR-001</t>
        </is>
      </c>
      <c r="Q1298" t="inlineStr">
        <is>
          <t>Arroz blanco 5lb</t>
        </is>
      </c>
      <c r="R1298" t="inlineStr">
        <is>
          <t>Granos básicos</t>
        </is>
      </c>
      <c r="S1298" t="inlineStr">
        <is>
          <t>Granos del Pacífico</t>
        </is>
      </c>
      <c r="T1298" t="inlineStr">
        <is>
          <t>2234-8890</t>
        </is>
      </c>
      <c r="U1298" t="n">
        <v>3.95</v>
      </c>
      <c r="V1298" t="n">
        <v>3</v>
      </c>
      <c r="W1298" t="n">
        <v>0</v>
      </c>
      <c r="X1298">
        <f>IFERROR(U1298*V1298*(1-W1298/100),"")</f>
        <v/>
      </c>
      <c r="Y1298">
        <f>IFERROR(ROUND(X1298*0.13,2),"")</f>
        <v/>
      </c>
      <c r="Z1298">
        <f>IFERROR(X1298+Y1298,"")</f>
        <v/>
      </c>
      <c r="AA1298" t="inlineStr">
        <is>
          <t>Efectivo</t>
        </is>
      </c>
      <c r="AB1298" t="inlineStr">
        <is>
          <t>entregar en bodega</t>
        </is>
      </c>
    </row>
    <row r="1299">
      <c r="A1299" t="inlineStr">
        <is>
          <t>F-11476</t>
        </is>
      </c>
      <c r="B1299" s="3" t="n">
        <v>46271</v>
      </c>
      <c r="C1299" t="inlineStr">
        <is>
          <t>FCF</t>
        </is>
      </c>
      <c r="D1299" t="inlineStr">
        <is>
          <t>SS02</t>
        </is>
      </c>
      <c r="E1299" t="inlineStr">
        <is>
          <t>ESCALON</t>
        </is>
      </c>
      <c r="F1299" t="inlineStr">
        <is>
          <t>Paseo General Escalón #3910</t>
        </is>
      </c>
      <c r="G1299" t="inlineStr">
        <is>
          <t>San Salvador</t>
        </is>
      </c>
      <c r="H1299" t="inlineStr">
        <is>
          <t>San Salvador</t>
        </is>
      </c>
      <c r="I1299" t="inlineStr">
        <is>
          <t>Claudia Menjívar</t>
        </is>
      </c>
      <c r="J1299" t="inlineStr">
        <is>
          <t>2264-1190</t>
        </is>
      </c>
      <c r="K1299" t="inlineStr">
        <is>
          <t>Kevin Benítez</t>
        </is>
      </c>
      <c r="L1299" t="inlineStr">
        <is>
          <t>Carlos Mejía García</t>
        </is>
      </c>
      <c r="M1299" t="inlineStr">
        <is>
          <t>07315753-2</t>
        </is>
      </c>
      <c r="N1299" t="inlineStr">
        <is>
          <t>2800-1990</t>
        </is>
      </c>
      <c r="O1299" t="inlineStr">
        <is>
          <t>Consumidor final</t>
        </is>
      </c>
      <c r="P1299" t="inlineStr">
        <is>
          <t>HIG-001</t>
        </is>
      </c>
      <c r="Q1299" t="inlineStr">
        <is>
          <t>Detergente 1kg</t>
        </is>
      </c>
      <c r="R1299" t="inlineStr">
        <is>
          <t>limpieza</t>
        </is>
      </c>
      <c r="S1299" t="inlineStr">
        <is>
          <t>Higiene Total C.A.</t>
        </is>
      </c>
      <c r="T1299" t="inlineStr">
        <is>
          <t>2207-5566</t>
        </is>
      </c>
      <c r="U1299" t="inlineStr">
        <is>
          <t>$3.45</t>
        </is>
      </c>
      <c r="V1299" t="n">
        <v>3</v>
      </c>
      <c r="W1299" t="n">
        <v>0</v>
      </c>
      <c r="X1299">
        <f>IFERROR(U1299*V1299*(1-W1299/100),"")</f>
        <v/>
      </c>
      <c r="Y1299">
        <f>IFERROR(ROUND(X1299*0.13,2),"")</f>
        <v/>
      </c>
      <c r="Z1299">
        <f>IFERROR(X1299+Y1299,"")</f>
        <v/>
      </c>
      <c r="AA1299" t="inlineStr">
        <is>
          <t>Tarjeta</t>
        </is>
      </c>
      <c r="AB1299" t="inlineStr"/>
    </row>
    <row r="1300">
      <c r="A1300" t="inlineStr">
        <is>
          <t>F-11476</t>
        </is>
      </c>
      <c r="B1300" s="3" t="n">
        <v>46271</v>
      </c>
      <c r="C1300" t="inlineStr">
        <is>
          <t>FCF</t>
        </is>
      </c>
      <c r="D1300" t="inlineStr">
        <is>
          <t>SS02</t>
        </is>
      </c>
      <c r="E1300" t="inlineStr">
        <is>
          <t>Escalón</t>
        </is>
      </c>
      <c r="F1300" t="inlineStr">
        <is>
          <t>Paseo General Escalón #3910</t>
        </is>
      </c>
      <c r="G1300" t="inlineStr">
        <is>
          <t>San Salvador</t>
        </is>
      </c>
      <c r="H1300" t="inlineStr">
        <is>
          <t>San Salvador</t>
        </is>
      </c>
      <c r="I1300" t="inlineStr">
        <is>
          <t>Claudia Menjívar</t>
        </is>
      </c>
      <c r="J1300" t="inlineStr">
        <is>
          <t>2264-1190</t>
        </is>
      </c>
      <c r="K1300" t="inlineStr">
        <is>
          <t>Kevin Benítez</t>
        </is>
      </c>
      <c r="L1300" t="inlineStr">
        <is>
          <t>Carlos Mejía García</t>
        </is>
      </c>
      <c r="M1300" t="inlineStr">
        <is>
          <t>07315753-2</t>
        </is>
      </c>
      <c r="N1300" t="inlineStr">
        <is>
          <t>2800-1990</t>
        </is>
      </c>
      <c r="O1300" t="inlineStr">
        <is>
          <t>Consumidor final</t>
        </is>
      </c>
      <c r="P1300" t="inlineStr">
        <is>
          <t>HIG-002</t>
        </is>
      </c>
      <c r="Q1300" t="inlineStr">
        <is>
          <t>Papel higiénico 4 rollos</t>
        </is>
      </c>
      <c r="R1300" t="inlineStr">
        <is>
          <t>Higiene</t>
        </is>
      </c>
      <c r="S1300" t="inlineStr">
        <is>
          <t>Higiene Total C.A.</t>
        </is>
      </c>
      <c r="T1300" t="inlineStr">
        <is>
          <t>2207-5566</t>
        </is>
      </c>
      <c r="U1300" t="n">
        <v>2.15</v>
      </c>
      <c r="V1300" t="n">
        <v>1</v>
      </c>
      <c r="W1300" t="n">
        <v>0</v>
      </c>
      <c r="X1300">
        <f>IFERROR(U1300*V1300*(1-W1300/100),"")</f>
        <v/>
      </c>
      <c r="Y1300">
        <f>IFERROR(ROUND(X1300*0.13,2),"")</f>
        <v/>
      </c>
      <c r="Z1300">
        <f>IFERROR(X1300+Y1300,"")</f>
        <v/>
      </c>
      <c r="AA1300" t="inlineStr">
        <is>
          <t>Tarjeta</t>
        </is>
      </c>
      <c r="AB1300" t="inlineStr">
        <is>
          <t>entregar en bodega</t>
        </is>
      </c>
    </row>
    <row r="1301">
      <c r="A1301" t="inlineStr">
        <is>
          <t>F-11476</t>
        </is>
      </c>
      <c r="B1301" t="inlineStr">
        <is>
          <t>06/09/2026</t>
        </is>
      </c>
      <c r="C1301" t="inlineStr">
        <is>
          <t>FCF</t>
        </is>
      </c>
      <c r="D1301" t="inlineStr">
        <is>
          <t>SS02</t>
        </is>
      </c>
      <c r="E1301" t="inlineStr">
        <is>
          <t>Escalon</t>
        </is>
      </c>
      <c r="F1301" t="inlineStr">
        <is>
          <t>Paseo General Escalón #3910</t>
        </is>
      </c>
      <c r="G1301" t="inlineStr">
        <is>
          <t>San Salvador</t>
        </is>
      </c>
      <c r="H1301" t="inlineStr">
        <is>
          <t>San Salvador</t>
        </is>
      </c>
      <c r="I1301" t="inlineStr">
        <is>
          <t>Claudia Menjívar</t>
        </is>
      </c>
      <c r="J1301" t="inlineStr">
        <is>
          <t>2264-1190</t>
        </is>
      </c>
      <c r="K1301" t="inlineStr">
        <is>
          <t>Kevin Benítez</t>
        </is>
      </c>
      <c r="L1301" t="inlineStr">
        <is>
          <t>Carlos Mejía García</t>
        </is>
      </c>
      <c r="M1301" t="inlineStr">
        <is>
          <t>07315753-2</t>
        </is>
      </c>
      <c r="N1301" t="inlineStr">
        <is>
          <t>2800-1990</t>
        </is>
      </c>
      <c r="O1301" t="inlineStr">
        <is>
          <t>Consumidor final</t>
        </is>
      </c>
      <c r="P1301" t="inlineStr">
        <is>
          <t>BEB-003</t>
        </is>
      </c>
      <c r="Q1301" t="inlineStr">
        <is>
          <t>Horchata en polvo 400g</t>
        </is>
      </c>
      <c r="R1301" t="inlineStr">
        <is>
          <t>Abarrotes</t>
        </is>
      </c>
      <c r="S1301" t="inlineStr">
        <is>
          <t>Bebidas Izalco</t>
        </is>
      </c>
      <c r="T1301" t="inlineStr">
        <is>
          <t>2450-7700</t>
        </is>
      </c>
      <c r="U1301" t="n">
        <v>2.6</v>
      </c>
      <c r="V1301" t="n">
        <v>12</v>
      </c>
      <c r="W1301" t="n">
        <v>0</v>
      </c>
      <c r="X1301">
        <f>IFERROR(U1301*V1301*(1-W1301/100),"")</f>
        <v/>
      </c>
      <c r="Y1301">
        <f>IFERROR(ROUND(X1301*0.13,2),"")</f>
        <v/>
      </c>
      <c r="Z1301">
        <f>IFERROR(X1301+Y1301,"")</f>
        <v/>
      </c>
      <c r="AA1301" t="inlineStr">
        <is>
          <t>Tarjeta</t>
        </is>
      </c>
      <c r="AB1301" t="inlineStr">
        <is>
          <t>Cliente frecuente</t>
        </is>
      </c>
    </row>
    <row r="1302">
      <c r="A1302" t="inlineStr">
        <is>
          <t>F-11479</t>
        </is>
      </c>
      <c r="B1302" t="inlineStr">
        <is>
          <t>04/09/2026</t>
        </is>
      </c>
      <c r="C1302" t="inlineStr">
        <is>
          <t>Factura</t>
        </is>
      </c>
      <c r="D1302" t="inlineStr">
        <is>
          <t>LL01</t>
        </is>
      </c>
      <c r="E1302" t="inlineStr">
        <is>
          <t>SANTA TECLA</t>
        </is>
      </c>
      <c r="F1302" t="inlineStr">
        <is>
          <t>Calle Daniel Hernández #18</t>
        </is>
      </c>
      <c r="G1302" t="inlineStr">
        <is>
          <t>Santa Tecla</t>
        </is>
      </c>
      <c r="H1302" t="inlineStr">
        <is>
          <t>La Libertad</t>
        </is>
      </c>
      <c r="I1302" t="inlineStr">
        <is>
          <t>Óscar Rivas</t>
        </is>
      </c>
      <c r="J1302" t="inlineStr">
        <is>
          <t>2228-7731</t>
        </is>
      </c>
      <c r="K1302" t="inlineStr">
        <is>
          <t>Luis Escobar</t>
        </is>
      </c>
      <c r="L1302" t="inlineStr">
        <is>
          <t>Douglas Ramírez Romero</t>
        </is>
      </c>
      <c r="M1302" t="inlineStr">
        <is>
          <t>09442743-4</t>
        </is>
      </c>
      <c r="N1302" t="inlineStr">
        <is>
          <t>7669-3172</t>
        </is>
      </c>
      <c r="O1302" t="inlineStr">
        <is>
          <t>Consumidor final</t>
        </is>
      </c>
      <c r="P1302" t="inlineStr">
        <is>
          <t>CAF-002</t>
        </is>
      </c>
      <c r="Q1302" t="inlineStr">
        <is>
          <t>Café en grano 1lb</t>
        </is>
      </c>
      <c r="R1302" t="inlineStr">
        <is>
          <t>Abarrotes</t>
        </is>
      </c>
      <c r="S1302" t="inlineStr">
        <is>
          <t>Café Volcán S.A.</t>
        </is>
      </c>
      <c r="T1302" t="inlineStr">
        <is>
          <t>2510-3344</t>
        </is>
      </c>
      <c r="U1302" t="inlineStr">
        <is>
          <t>$6.75</t>
        </is>
      </c>
      <c r="V1302" t="n">
        <v>1</v>
      </c>
      <c r="W1302" t="n">
        <v>0</v>
      </c>
      <c r="X1302">
        <f>IFERROR(U1302*V1302*(1-W1302/100),"")</f>
        <v/>
      </c>
      <c r="Y1302">
        <f>IFERROR(ROUND(X1302*0.13,2),"")</f>
        <v/>
      </c>
      <c r="Z1302">
        <f>IFERROR(X1302+Y1302,"")</f>
        <v/>
      </c>
      <c r="AA1302" t="inlineStr">
        <is>
          <t>Efectivo</t>
        </is>
      </c>
      <c r="AB1302" t="inlineStr"/>
    </row>
    <row r="1303">
      <c r="A1303" t="inlineStr">
        <is>
          <t>F-11479</t>
        </is>
      </c>
      <c r="B1303" t="inlineStr">
        <is>
          <t>04/09/2026</t>
        </is>
      </c>
      <c r="C1303" t="inlineStr">
        <is>
          <t>Factura</t>
        </is>
      </c>
      <c r="D1303" t="inlineStr">
        <is>
          <t>LL01</t>
        </is>
      </c>
      <c r="E1303" t="inlineStr">
        <is>
          <t>SANTA TECLA</t>
        </is>
      </c>
      <c r="F1303" t="inlineStr">
        <is>
          <t>Calle Daniel Hernández #18</t>
        </is>
      </c>
      <c r="G1303" t="inlineStr">
        <is>
          <t>Santa Tecla</t>
        </is>
      </c>
      <c r="H1303" t="inlineStr">
        <is>
          <t>La Libertad</t>
        </is>
      </c>
      <c r="I1303" t="inlineStr">
        <is>
          <t>Óscar Rivas</t>
        </is>
      </c>
      <c r="J1303" t="inlineStr">
        <is>
          <t>2228-7731</t>
        </is>
      </c>
      <c r="K1303" t="inlineStr">
        <is>
          <t>Luis Escobar</t>
        </is>
      </c>
      <c r="L1303" t="inlineStr">
        <is>
          <t>Douglas Ramírez Romero</t>
        </is>
      </c>
      <c r="M1303" t="inlineStr">
        <is>
          <t>09442743-4</t>
        </is>
      </c>
      <c r="N1303" t="inlineStr">
        <is>
          <t>7669-3172</t>
        </is>
      </c>
      <c r="O1303" t="inlineStr">
        <is>
          <t>Consumidor final</t>
        </is>
      </c>
      <c r="P1303" t="inlineStr">
        <is>
          <t>PAN-003</t>
        </is>
      </c>
      <c r="Q1303" t="inlineStr">
        <is>
          <t>Quesadilla salvadoreña</t>
        </is>
      </c>
      <c r="R1303" t="inlineStr">
        <is>
          <t>PANADERIA</t>
        </is>
      </c>
      <c r="S1303" t="inlineStr">
        <is>
          <t>Panificadora Ilopango</t>
        </is>
      </c>
      <c r="T1303" t="inlineStr">
        <is>
          <t>2295-0081</t>
        </is>
      </c>
      <c r="U1303" t="n">
        <v>2.5</v>
      </c>
      <c r="V1303" t="n">
        <v>4</v>
      </c>
      <c r="W1303" t="n">
        <v>0</v>
      </c>
      <c r="X1303">
        <f>IFERROR(U1303*V1303*(1-W1303/100),"")</f>
        <v/>
      </c>
      <c r="Y1303">
        <f>IFERROR(ROUND(X1303*0.13,2),"")</f>
        <v/>
      </c>
      <c r="Z1303">
        <f>IFERROR(X1303+Y1303,"")</f>
        <v/>
      </c>
      <c r="AA1303" t="inlineStr">
        <is>
          <t>Efectivo</t>
        </is>
      </c>
      <c r="AB1303" t="inlineStr">
        <is>
          <t>precio especial autorizado por gerente</t>
        </is>
      </c>
    </row>
    <row r="1304">
      <c r="A1304" t="inlineStr">
        <is>
          <t>F-11479</t>
        </is>
      </c>
      <c r="B1304" s="3" t="n">
        <v>46269</v>
      </c>
      <c r="C1304" t="inlineStr">
        <is>
          <t>Factura</t>
        </is>
      </c>
      <c r="D1304" t="inlineStr">
        <is>
          <t>LL01</t>
        </is>
      </c>
      <c r="E1304" t="inlineStr">
        <is>
          <t>Santa Tecla</t>
        </is>
      </c>
      <c r="F1304" t="inlineStr">
        <is>
          <t>Calle Daniel Hernández #18</t>
        </is>
      </c>
      <c r="G1304" t="inlineStr">
        <is>
          <t>Santa Tecla</t>
        </is>
      </c>
      <c r="H1304" t="inlineStr">
        <is>
          <t>La Libertad</t>
        </is>
      </c>
      <c r="I1304" t="inlineStr">
        <is>
          <t>Óscar Rivas</t>
        </is>
      </c>
      <c r="J1304" t="inlineStr">
        <is>
          <t>2228-7731</t>
        </is>
      </c>
      <c r="K1304" t="inlineStr">
        <is>
          <t>Luis Escobar</t>
        </is>
      </c>
      <c r="L1304" t="inlineStr">
        <is>
          <t>Douglas Ramírez Romero</t>
        </is>
      </c>
      <c r="M1304" t="inlineStr">
        <is>
          <t>09442743-4</t>
        </is>
      </c>
      <c r="N1304" t="inlineStr">
        <is>
          <t>7669-3172</t>
        </is>
      </c>
      <c r="O1304" t="inlineStr">
        <is>
          <t>Consumidor final</t>
        </is>
      </c>
      <c r="P1304" t="inlineStr">
        <is>
          <t>PAN-001</t>
        </is>
      </c>
      <c r="Q1304" t="inlineStr">
        <is>
          <t>Pan francés bolsa 10u</t>
        </is>
      </c>
      <c r="R1304" t="inlineStr">
        <is>
          <t>Panadería</t>
        </is>
      </c>
      <c r="S1304" t="inlineStr">
        <is>
          <t>Panificadora Ilopango</t>
        </is>
      </c>
      <c r="T1304" t="inlineStr">
        <is>
          <t>2295-0081</t>
        </is>
      </c>
      <c r="U1304" t="inlineStr">
        <is>
          <t>$1.00</t>
        </is>
      </c>
      <c r="V1304" t="n">
        <v>24</v>
      </c>
      <c r="W1304" t="n">
        <v>0</v>
      </c>
      <c r="X1304">
        <f>IFERROR(U1304*V1304*(1-W1304/100),"")</f>
        <v/>
      </c>
      <c r="Y1304">
        <f>IFERROR(ROUND(X1304*0.13,2),"")</f>
        <v/>
      </c>
      <c r="Z1304">
        <f>IFERROR(X1304+Y1304,"")</f>
        <v/>
      </c>
      <c r="AA1304" t="inlineStr">
        <is>
          <t>Efectivo</t>
        </is>
      </c>
      <c r="AB1304" t="inlineStr"/>
    </row>
    <row r="1305">
      <c r="A1305" t="inlineStr">
        <is>
          <t>F-11482</t>
        </is>
      </c>
      <c r="B1305" s="3" t="n">
        <v>46233</v>
      </c>
      <c r="C1305" t="inlineStr">
        <is>
          <t>Factura</t>
        </is>
      </c>
      <c r="D1305" t="inlineStr">
        <is>
          <t>SS02</t>
        </is>
      </c>
      <c r="E1305" t="inlineStr">
        <is>
          <t>Escalon</t>
        </is>
      </c>
      <c r="F1305" t="inlineStr">
        <is>
          <t>Paseo General Escalón #3910</t>
        </is>
      </c>
      <c r="G1305" t="inlineStr">
        <is>
          <t>San Salvador</t>
        </is>
      </c>
      <c r="H1305" t="inlineStr">
        <is>
          <t>San Salvador</t>
        </is>
      </c>
      <c r="I1305" t="inlineStr">
        <is>
          <t>Claudia Menjívar</t>
        </is>
      </c>
      <c r="J1305" t="inlineStr">
        <is>
          <t>2264-1190</t>
        </is>
      </c>
      <c r="K1305" t="inlineStr">
        <is>
          <t>Fátima Rosales</t>
        </is>
      </c>
      <c r="L1305" t="inlineStr">
        <is>
          <t>Walter Hernández Flores</t>
        </is>
      </c>
      <c r="M1305" t="inlineStr">
        <is>
          <t>01412764-4</t>
        </is>
      </c>
      <c r="N1305" t="inlineStr">
        <is>
          <t>6659-5342</t>
        </is>
      </c>
      <c r="O1305" t="inlineStr">
        <is>
          <t>Consumidor final</t>
        </is>
      </c>
      <c r="P1305" t="inlineStr">
        <is>
          <t>LAC-003</t>
        </is>
      </c>
      <c r="Q1305" t="inlineStr">
        <is>
          <t>Leche entera 1L</t>
        </is>
      </c>
      <c r="R1305" t="inlineStr">
        <is>
          <t>Lácteos</t>
        </is>
      </c>
      <c r="S1305" t="inlineStr">
        <is>
          <t>Lácteos Chalate</t>
        </is>
      </c>
      <c r="T1305" t="inlineStr">
        <is>
          <t>7120-4455</t>
        </is>
      </c>
      <c r="U1305" t="n">
        <v>1.2</v>
      </c>
      <c r="V1305" t="n">
        <v>1</v>
      </c>
      <c r="W1305" t="n">
        <v>0</v>
      </c>
      <c r="X1305">
        <f>IFERROR(U1305*V1305*(1-W1305/100),"")</f>
        <v/>
      </c>
      <c r="Y1305">
        <f>IFERROR(ROUND(X1305*0.13,2),"")</f>
        <v/>
      </c>
      <c r="Z1305">
        <f>IFERROR(X1305+Y1305,"")</f>
        <v/>
      </c>
      <c r="AA1305" t="inlineStr">
        <is>
          <t>Efectivo</t>
        </is>
      </c>
      <c r="AB1305" t="inlineStr">
        <is>
          <t>pagó con billete de $100</t>
        </is>
      </c>
    </row>
    <row r="1306">
      <c r="A1306" t="inlineStr">
        <is>
          <t>F-11482</t>
        </is>
      </c>
      <c r="B1306" t="inlineStr">
        <is>
          <t>30/07/2026</t>
        </is>
      </c>
      <c r="C1306" t="inlineStr">
        <is>
          <t>Factura</t>
        </is>
      </c>
      <c r="D1306" t="inlineStr">
        <is>
          <t>SS02</t>
        </is>
      </c>
      <c r="E1306" t="inlineStr">
        <is>
          <t>Col. Escalón</t>
        </is>
      </c>
      <c r="F1306" t="inlineStr">
        <is>
          <t>Paseo General Escalón #3910</t>
        </is>
      </c>
      <c r="G1306" t="inlineStr">
        <is>
          <t>San Salvador</t>
        </is>
      </c>
      <c r="H1306" t="inlineStr">
        <is>
          <t>San Salvador</t>
        </is>
      </c>
      <c r="I1306" t="inlineStr">
        <is>
          <t>Claudia Menjívar</t>
        </is>
      </c>
      <c r="J1306" t="inlineStr">
        <is>
          <t>2264-1190</t>
        </is>
      </c>
      <c r="K1306" t="inlineStr">
        <is>
          <t>Fátima Rosales</t>
        </is>
      </c>
      <c r="L1306" t="inlineStr">
        <is>
          <t>Walter Hernández Flores</t>
        </is>
      </c>
      <c r="M1306" t="inlineStr">
        <is>
          <t>01412764-4</t>
        </is>
      </c>
      <c r="N1306" t="inlineStr">
        <is>
          <t>6659-5342</t>
        </is>
      </c>
      <c r="O1306" t="inlineStr">
        <is>
          <t>Consumidor final</t>
        </is>
      </c>
      <c r="P1306" t="inlineStr">
        <is>
          <t>HIG-003</t>
        </is>
      </c>
      <c r="Q1306" t="inlineStr">
        <is>
          <t>Jabón de lavar barra</t>
        </is>
      </c>
      <c r="R1306" t="inlineStr">
        <is>
          <t>Limpieza</t>
        </is>
      </c>
      <c r="S1306" t="inlineStr">
        <is>
          <t>Higiene Total C.A.</t>
        </is>
      </c>
      <c r="T1306" t="inlineStr">
        <is>
          <t>2207-5566</t>
        </is>
      </c>
      <c r="U1306" t="n">
        <v>0.75</v>
      </c>
      <c r="V1306" t="n">
        <v>3</v>
      </c>
      <c r="W1306" t="n">
        <v>0</v>
      </c>
      <c r="X1306">
        <f>IFERROR(U1306*V1306*(1-W1306/100),"")</f>
        <v/>
      </c>
      <c r="Y1306">
        <f>IFERROR(ROUND(X1306*0.13,2),"")</f>
        <v/>
      </c>
      <c r="Z1306">
        <f>IFERROR(X1306+Y1306,"")</f>
        <v/>
      </c>
      <c r="AA1306" t="inlineStr">
        <is>
          <t>Efectivo</t>
        </is>
      </c>
      <c r="AB1306" t="inlineStr">
        <is>
          <t>Llamar al 7788-1234 antes de entregar</t>
        </is>
      </c>
    </row>
    <row r="1307">
      <c r="A1307" t="inlineStr">
        <is>
          <t>F-11482</t>
        </is>
      </c>
      <c r="B1307" s="3" t="n">
        <v>46233</v>
      </c>
      <c r="C1307" t="inlineStr">
        <is>
          <t>Factura</t>
        </is>
      </c>
      <c r="D1307" t="inlineStr">
        <is>
          <t>SS02</t>
        </is>
      </c>
      <c r="E1307" t="inlineStr">
        <is>
          <t>Col. Escalón</t>
        </is>
      </c>
      <c r="F1307" t="inlineStr">
        <is>
          <t>Paseo General Escalón #3910</t>
        </is>
      </c>
      <c r="G1307" t="inlineStr">
        <is>
          <t>San Salvador</t>
        </is>
      </c>
      <c r="H1307" t="inlineStr">
        <is>
          <t>San Salvador</t>
        </is>
      </c>
      <c r="I1307" t="inlineStr">
        <is>
          <t>Claudia Menjívar</t>
        </is>
      </c>
      <c r="J1307" t="inlineStr">
        <is>
          <t>2264-1190</t>
        </is>
      </c>
      <c r="K1307" t="inlineStr">
        <is>
          <t>Fátima Rosales</t>
        </is>
      </c>
      <c r="L1307" t="inlineStr">
        <is>
          <t>Walter Hernández Flores</t>
        </is>
      </c>
      <c r="M1307" t="inlineStr">
        <is>
          <t>01412764-4</t>
        </is>
      </c>
      <c r="N1307" t="inlineStr">
        <is>
          <t>6659-5342</t>
        </is>
      </c>
      <c r="O1307" t="inlineStr">
        <is>
          <t>Consumidor final</t>
        </is>
      </c>
      <c r="P1307" t="inlineStr">
        <is>
          <t>PAN-003</t>
        </is>
      </c>
      <c r="Q1307" t="inlineStr">
        <is>
          <t>Quesadilla salvadoreña</t>
        </is>
      </c>
      <c r="R1307" t="inlineStr">
        <is>
          <t>Panadería</t>
        </is>
      </c>
      <c r="S1307" t="inlineStr">
        <is>
          <t>Panificadora Ilopango</t>
        </is>
      </c>
      <c r="T1307" t="inlineStr">
        <is>
          <t>2295-0081</t>
        </is>
      </c>
      <c r="U1307" t="n">
        <v>2.5</v>
      </c>
      <c r="V1307" t="n">
        <v>1</v>
      </c>
      <c r="W1307" t="n">
        <v>0</v>
      </c>
      <c r="X1307">
        <f>IFERROR(U1307*V1307*(1-W1307/100),"")</f>
        <v/>
      </c>
      <c r="Y1307">
        <f>IFERROR(ROUND(X1307*0.13,2),"")</f>
        <v/>
      </c>
      <c r="Z1307">
        <f>IFERROR(X1307+Y1307,"")</f>
        <v/>
      </c>
      <c r="AA1307" t="inlineStr">
        <is>
          <t>Efectivo</t>
        </is>
      </c>
      <c r="AB1307" t="inlineStr">
        <is>
          <t>Cliente frecuente</t>
        </is>
      </c>
    </row>
    <row r="1308">
      <c r="A1308" t="inlineStr">
        <is>
          <t>F-11482</t>
        </is>
      </c>
      <c r="B1308" t="inlineStr">
        <is>
          <t>30/07/2026</t>
        </is>
      </c>
      <c r="C1308" t="inlineStr">
        <is>
          <t>Factura</t>
        </is>
      </c>
      <c r="D1308" t="inlineStr">
        <is>
          <t>SS02</t>
        </is>
      </c>
      <c r="E1308" t="inlineStr">
        <is>
          <t>Escalon</t>
        </is>
      </c>
      <c r="F1308" t="inlineStr">
        <is>
          <t>Paseo General Escalón #3910</t>
        </is>
      </c>
      <c r="G1308" t="inlineStr">
        <is>
          <t>San Salvador</t>
        </is>
      </c>
      <c r="H1308" t="inlineStr">
        <is>
          <t>San Salvador</t>
        </is>
      </c>
      <c r="I1308" t="inlineStr">
        <is>
          <t>Claudia Menjívar</t>
        </is>
      </c>
      <c r="J1308" t="inlineStr">
        <is>
          <t>2264-1190</t>
        </is>
      </c>
      <c r="K1308" t="inlineStr">
        <is>
          <t>Fátima Rosales</t>
        </is>
      </c>
      <c r="L1308" t="inlineStr">
        <is>
          <t>Walter Hernández Flores</t>
        </is>
      </c>
      <c r="M1308" t="inlineStr">
        <is>
          <t>01412764-4</t>
        </is>
      </c>
      <c r="N1308" t="inlineStr">
        <is>
          <t>6659-5342</t>
        </is>
      </c>
      <c r="O1308" t="inlineStr">
        <is>
          <t>Consumidor final</t>
        </is>
      </c>
      <c r="P1308" t="inlineStr">
        <is>
          <t>HIG-001</t>
        </is>
      </c>
      <c r="Q1308" t="inlineStr">
        <is>
          <t>Detergente 1kg</t>
        </is>
      </c>
      <c r="R1308" t="inlineStr">
        <is>
          <t>Higiene</t>
        </is>
      </c>
      <c r="S1308" t="inlineStr">
        <is>
          <t>Higiene Total C.A.</t>
        </is>
      </c>
      <c r="T1308" t="inlineStr">
        <is>
          <t>2207-5566</t>
        </is>
      </c>
      <c r="U1308" t="n">
        <v>3.45</v>
      </c>
      <c r="V1308" t="n">
        <v>2</v>
      </c>
      <c r="W1308" t="n">
        <v>0</v>
      </c>
      <c r="X1308">
        <f>IFERROR(U1308*V1308*(1-W1308/100),"")</f>
        <v/>
      </c>
      <c r="Y1308">
        <f>IFERROR(ROUND(X1308*0.13,2),"")</f>
        <v/>
      </c>
      <c r="Z1308">
        <f>IFERROR(X1308+Y1308,"")</f>
        <v/>
      </c>
      <c r="AA1308" t="inlineStr">
        <is>
          <t>Efectivo</t>
        </is>
      </c>
      <c r="AB1308" t="inlineStr">
        <is>
          <t>Cliente frecuente</t>
        </is>
      </c>
    </row>
    <row r="1309">
      <c r="A1309" t="inlineStr">
        <is>
          <t>F-11485</t>
        </is>
      </c>
      <c r="B1309" s="3" t="n">
        <v>46211</v>
      </c>
      <c r="C1309" t="inlineStr">
        <is>
          <t>FCF</t>
        </is>
      </c>
      <c r="D1309" t="inlineStr">
        <is>
          <t>SS01</t>
        </is>
      </c>
      <c r="E1309" t="inlineStr">
        <is>
          <t xml:space="preserve">san salvador centro </t>
        </is>
      </c>
      <c r="F1309" t="inlineStr">
        <is>
          <t>4a Calle Poniente #215</t>
        </is>
      </c>
      <c r="G1309" t="inlineStr">
        <is>
          <t>San Salvador</t>
        </is>
      </c>
      <c r="H1309" t="inlineStr">
        <is>
          <t>San Salvador</t>
        </is>
      </c>
      <c r="I1309" t="inlineStr">
        <is>
          <t>Roberto Alfaro</t>
        </is>
      </c>
      <c r="J1309" t="inlineStr">
        <is>
          <t>2221-4580</t>
        </is>
      </c>
      <c r="K1309" t="inlineStr">
        <is>
          <t>Daniela Orellana</t>
        </is>
      </c>
      <c r="L1309" t="inlineStr">
        <is>
          <t>Carlos Romero García</t>
        </is>
      </c>
      <c r="M1309" t="inlineStr">
        <is>
          <t>07543956-0</t>
        </is>
      </c>
      <c r="N1309" t="inlineStr">
        <is>
          <t>7602-6148</t>
        </is>
      </c>
      <c r="O1309" t="inlineStr">
        <is>
          <t>Consumidor final</t>
        </is>
      </c>
      <c r="P1309" t="inlineStr">
        <is>
          <t>AZU-001</t>
        </is>
      </c>
      <c r="Q1309" t="inlineStr">
        <is>
          <t>Azúcar blanca 2.5kg</t>
        </is>
      </c>
      <c r="R1309" t="inlineStr">
        <is>
          <t>Abarrotes</t>
        </is>
      </c>
      <c r="S1309" t="inlineStr">
        <is>
          <t>Granos del Pacífico</t>
        </is>
      </c>
      <c r="T1309" t="inlineStr">
        <is>
          <t>2234-8890</t>
        </is>
      </c>
      <c r="U1309" t="n">
        <v>3.1</v>
      </c>
      <c r="V1309" t="n">
        <v>1</v>
      </c>
      <c r="W1309" t="n">
        <v>0</v>
      </c>
      <c r="X1309">
        <f>IFERROR(U1309*V1309*(1-W1309/100),"")</f>
        <v/>
      </c>
      <c r="Y1309">
        <f>IFERROR(ROUND(X1309*0.13,2),"")</f>
        <v/>
      </c>
      <c r="Z1309">
        <f>IFERROR(X1309+Y1309,"")</f>
        <v/>
      </c>
      <c r="AA1309" t="inlineStr">
        <is>
          <t>efectivo</t>
        </is>
      </c>
      <c r="AB1309" t="inlineStr">
        <is>
          <t>entregar en bodega</t>
        </is>
      </c>
    </row>
    <row r="1310">
      <c r="A1310" t="inlineStr">
        <is>
          <t>F-11485</t>
        </is>
      </c>
      <c r="B1310" s="3" t="n">
        <v>46211</v>
      </c>
      <c r="C1310" t="inlineStr">
        <is>
          <t>FCF</t>
        </is>
      </c>
      <c r="D1310" t="inlineStr"/>
      <c r="E1310" t="inlineStr">
        <is>
          <t>SAN SALVADOR CENTRO</t>
        </is>
      </c>
      <c r="F1310" t="inlineStr">
        <is>
          <t>4a Calle Poniente #215</t>
        </is>
      </c>
      <c r="G1310" t="inlineStr">
        <is>
          <t>San Salvador</t>
        </is>
      </c>
      <c r="H1310" t="inlineStr">
        <is>
          <t>San Salvador</t>
        </is>
      </c>
      <c r="I1310" t="inlineStr">
        <is>
          <t>Roberto Alfaro</t>
        </is>
      </c>
      <c r="J1310" t="inlineStr">
        <is>
          <t>2221-4580</t>
        </is>
      </c>
      <c r="K1310" t="inlineStr">
        <is>
          <t>Daniela Orellana</t>
        </is>
      </c>
      <c r="L1310" t="inlineStr">
        <is>
          <t>Carlos Romero García</t>
        </is>
      </c>
      <c r="M1310" t="inlineStr">
        <is>
          <t>07543956-0</t>
        </is>
      </c>
      <c r="N1310" t="inlineStr">
        <is>
          <t>7602-6148</t>
        </is>
      </c>
      <c r="O1310" t="inlineStr">
        <is>
          <t>Consumidor final</t>
        </is>
      </c>
      <c r="P1310" t="inlineStr">
        <is>
          <t>PAN-003</t>
        </is>
      </c>
      <c r="Q1310" t="inlineStr">
        <is>
          <t>Quesadilla salvadoreña</t>
        </is>
      </c>
      <c r="R1310" t="inlineStr">
        <is>
          <t>Panadería</t>
        </is>
      </c>
      <c r="S1310" t="inlineStr">
        <is>
          <t>Panificadora Ilopango</t>
        </is>
      </c>
      <c r="T1310" t="inlineStr">
        <is>
          <t>2295-0081</t>
        </is>
      </c>
      <c r="U1310" t="n">
        <v>2.5</v>
      </c>
      <c r="V1310" t="n">
        <v>6</v>
      </c>
      <c r="W1310" t="n">
        <v>0</v>
      </c>
      <c r="X1310">
        <f>IFERROR(U1310*V1310*(1-W1310/100),"")</f>
        <v/>
      </c>
      <c r="Y1310">
        <f>IFERROR(ROUND(X1310*0.13,2),"")</f>
        <v/>
      </c>
      <c r="Z1310">
        <f>IFERROR(X1310+Y1310,"")</f>
        <v/>
      </c>
      <c r="AA1310" t="inlineStr">
        <is>
          <t>efectivo</t>
        </is>
      </c>
      <c r="AB1310" t="inlineStr"/>
    </row>
    <row r="1311">
      <c r="A1311" t="inlineStr">
        <is>
          <t>F-11485</t>
        </is>
      </c>
      <c r="B1311" s="3" t="n">
        <v>46211</v>
      </c>
      <c r="C1311" t="inlineStr">
        <is>
          <t>FCF</t>
        </is>
      </c>
      <c r="D1311" t="inlineStr"/>
      <c r="E1311" t="inlineStr">
        <is>
          <t>SAN SALVADOR CENTRO</t>
        </is>
      </c>
      <c r="F1311" t="inlineStr">
        <is>
          <t>4a Calle Poniente #215</t>
        </is>
      </c>
      <c r="G1311" t="inlineStr">
        <is>
          <t>San Salvador</t>
        </is>
      </c>
      <c r="H1311" t="inlineStr">
        <is>
          <t>San Salvador</t>
        </is>
      </c>
      <c r="I1311" t="inlineStr">
        <is>
          <t>Roberto Alfaro</t>
        </is>
      </c>
      <c r="J1311" t="inlineStr">
        <is>
          <t>2221-4580</t>
        </is>
      </c>
      <c r="K1311" t="inlineStr">
        <is>
          <t>Daniela Orellana</t>
        </is>
      </c>
      <c r="L1311" t="inlineStr">
        <is>
          <t>Carlos Romero García</t>
        </is>
      </c>
      <c r="M1311" t="inlineStr">
        <is>
          <t>07543956-0</t>
        </is>
      </c>
      <c r="N1311" t="inlineStr">
        <is>
          <t>7602-6148</t>
        </is>
      </c>
      <c r="O1311" t="inlineStr">
        <is>
          <t>Consumidor final</t>
        </is>
      </c>
      <c r="P1311" t="inlineStr">
        <is>
          <t>BEB-002</t>
        </is>
      </c>
      <c r="Q1311" t="inlineStr">
        <is>
          <t>Agua purificada 1 galón</t>
        </is>
      </c>
      <c r="R1311" t="inlineStr">
        <is>
          <t>Bebidas</t>
        </is>
      </c>
      <c r="S1311" t="inlineStr">
        <is>
          <t>Bebidas Izalco</t>
        </is>
      </c>
      <c r="T1311" t="inlineStr">
        <is>
          <t>2450-7700</t>
        </is>
      </c>
      <c r="U1311" t="inlineStr">
        <is>
          <t>1,10</t>
        </is>
      </c>
      <c r="V1311" t="n">
        <v>6</v>
      </c>
      <c r="W1311" t="n">
        <v>0</v>
      </c>
      <c r="X1311">
        <f>IFERROR(U1311*V1311*(1-W1311/100),"")</f>
        <v/>
      </c>
      <c r="Y1311">
        <f>IFERROR(ROUND(X1311*0.13,2),"")</f>
        <v/>
      </c>
      <c r="Z1311">
        <f>IFERROR(X1311+Y1311,"")</f>
        <v/>
      </c>
      <c r="AA1311" t="inlineStr">
        <is>
          <t>efectivo</t>
        </is>
      </c>
      <c r="AB1311" t="inlineStr"/>
    </row>
    <row r="1312">
      <c r="A1312" t="inlineStr">
        <is>
          <t>F-11486</t>
        </is>
      </c>
      <c r="B1312" s="3" t="n">
        <v>46283</v>
      </c>
      <c r="C1312" t="inlineStr">
        <is>
          <t>FCF</t>
        </is>
      </c>
      <c r="D1312" t="inlineStr">
        <is>
          <t>LL02</t>
        </is>
      </c>
      <c r="E1312" t="inlineStr">
        <is>
          <t>La Libertad Puerto</t>
        </is>
      </c>
      <c r="F1312" t="inlineStr">
        <is>
          <t>Calle El Malecón, Local 4</t>
        </is>
      </c>
      <c r="G1312" t="inlineStr">
        <is>
          <t>La Libertad</t>
        </is>
      </c>
      <c r="H1312" t="inlineStr">
        <is>
          <t>La Libertad</t>
        </is>
      </c>
      <c r="I1312" t="inlineStr">
        <is>
          <t>Wendy Aguilar</t>
        </is>
      </c>
      <c r="J1312" t="inlineStr">
        <is>
          <t>2335-6140</t>
        </is>
      </c>
      <c r="K1312" t="inlineStr">
        <is>
          <t>Gabriela Saravia</t>
        </is>
      </c>
      <c r="L1312" t="inlineStr">
        <is>
          <t>Xiomara Flores Rivera</t>
        </is>
      </c>
      <c r="M1312" t="inlineStr">
        <is>
          <t>09919727-8</t>
        </is>
      </c>
      <c r="N1312" t="inlineStr">
        <is>
          <t>2544-6511</t>
        </is>
      </c>
      <c r="O1312" t="inlineStr">
        <is>
          <t>Consumidor final</t>
        </is>
      </c>
      <c r="P1312" t="inlineStr">
        <is>
          <t>CAF-001</t>
        </is>
      </c>
      <c r="Q1312" t="inlineStr">
        <is>
          <t>Café molido 400g</t>
        </is>
      </c>
      <c r="R1312" t="inlineStr">
        <is>
          <t>Abarrotes</t>
        </is>
      </c>
      <c r="S1312" t="inlineStr">
        <is>
          <t>Café Volcán S.A.</t>
        </is>
      </c>
      <c r="T1312" t="inlineStr">
        <is>
          <t>2510-3344</t>
        </is>
      </c>
      <c r="U1312" t="n">
        <v>4.5</v>
      </c>
      <c r="V1312" t="n">
        <v>6</v>
      </c>
      <c r="W1312" t="n">
        <v>0</v>
      </c>
      <c r="X1312">
        <f>IFERROR(U1312*V1312*(1-W1312/100),"")</f>
        <v/>
      </c>
      <c r="Y1312">
        <f>IFERROR(ROUND(X1312*0.13,2),"")</f>
        <v/>
      </c>
      <c r="Z1312">
        <f>IFERROR(X1312+Y1312,"")</f>
        <v/>
      </c>
      <c r="AA1312" t="inlineStr">
        <is>
          <t>Tarjeta</t>
        </is>
      </c>
      <c r="AB1312" t="inlineStr"/>
    </row>
    <row r="1313">
      <c r="A1313" t="inlineStr">
        <is>
          <t>F-11487</t>
        </is>
      </c>
      <c r="B1313" t="inlineStr">
        <is>
          <t>07/08/2026</t>
        </is>
      </c>
      <c r="C1313" t="inlineStr">
        <is>
          <t>Factura</t>
        </is>
      </c>
      <c r="D1313" t="inlineStr">
        <is>
          <t>SS03</t>
        </is>
      </c>
      <c r="E1313" t="inlineStr">
        <is>
          <t>soyapango</t>
        </is>
      </c>
      <c r="F1313" t="inlineStr">
        <is>
          <t>Blvd. del Ejército km 4</t>
        </is>
      </c>
      <c r="G1313" t="inlineStr">
        <is>
          <t>Soyapango</t>
        </is>
      </c>
      <c r="H1313" t="inlineStr">
        <is>
          <t>San Salvador</t>
        </is>
      </c>
      <c r="I1313" t="inlineStr">
        <is>
          <t>Karla Henríquez</t>
        </is>
      </c>
      <c r="J1313" t="inlineStr">
        <is>
          <t>2277-3402</t>
        </is>
      </c>
      <c r="K1313" t="inlineStr">
        <is>
          <t>Carlos Molina</t>
        </is>
      </c>
      <c r="L1313" t="inlineStr">
        <is>
          <t>Jorge García Hernández</t>
        </is>
      </c>
      <c r="M1313" t="inlineStr">
        <is>
          <t>09167886-4</t>
        </is>
      </c>
      <c r="N1313" t="inlineStr">
        <is>
          <t>7875-6853</t>
        </is>
      </c>
      <c r="O1313" t="inlineStr">
        <is>
          <t>Consumidor final</t>
        </is>
      </c>
      <c r="P1313" t="inlineStr">
        <is>
          <t>HIG-003</t>
        </is>
      </c>
      <c r="Q1313" t="inlineStr">
        <is>
          <t>Jabón de lavar barra</t>
        </is>
      </c>
      <c r="R1313" t="inlineStr">
        <is>
          <t>Limpieza</t>
        </is>
      </c>
      <c r="S1313" t="inlineStr">
        <is>
          <t>Higiene Total C.A.</t>
        </is>
      </c>
      <c r="T1313" t="inlineStr">
        <is>
          <t>2207-5566</t>
        </is>
      </c>
      <c r="U1313" t="n">
        <v>0.75</v>
      </c>
      <c r="V1313" t="n">
        <v>6</v>
      </c>
      <c r="W1313" t="n">
        <v>0</v>
      </c>
      <c r="X1313">
        <f>IFERROR(U1313*V1313*(1-W1313/100),"")</f>
        <v/>
      </c>
      <c r="Y1313">
        <f>IFERROR(ROUND(X1313*0.13,2),"")</f>
        <v/>
      </c>
      <c r="Z1313">
        <f>IFERROR(X1313+Y1313,"")</f>
        <v/>
      </c>
      <c r="AA1313" t="inlineStr">
        <is>
          <t>Tarjeta</t>
        </is>
      </c>
      <c r="AB1313" t="inlineStr">
        <is>
          <t>entregar en bodega</t>
        </is>
      </c>
    </row>
    <row r="1314">
      <c r="A1314" t="inlineStr">
        <is>
          <t>F-11489</t>
        </is>
      </c>
      <c r="B1314" s="3" t="n">
        <v>46253</v>
      </c>
      <c r="C1314" t="inlineStr">
        <is>
          <t>Factura</t>
        </is>
      </c>
      <c r="D1314" t="inlineStr">
        <is>
          <t>SA01</t>
        </is>
      </c>
      <c r="E1314" t="inlineStr">
        <is>
          <t>STA ANA</t>
        </is>
      </c>
      <c r="F1314" t="inlineStr">
        <is>
          <t>Av. Independencia Sur #12</t>
        </is>
      </c>
      <c r="G1314" t="inlineStr">
        <is>
          <t>Santa Ana</t>
        </is>
      </c>
      <c r="H1314" t="inlineStr">
        <is>
          <t>Santa Ana</t>
        </is>
      </c>
      <c r="I1314" t="inlineStr">
        <is>
          <t>Mauricio Linares</t>
        </is>
      </c>
      <c r="J1314" t="inlineStr">
        <is>
          <t>2440-9921</t>
        </is>
      </c>
      <c r="K1314" t="inlineStr">
        <is>
          <t>Sofía Cáceres</t>
        </is>
      </c>
      <c r="L1314" t="inlineStr">
        <is>
          <t>María López Lemus</t>
        </is>
      </c>
      <c r="M1314" t="inlineStr">
        <is>
          <t>09741522-8</t>
        </is>
      </c>
      <c r="N1314" t="inlineStr">
        <is>
          <t>2724-4257</t>
        </is>
      </c>
      <c r="O1314" t="inlineStr">
        <is>
          <t>Consumidor final</t>
        </is>
      </c>
      <c r="P1314" t="inlineStr">
        <is>
          <t>PAN-003</t>
        </is>
      </c>
      <c r="Q1314" t="inlineStr">
        <is>
          <t>Quesadilla salvadoreña</t>
        </is>
      </c>
      <c r="R1314" t="inlineStr">
        <is>
          <t>Panadería</t>
        </is>
      </c>
      <c r="S1314" t="inlineStr">
        <is>
          <t>Panificadora Ilopango</t>
        </is>
      </c>
      <c r="T1314" t="inlineStr">
        <is>
          <t>2295-0081</t>
        </is>
      </c>
      <c r="U1314" t="n">
        <v>2.5</v>
      </c>
      <c r="V1314" t="n">
        <v>1</v>
      </c>
      <c r="W1314" t="n">
        <v>0</v>
      </c>
      <c r="X1314">
        <f>IFERROR(U1314*V1314*(1-W1314/100),"")</f>
        <v/>
      </c>
      <c r="Y1314">
        <f>IFERROR(ROUND(X1314*0.13,2),"")</f>
        <v/>
      </c>
      <c r="Z1314">
        <f>IFERROR(X1314+Y1314,"")</f>
        <v/>
      </c>
      <c r="AA1314" t="inlineStr">
        <is>
          <t>Bitcoin</t>
        </is>
      </c>
      <c r="AB1314" t="inlineStr">
        <is>
          <t>Cliente frecuente</t>
        </is>
      </c>
    </row>
    <row r="1315">
      <c r="A1315" t="inlineStr">
        <is>
          <t>F-11489</t>
        </is>
      </c>
      <c r="B1315" s="3" t="n">
        <v>46253</v>
      </c>
      <c r="C1315" t="inlineStr">
        <is>
          <t>Factura</t>
        </is>
      </c>
      <c r="D1315" t="inlineStr">
        <is>
          <t>SA01</t>
        </is>
      </c>
      <c r="E1315" t="inlineStr">
        <is>
          <t>STA ANA</t>
        </is>
      </c>
      <c r="F1315" t="inlineStr">
        <is>
          <t>Av. Independencia Sur #12</t>
        </is>
      </c>
      <c r="G1315" t="inlineStr">
        <is>
          <t>Santa Ana</t>
        </is>
      </c>
      <c r="H1315" t="inlineStr">
        <is>
          <t>Santa Ana</t>
        </is>
      </c>
      <c r="I1315" t="inlineStr">
        <is>
          <t>Mauricio Linares</t>
        </is>
      </c>
      <c r="J1315" t="inlineStr">
        <is>
          <t>2440-9921</t>
        </is>
      </c>
      <c r="K1315" t="inlineStr">
        <is>
          <t>Sofía Cáceres</t>
        </is>
      </c>
      <c r="L1315" t="inlineStr">
        <is>
          <t>María López Lemus</t>
        </is>
      </c>
      <c r="M1315" t="inlineStr">
        <is>
          <t>09741522-8</t>
        </is>
      </c>
      <c r="N1315" t="inlineStr">
        <is>
          <t>2724-4257</t>
        </is>
      </c>
      <c r="O1315" t="inlineStr">
        <is>
          <t>Consumidor final</t>
        </is>
      </c>
      <c r="P1315" t="inlineStr">
        <is>
          <t>HIG-002</t>
        </is>
      </c>
      <c r="Q1315" t="inlineStr">
        <is>
          <t>Papel higiénico 4 rollos</t>
        </is>
      </c>
      <c r="R1315" t="inlineStr">
        <is>
          <t>Limpieza</t>
        </is>
      </c>
      <c r="S1315" t="inlineStr">
        <is>
          <t>Higiene Total C.A.</t>
        </is>
      </c>
      <c r="T1315" t="inlineStr">
        <is>
          <t>2207-5566</t>
        </is>
      </c>
      <c r="U1315" t="n">
        <v>2.15</v>
      </c>
      <c r="V1315" t="n">
        <v>4</v>
      </c>
      <c r="W1315" t="n">
        <v>0</v>
      </c>
      <c r="X1315">
        <f>IFERROR(U1315*V1315*(1-W1315/100),"")</f>
        <v/>
      </c>
      <c r="Y1315">
        <f>IFERROR(ROUND(X1315*0.13,2),"")</f>
        <v/>
      </c>
      <c r="Z1315">
        <f>IFERROR(X1315+Y1315,"")</f>
        <v/>
      </c>
      <c r="AA1315" t="inlineStr">
        <is>
          <t>Bitcoin</t>
        </is>
      </c>
      <c r="AB1315" t="inlineStr">
        <is>
          <t>entregar en bodega</t>
        </is>
      </c>
    </row>
    <row r="1316">
      <c r="A1316" t="inlineStr">
        <is>
          <t>F-11491</t>
        </is>
      </c>
      <c r="B1316" s="3" t="n">
        <v>46206</v>
      </c>
      <c r="C1316" t="inlineStr">
        <is>
          <t>Factura</t>
        </is>
      </c>
      <c r="D1316" t="inlineStr">
        <is>
          <t>SS02</t>
        </is>
      </c>
      <c r="E1316" t="inlineStr">
        <is>
          <t>Escalon</t>
        </is>
      </c>
      <c r="F1316" t="inlineStr">
        <is>
          <t>Paseo General Escalón #3910</t>
        </is>
      </c>
      <c r="G1316" t="inlineStr">
        <is>
          <t>San Salvador</t>
        </is>
      </c>
      <c r="H1316" t="inlineStr">
        <is>
          <t>San Salvador</t>
        </is>
      </c>
      <c r="I1316" t="inlineStr">
        <is>
          <t>Claudia Menjívar</t>
        </is>
      </c>
      <c r="J1316" t="inlineStr">
        <is>
          <t>2264-1190</t>
        </is>
      </c>
      <c r="K1316" t="inlineStr">
        <is>
          <t>Fátima Rosales</t>
        </is>
      </c>
      <c r="L1316" t="inlineStr">
        <is>
          <t>Luis Alvarado Flores</t>
        </is>
      </c>
      <c r="M1316" t="inlineStr">
        <is>
          <t>04419851-7</t>
        </is>
      </c>
      <c r="N1316" t="inlineStr">
        <is>
          <t>6898-7811</t>
        </is>
      </c>
      <c r="O1316" t="inlineStr">
        <is>
          <t>Consumidor final</t>
        </is>
      </c>
      <c r="P1316" t="inlineStr">
        <is>
          <t>AZU-001</t>
        </is>
      </c>
      <c r="Q1316" t="inlineStr">
        <is>
          <t>Azúcar blanca 2.5kg</t>
        </is>
      </c>
      <c r="R1316" t="inlineStr">
        <is>
          <t>Abarrotes</t>
        </is>
      </c>
      <c r="S1316" t="inlineStr">
        <is>
          <t>Granos del Pacífico</t>
        </is>
      </c>
      <c r="T1316" t="inlineStr">
        <is>
          <t>2234-8890</t>
        </is>
      </c>
      <c r="U1316" t="n">
        <v>3.1</v>
      </c>
      <c r="V1316" t="n">
        <v>2</v>
      </c>
      <c r="W1316" t="n">
        <v>0</v>
      </c>
      <c r="X1316">
        <f>IFERROR(U1316*V1316*(1-W1316/100),"")</f>
        <v/>
      </c>
      <c r="Y1316">
        <f>IFERROR(ROUND(X1316*0.13,2),"")</f>
        <v/>
      </c>
      <c r="Z1316">
        <f>IFERROR(X1316+Y1316,"")</f>
        <v/>
      </c>
      <c r="AA1316" t="inlineStr">
        <is>
          <t>Efectivo</t>
        </is>
      </c>
      <c r="AB1316" t="inlineStr"/>
    </row>
    <row r="1317">
      <c r="A1317" t="inlineStr">
        <is>
          <t>F-11492</t>
        </is>
      </c>
      <c r="B1317" t="inlineStr">
        <is>
          <t>30/09/2026</t>
        </is>
      </c>
      <c r="C1317" t="inlineStr">
        <is>
          <t>Factura</t>
        </is>
      </c>
      <c r="D1317" t="inlineStr">
        <is>
          <t>LL01</t>
        </is>
      </c>
      <c r="E1317" t="inlineStr">
        <is>
          <t>Santa Tecla</t>
        </is>
      </c>
      <c r="F1317" t="inlineStr">
        <is>
          <t>Calle Daniel Hernández #18</t>
        </is>
      </c>
      <c r="G1317" t="inlineStr">
        <is>
          <t>Santa Tecla</t>
        </is>
      </c>
      <c r="H1317" t="inlineStr">
        <is>
          <t>La Libertad</t>
        </is>
      </c>
      <c r="I1317" t="inlineStr">
        <is>
          <t>Óscar Rivas</t>
        </is>
      </c>
      <c r="J1317" t="inlineStr">
        <is>
          <t>2228-7731</t>
        </is>
      </c>
      <c r="K1317" t="inlineStr">
        <is>
          <t>Luis Escobar</t>
        </is>
      </c>
      <c r="L1317" t="inlineStr">
        <is>
          <t>Mario Lemus Flores</t>
        </is>
      </c>
      <c r="M1317" t="inlineStr">
        <is>
          <t>05465836-8</t>
        </is>
      </c>
      <c r="N1317" t="inlineStr">
        <is>
          <t>6555-2967</t>
        </is>
      </c>
      <c r="O1317" t="inlineStr">
        <is>
          <t>Consumidor final</t>
        </is>
      </c>
      <c r="P1317" t="inlineStr">
        <is>
          <t>PAN-001</t>
        </is>
      </c>
      <c r="Q1317" t="inlineStr">
        <is>
          <t>Pan francés bolsa 10u</t>
        </is>
      </c>
      <c r="R1317" t="inlineStr">
        <is>
          <t>Panaderia</t>
        </is>
      </c>
      <c r="S1317" t="inlineStr">
        <is>
          <t>Panificadora Ilopango</t>
        </is>
      </c>
      <c r="T1317" t="inlineStr">
        <is>
          <t>2295-0081</t>
        </is>
      </c>
      <c r="U1317" t="n">
        <v>1</v>
      </c>
      <c r="V1317" t="n">
        <v>1</v>
      </c>
      <c r="W1317" t="n">
        <v>0</v>
      </c>
      <c r="X1317">
        <f>IFERROR(U1317*V1317*(1-W1317/100),"")</f>
        <v/>
      </c>
      <c r="Y1317">
        <f>IFERROR(ROUND(X1317*0.13,2),"")</f>
        <v/>
      </c>
      <c r="Z1317">
        <f>IFERROR(X1317+Y1317,"")</f>
        <v/>
      </c>
      <c r="AA1317" t="inlineStr">
        <is>
          <t>Tarjeta</t>
        </is>
      </c>
      <c r="AB1317" t="inlineStr">
        <is>
          <t>Llamar al 7788-1234 antes de entregar</t>
        </is>
      </c>
    </row>
    <row r="1318">
      <c r="A1318" t="inlineStr">
        <is>
          <t>F-11492</t>
        </is>
      </c>
      <c r="B1318" t="inlineStr">
        <is>
          <t>2026-09-30</t>
        </is>
      </c>
      <c r="C1318" t="inlineStr">
        <is>
          <t>Factura</t>
        </is>
      </c>
      <c r="D1318" t="inlineStr">
        <is>
          <t>LL01</t>
        </is>
      </c>
      <c r="E1318" t="inlineStr">
        <is>
          <t>Sta. Tecla</t>
        </is>
      </c>
      <c r="F1318" t="inlineStr">
        <is>
          <t>Calle Daniel Hernández #18</t>
        </is>
      </c>
      <c r="G1318" t="inlineStr">
        <is>
          <t>Santa Tecla</t>
        </is>
      </c>
      <c r="H1318" t="inlineStr">
        <is>
          <t>La Libertad</t>
        </is>
      </c>
      <c r="I1318" t="inlineStr">
        <is>
          <t>Óscar Rivas</t>
        </is>
      </c>
      <c r="J1318" t="inlineStr">
        <is>
          <t>2228-7731</t>
        </is>
      </c>
      <c r="K1318" t="inlineStr">
        <is>
          <t>Luis Escobar</t>
        </is>
      </c>
      <c r="L1318" t="inlineStr">
        <is>
          <t>Mario Lemus Flores</t>
        </is>
      </c>
      <c r="M1318" t="inlineStr"/>
      <c r="N1318" t="inlineStr">
        <is>
          <t>6555-2967</t>
        </is>
      </c>
      <c r="O1318" t="inlineStr">
        <is>
          <t>Consumidor final</t>
        </is>
      </c>
      <c r="P1318" t="inlineStr">
        <is>
          <t>BEB-003</t>
        </is>
      </c>
      <c r="Q1318" t="inlineStr">
        <is>
          <t>Horchata en polvo 400g</t>
        </is>
      </c>
      <c r="R1318" t="inlineStr">
        <is>
          <t>Bebidas</t>
        </is>
      </c>
      <c r="S1318" t="inlineStr">
        <is>
          <t>Bebidas Izalco</t>
        </is>
      </c>
      <c r="T1318" t="inlineStr">
        <is>
          <t>2450-7700</t>
        </is>
      </c>
      <c r="U1318" t="n">
        <v>2.6</v>
      </c>
      <c r="V1318" t="n">
        <v>1</v>
      </c>
      <c r="W1318" t="n">
        <v>0</v>
      </c>
      <c r="X1318">
        <f>IFERROR(U1318*V1318*(1-W1318/100),"")</f>
        <v/>
      </c>
      <c r="Y1318">
        <f>IFERROR(ROUND(X1318*0.13,2),"")</f>
        <v/>
      </c>
      <c r="Z1318">
        <f>IFERROR(X1318+Y1318,"")</f>
        <v/>
      </c>
      <c r="AA1318" t="inlineStr">
        <is>
          <t>Tarjeta</t>
        </is>
      </c>
      <c r="AB1318" t="inlineStr">
        <is>
          <t>precio especial autorizado por gerente</t>
        </is>
      </c>
    </row>
    <row r="1319">
      <c r="A1319" t="inlineStr">
        <is>
          <t>F-11492</t>
        </is>
      </c>
      <c r="B1319" t="inlineStr">
        <is>
          <t>2026-09-30</t>
        </is>
      </c>
      <c r="C1319" t="inlineStr">
        <is>
          <t>Factura</t>
        </is>
      </c>
      <c r="D1319" t="inlineStr">
        <is>
          <t>LL01</t>
        </is>
      </c>
      <c r="E1319" t="inlineStr">
        <is>
          <t>Santa Tecla</t>
        </is>
      </c>
      <c r="F1319" t="inlineStr">
        <is>
          <t>Calle Daniel Hernández #18</t>
        </is>
      </c>
      <c r="G1319" t="inlineStr">
        <is>
          <t>Santa Tecla</t>
        </is>
      </c>
      <c r="H1319" t="inlineStr">
        <is>
          <t>La Libertad</t>
        </is>
      </c>
      <c r="I1319" t="inlineStr">
        <is>
          <t>Óscar Rivas</t>
        </is>
      </c>
      <c r="J1319" t="inlineStr">
        <is>
          <t>2228-7731</t>
        </is>
      </c>
      <c r="K1319" t="inlineStr">
        <is>
          <t>Luis Escobar</t>
        </is>
      </c>
      <c r="L1319" t="inlineStr">
        <is>
          <t>Mario Lemus Flores</t>
        </is>
      </c>
      <c r="M1319" t="inlineStr"/>
      <c r="N1319" t="inlineStr">
        <is>
          <t>6555-2967</t>
        </is>
      </c>
      <c r="O1319" t="inlineStr">
        <is>
          <t>Consumidor final</t>
        </is>
      </c>
      <c r="P1319" t="inlineStr">
        <is>
          <t>HIG-003</t>
        </is>
      </c>
      <c r="Q1319" t="inlineStr">
        <is>
          <t>Jabón de lavar barra</t>
        </is>
      </c>
      <c r="R1319" t="inlineStr">
        <is>
          <t>Limpieza</t>
        </is>
      </c>
      <c r="S1319" t="inlineStr">
        <is>
          <t>Higiene Total C.A.</t>
        </is>
      </c>
      <c r="T1319" t="inlineStr">
        <is>
          <t>2207-5566</t>
        </is>
      </c>
      <c r="U1319" t="n">
        <v>0.75</v>
      </c>
      <c r="V1319" t="n">
        <v>2</v>
      </c>
      <c r="W1319" t="n">
        <v>0</v>
      </c>
      <c r="X1319">
        <f>IFERROR(U1319*V1319*(1-W1319/100),"")</f>
        <v/>
      </c>
      <c r="Y1319">
        <f>IFERROR(ROUND(X1319*0.13,2),"")</f>
        <v/>
      </c>
      <c r="Z1319">
        <f>IFERROR(X1319+Y1319,"")</f>
        <v/>
      </c>
      <c r="AA1319" t="inlineStr">
        <is>
          <t>Tarjeta</t>
        </is>
      </c>
      <c r="AB1319" t="inlineStr"/>
    </row>
    <row r="1320">
      <c r="A1320" t="inlineStr">
        <is>
          <t>F-11494</t>
        </is>
      </c>
      <c r="B1320" s="3" t="n">
        <v>46283</v>
      </c>
      <c r="C1320" t="inlineStr">
        <is>
          <t>FCF</t>
        </is>
      </c>
      <c r="D1320" t="inlineStr">
        <is>
          <t>US01</t>
        </is>
      </c>
      <c r="E1320" t="inlineStr">
        <is>
          <t>Usulután</t>
        </is>
      </c>
      <c r="F1320" t="inlineStr">
        <is>
          <t>2a Av. Norte #9</t>
        </is>
      </c>
      <c r="G1320" t="inlineStr">
        <is>
          <t>Usulután</t>
        </is>
      </c>
      <c r="H1320" t="inlineStr">
        <is>
          <t>Usulután</t>
        </is>
      </c>
      <c r="I1320" t="inlineStr">
        <is>
          <t>Nelson Fuentes</t>
        </is>
      </c>
      <c r="J1320" t="inlineStr">
        <is>
          <t>2662-8810</t>
        </is>
      </c>
      <c r="K1320" t="inlineStr">
        <is>
          <t>Miguel Bonilla</t>
        </is>
      </c>
      <c r="L1320" t="inlineStr">
        <is>
          <t>René Alvarado Lemus</t>
        </is>
      </c>
      <c r="M1320" t="inlineStr">
        <is>
          <t>07676586-8</t>
        </is>
      </c>
      <c r="N1320" t="inlineStr">
        <is>
          <t>6907-6114</t>
        </is>
      </c>
      <c r="O1320" t="inlineStr">
        <is>
          <t>Consumidor final</t>
        </is>
      </c>
      <c r="P1320" t="inlineStr">
        <is>
          <t>BEB-002</t>
        </is>
      </c>
      <c r="Q1320" t="inlineStr">
        <is>
          <t>Agua purificada 1 galón</t>
        </is>
      </c>
      <c r="R1320" t="inlineStr">
        <is>
          <t>Bebidas</t>
        </is>
      </c>
      <c r="S1320" t="inlineStr">
        <is>
          <t>Bebidas Izalco</t>
        </is>
      </c>
      <c r="T1320" t="inlineStr">
        <is>
          <t>2450-7700</t>
        </is>
      </c>
      <c r="U1320" t="n">
        <v>1.1</v>
      </c>
      <c r="V1320" t="n">
        <v>1</v>
      </c>
      <c r="W1320" t="n">
        <v>0</v>
      </c>
      <c r="X1320">
        <f>IFERROR(U1320*V1320*(1-W1320/100),"")</f>
        <v/>
      </c>
      <c r="Y1320">
        <f>IFERROR(ROUND(X1320*0.13,2),"")</f>
        <v/>
      </c>
      <c r="Z1320">
        <f>IFERROR(X1320+Y1320,"")</f>
        <v/>
      </c>
      <c r="AA1320" t="inlineStr">
        <is>
          <t>efectivo</t>
        </is>
      </c>
      <c r="AB1320" t="inlineStr"/>
    </row>
    <row r="1321">
      <c r="A1321" t="inlineStr">
        <is>
          <t>F-11494</t>
        </is>
      </c>
      <c r="B1321" s="3" t="n">
        <v>46283</v>
      </c>
      <c r="C1321" t="inlineStr">
        <is>
          <t>FCF</t>
        </is>
      </c>
      <c r="D1321" t="inlineStr">
        <is>
          <t>US01</t>
        </is>
      </c>
      <c r="E1321" t="inlineStr">
        <is>
          <t>Usulutan</t>
        </is>
      </c>
      <c r="F1321" t="inlineStr">
        <is>
          <t>2a Av. Norte #9</t>
        </is>
      </c>
      <c r="G1321" t="inlineStr">
        <is>
          <t>Usulután</t>
        </is>
      </c>
      <c r="H1321" t="inlineStr">
        <is>
          <t>Usulután</t>
        </is>
      </c>
      <c r="I1321" t="inlineStr">
        <is>
          <t>Nelson Fuentes</t>
        </is>
      </c>
      <c r="J1321" t="inlineStr">
        <is>
          <t>2662-8810</t>
        </is>
      </c>
      <c r="K1321" t="inlineStr">
        <is>
          <t>Miguel Bonilla</t>
        </is>
      </c>
      <c r="L1321" t="inlineStr">
        <is>
          <t>René Alvarado Lemus</t>
        </is>
      </c>
      <c r="M1321" t="inlineStr">
        <is>
          <t>07676586-8</t>
        </is>
      </c>
      <c r="N1321" t="inlineStr">
        <is>
          <t>6907-6114</t>
        </is>
      </c>
      <c r="O1321" t="inlineStr">
        <is>
          <t>Consumidor final</t>
        </is>
      </c>
      <c r="P1321" t="inlineStr">
        <is>
          <t>LAC-002</t>
        </is>
      </c>
      <c r="Q1321" t="inlineStr">
        <is>
          <t>Crema 500ml</t>
        </is>
      </c>
      <c r="R1321" t="inlineStr">
        <is>
          <t>Lácteos</t>
        </is>
      </c>
      <c r="S1321" t="inlineStr">
        <is>
          <t>Lácteos Chalate</t>
        </is>
      </c>
      <c r="T1321" t="inlineStr">
        <is>
          <t>2335-1020</t>
        </is>
      </c>
      <c r="U1321" t="n">
        <v>2.25</v>
      </c>
      <c r="V1321" t="n">
        <v>1</v>
      </c>
      <c r="W1321" t="n">
        <v>0</v>
      </c>
      <c r="X1321">
        <f>IFERROR(U1321*V1321*(1-W1321/100),"")</f>
        <v/>
      </c>
      <c r="Y1321">
        <f>IFERROR(ROUND(X1321*0.13,2),"")</f>
        <v/>
      </c>
      <c r="Z1321">
        <f>IFERROR(X1321+Y1321,"")</f>
        <v/>
      </c>
      <c r="AA1321" t="inlineStr">
        <is>
          <t>efectivo</t>
        </is>
      </c>
      <c r="AB1321" t="inlineStr"/>
    </row>
    <row r="1322">
      <c r="A1322" t="inlineStr">
        <is>
          <t>F-11494</t>
        </is>
      </c>
      <c r="B1322" t="inlineStr">
        <is>
          <t>18/09/2026</t>
        </is>
      </c>
      <c r="C1322" t="inlineStr">
        <is>
          <t>FCF</t>
        </is>
      </c>
      <c r="D1322" t="inlineStr">
        <is>
          <t>US01</t>
        </is>
      </c>
      <c r="E1322" t="inlineStr">
        <is>
          <t>Usulutan</t>
        </is>
      </c>
      <c r="F1322" t="inlineStr">
        <is>
          <t>2a Av. Norte #9</t>
        </is>
      </c>
      <c r="G1322" t="inlineStr">
        <is>
          <t>Usulután</t>
        </is>
      </c>
      <c r="H1322" t="inlineStr">
        <is>
          <t>Usulután</t>
        </is>
      </c>
      <c r="I1322" t="inlineStr">
        <is>
          <t>Nelson Fuentes</t>
        </is>
      </c>
      <c r="J1322" t="inlineStr">
        <is>
          <t>2662-8810</t>
        </is>
      </c>
      <c r="K1322" t="inlineStr">
        <is>
          <t>Miguel Bonilla</t>
        </is>
      </c>
      <c r="L1322" t="inlineStr">
        <is>
          <t>René Alvarado Lemus</t>
        </is>
      </c>
      <c r="M1322" t="inlineStr">
        <is>
          <t>07676586-8</t>
        </is>
      </c>
      <c r="N1322" t="inlineStr">
        <is>
          <t>6907-6114</t>
        </is>
      </c>
      <c r="O1322" t="inlineStr">
        <is>
          <t>Consumidor final</t>
        </is>
      </c>
      <c r="P1322" t="inlineStr">
        <is>
          <t>HAR-001</t>
        </is>
      </c>
      <c r="Q1322" t="inlineStr">
        <is>
          <t>Harina de maíz 2lb</t>
        </is>
      </c>
      <c r="R1322" t="inlineStr">
        <is>
          <t>Abarrotes</t>
        </is>
      </c>
      <c r="S1322" t="inlineStr">
        <is>
          <t>Granos del Pacífico</t>
        </is>
      </c>
      <c r="T1322" t="inlineStr">
        <is>
          <t>2234-8890</t>
        </is>
      </c>
      <c r="U1322" t="n">
        <v>1.35</v>
      </c>
      <c r="V1322" t="n">
        <v>12</v>
      </c>
      <c r="W1322" t="n">
        <v>0</v>
      </c>
      <c r="X1322">
        <f>IFERROR(U1322*V1322*(1-W1322/100),"")</f>
        <v/>
      </c>
      <c r="Y1322">
        <f>IFERROR(ROUND(X1322*0.13,2),"")</f>
        <v/>
      </c>
      <c r="Z1322">
        <f>IFERROR(X1322+Y1322,"")</f>
        <v/>
      </c>
      <c r="AA1322" t="inlineStr">
        <is>
          <t>efectivo</t>
        </is>
      </c>
      <c r="AB1322" t="inlineStr">
        <is>
          <t>precio especial autorizado por gerente</t>
        </is>
      </c>
    </row>
    <row r="1323">
      <c r="A1323" t="inlineStr">
        <is>
          <t>F-11495</t>
        </is>
      </c>
      <c r="B1323" s="3" t="n">
        <v>46244</v>
      </c>
      <c r="C1323" t="inlineStr">
        <is>
          <t>Factura</t>
        </is>
      </c>
      <c r="D1323" t="inlineStr">
        <is>
          <t>SO01</t>
        </is>
      </c>
      <c r="E1323" t="inlineStr">
        <is>
          <t>SONSONATE</t>
        </is>
      </c>
      <c r="F1323" t="inlineStr">
        <is>
          <t>Calle Obispo Marroquín #3</t>
        </is>
      </c>
      <c r="G1323" t="inlineStr">
        <is>
          <t>Sonsonate</t>
        </is>
      </c>
      <c r="H1323" t="inlineStr">
        <is>
          <t>Sonsonate</t>
        </is>
      </c>
      <c r="I1323" t="inlineStr">
        <is>
          <t>Ernesto Chávez</t>
        </is>
      </c>
      <c r="J1323" t="inlineStr">
        <is>
          <t>2451-2288</t>
        </is>
      </c>
      <c r="K1323" t="inlineStr">
        <is>
          <t>Ricardo Funes</t>
        </is>
      </c>
      <c r="L1323" t="inlineStr">
        <is>
          <t>Mario Castillo Lemus</t>
        </is>
      </c>
      <c r="M1323" t="inlineStr">
        <is>
          <t>01650441-7</t>
        </is>
      </c>
      <c r="N1323" t="inlineStr">
        <is>
          <t>7833-9440</t>
        </is>
      </c>
      <c r="O1323" t="inlineStr">
        <is>
          <t>Consumidor final</t>
        </is>
      </c>
      <c r="P1323" t="inlineStr">
        <is>
          <t>BEB-002</t>
        </is>
      </c>
      <c r="Q1323" t="inlineStr">
        <is>
          <t>Agua purificada 1 galón</t>
        </is>
      </c>
      <c r="R1323" t="inlineStr">
        <is>
          <t>Bebidas</t>
        </is>
      </c>
      <c r="S1323" t="inlineStr">
        <is>
          <t>Bebidas Izalco</t>
        </is>
      </c>
      <c r="T1323" t="inlineStr">
        <is>
          <t>2450-7700</t>
        </is>
      </c>
      <c r="U1323" t="inlineStr">
        <is>
          <t>$1.10</t>
        </is>
      </c>
      <c r="V1323" t="n">
        <v>1</v>
      </c>
      <c r="W1323" t="n">
        <v>0</v>
      </c>
      <c r="X1323">
        <f>IFERROR(U1323*V1323*(1-W1323/100),"")</f>
        <v/>
      </c>
      <c r="Y1323">
        <f>IFERROR(ROUND(X1323*0.13,2),"")</f>
        <v/>
      </c>
      <c r="Z1323">
        <f>IFERROR(X1323+Y1323,"")</f>
        <v/>
      </c>
      <c r="AA1323" t="inlineStr">
        <is>
          <t>Efectivo</t>
        </is>
      </c>
      <c r="AB1323" t="inlineStr"/>
    </row>
    <row r="1324">
      <c r="A1324" t="inlineStr">
        <is>
          <t>F-11495</t>
        </is>
      </c>
      <c r="B1324" s="3" t="n">
        <v>46244</v>
      </c>
      <c r="C1324" t="inlineStr">
        <is>
          <t>Factura</t>
        </is>
      </c>
      <c r="D1324" t="inlineStr">
        <is>
          <t>SO01</t>
        </is>
      </c>
      <c r="E1324" t="inlineStr">
        <is>
          <t>SONSONATE</t>
        </is>
      </c>
      <c r="F1324" t="inlineStr">
        <is>
          <t>Calle Obispo Marroquín #3</t>
        </is>
      </c>
      <c r="G1324" t="inlineStr">
        <is>
          <t>Sonsonate</t>
        </is>
      </c>
      <c r="H1324" t="inlineStr">
        <is>
          <t>Sonsonate</t>
        </is>
      </c>
      <c r="I1324" t="inlineStr">
        <is>
          <t>Ernesto Chávez</t>
        </is>
      </c>
      <c r="J1324" t="inlineStr">
        <is>
          <t>2451-2288</t>
        </is>
      </c>
      <c r="K1324" t="inlineStr">
        <is>
          <t>Ricardo Funes</t>
        </is>
      </c>
      <c r="L1324" t="inlineStr">
        <is>
          <t>Mario Castillo Lemus</t>
        </is>
      </c>
      <c r="M1324" t="inlineStr">
        <is>
          <t>01650441-7</t>
        </is>
      </c>
      <c r="N1324" t="inlineStr">
        <is>
          <t>7833-9440</t>
        </is>
      </c>
      <c r="O1324" t="inlineStr">
        <is>
          <t>Consumidor final</t>
        </is>
      </c>
      <c r="P1324" t="inlineStr">
        <is>
          <t>BEB-003</t>
        </is>
      </c>
      <c r="Q1324" t="inlineStr">
        <is>
          <t>Horchata en polvo 400g</t>
        </is>
      </c>
      <c r="R1324" t="inlineStr">
        <is>
          <t>Bebidas</t>
        </is>
      </c>
      <c r="S1324" t="inlineStr">
        <is>
          <t>Bebidas Izalco</t>
        </is>
      </c>
      <c r="T1324" t="inlineStr">
        <is>
          <t>2450-7700</t>
        </is>
      </c>
      <c r="U1324" t="n">
        <v>2.6</v>
      </c>
      <c r="V1324" t="n">
        <v>3</v>
      </c>
      <c r="W1324" t="n">
        <v>0</v>
      </c>
      <c r="X1324">
        <f>IFERROR(U1324*V1324*(1-W1324/100),"")</f>
        <v/>
      </c>
      <c r="Y1324">
        <f>IFERROR(ROUND(X1324*0.13,2),"")</f>
        <v/>
      </c>
      <c r="Z1324">
        <f>IFERROR(X1324+Y1324,"")</f>
        <v/>
      </c>
      <c r="AA1324" t="inlineStr">
        <is>
          <t>Efectivo</t>
        </is>
      </c>
      <c r="AB1324" t="inlineStr">
        <is>
          <t>precio especial autorizado por gerente</t>
        </is>
      </c>
    </row>
    <row r="1325">
      <c r="A1325" t="inlineStr">
        <is>
          <t>F-11495</t>
        </is>
      </c>
      <c r="B1325" s="3" t="n">
        <v>46244</v>
      </c>
      <c r="C1325" t="inlineStr">
        <is>
          <t>Factura</t>
        </is>
      </c>
      <c r="D1325" t="inlineStr">
        <is>
          <t>SO01</t>
        </is>
      </c>
      <c r="E1325" t="inlineStr">
        <is>
          <t>Sonsonate</t>
        </is>
      </c>
      <c r="F1325" t="inlineStr">
        <is>
          <t>Calle Obispo Marroquín #3</t>
        </is>
      </c>
      <c r="G1325" t="inlineStr">
        <is>
          <t>Sonsonate</t>
        </is>
      </c>
      <c r="H1325" t="inlineStr">
        <is>
          <t>Sonsonate</t>
        </is>
      </c>
      <c r="I1325" t="inlineStr">
        <is>
          <t>Ernesto Chávez</t>
        </is>
      </c>
      <c r="J1325" t="inlineStr">
        <is>
          <t>2451-2288</t>
        </is>
      </c>
      <c r="K1325" t="inlineStr">
        <is>
          <t>Ricardo Funes</t>
        </is>
      </c>
      <c r="L1325" t="inlineStr">
        <is>
          <t>Mario Castillo Lemus</t>
        </is>
      </c>
      <c r="M1325" t="inlineStr">
        <is>
          <t>01650441-7</t>
        </is>
      </c>
      <c r="N1325" t="inlineStr">
        <is>
          <t>7833-9440</t>
        </is>
      </c>
      <c r="O1325" t="inlineStr">
        <is>
          <t>Consumidor final</t>
        </is>
      </c>
      <c r="P1325" t="inlineStr">
        <is>
          <t>HIG-001</t>
        </is>
      </c>
      <c r="Q1325" t="inlineStr">
        <is>
          <t>Detergente 1kg</t>
        </is>
      </c>
      <c r="R1325" t="inlineStr">
        <is>
          <t>limpieza</t>
        </is>
      </c>
      <c r="S1325" t="inlineStr">
        <is>
          <t>Higiene Total C.A.</t>
        </is>
      </c>
      <c r="T1325" t="inlineStr">
        <is>
          <t>2207-5566</t>
        </is>
      </c>
      <c r="U1325" t="n">
        <v>3.45</v>
      </c>
      <c r="V1325" t="n">
        <v>1</v>
      </c>
      <c r="W1325" t="n">
        <v>0</v>
      </c>
      <c r="X1325">
        <f>IFERROR(U1325*V1325*(1-W1325/100),"")</f>
        <v/>
      </c>
      <c r="Y1325">
        <f>IFERROR(ROUND(X1325*0.13,2),"")</f>
        <v/>
      </c>
      <c r="Z1325">
        <f>IFERROR(X1325+Y1325,"")</f>
        <v/>
      </c>
      <c r="AA1325" t="inlineStr">
        <is>
          <t>Efectivo</t>
        </is>
      </c>
      <c r="AB1325" t="inlineStr">
        <is>
          <t>Cliente frecuente</t>
        </is>
      </c>
    </row>
    <row r="1326">
      <c r="A1326" t="inlineStr">
        <is>
          <t>F-11495</t>
        </is>
      </c>
      <c r="B1326" s="3" t="n">
        <v>46244</v>
      </c>
      <c r="C1326" t="inlineStr">
        <is>
          <t>Factura</t>
        </is>
      </c>
      <c r="D1326" t="inlineStr">
        <is>
          <t>SO01</t>
        </is>
      </c>
      <c r="E1326" t="inlineStr">
        <is>
          <t>Sonsonate</t>
        </is>
      </c>
      <c r="F1326" t="inlineStr">
        <is>
          <t>Calle Obispo Marroquín #3</t>
        </is>
      </c>
      <c r="G1326" t="inlineStr">
        <is>
          <t>Sonsonate</t>
        </is>
      </c>
      <c r="H1326" t="inlineStr">
        <is>
          <t>Sonsonate</t>
        </is>
      </c>
      <c r="I1326" t="inlineStr">
        <is>
          <t>Ernesto Chávez</t>
        </is>
      </c>
      <c r="J1326" t="inlineStr">
        <is>
          <t>2451-2288</t>
        </is>
      </c>
      <c r="K1326" t="inlineStr">
        <is>
          <t>Ricardo Funes</t>
        </is>
      </c>
      <c r="L1326" t="inlineStr">
        <is>
          <t>Mario Castillo Lemus</t>
        </is>
      </c>
      <c r="M1326" t="inlineStr">
        <is>
          <t>01650441-7</t>
        </is>
      </c>
      <c r="N1326" t="inlineStr">
        <is>
          <t>7833-9440</t>
        </is>
      </c>
      <c r="O1326" t="inlineStr">
        <is>
          <t>Consumidor final</t>
        </is>
      </c>
      <c r="P1326" t="inlineStr">
        <is>
          <t>CAF-001</t>
        </is>
      </c>
      <c r="Q1326" t="inlineStr">
        <is>
          <t>Café molido 400g</t>
        </is>
      </c>
      <c r="R1326" t="inlineStr">
        <is>
          <t>Abarrotes</t>
        </is>
      </c>
      <c r="S1326" t="inlineStr">
        <is>
          <t>Café Volcán S.A.</t>
        </is>
      </c>
      <c r="T1326" t="inlineStr">
        <is>
          <t>2510-3344</t>
        </is>
      </c>
      <c r="U1326" t="n">
        <v>4.25</v>
      </c>
      <c r="V1326" t="n">
        <v>24</v>
      </c>
      <c r="W1326" t="n">
        <v>0</v>
      </c>
      <c r="X1326">
        <f>IFERROR(U1326*V1326*(1-W1326/100),"")</f>
        <v/>
      </c>
      <c r="Y1326">
        <f>IFERROR(ROUND(X1326*0.13,2),"")</f>
        <v/>
      </c>
      <c r="Z1326">
        <f>IFERROR(X1326+Y1326,"")</f>
        <v/>
      </c>
      <c r="AA1326" t="inlineStr">
        <is>
          <t>Efectivo</t>
        </is>
      </c>
      <c r="AB1326" t="inlineStr">
        <is>
          <t>entregar en bodega</t>
        </is>
      </c>
    </row>
    <row r="1327">
      <c r="A1327" t="inlineStr">
        <is>
          <t>11497</t>
        </is>
      </c>
      <c r="B1327" s="3" t="n">
        <v>46281</v>
      </c>
      <c r="C1327" t="inlineStr">
        <is>
          <t>Factura</t>
        </is>
      </c>
      <c r="D1327" t="inlineStr">
        <is>
          <t>SM01</t>
        </is>
      </c>
      <c r="E1327" t="inlineStr">
        <is>
          <t>S. Miguel</t>
        </is>
      </c>
      <c r="F1327" t="inlineStr">
        <is>
          <t>Av. Roosevelt Sur #7</t>
        </is>
      </c>
      <c r="G1327" t="inlineStr">
        <is>
          <t>San Miguel</t>
        </is>
      </c>
      <c r="H1327" t="inlineStr">
        <is>
          <t>San Miguel</t>
        </is>
      </c>
      <c r="I1327" t="inlineStr">
        <is>
          <t>Iris Portillo</t>
        </is>
      </c>
      <c r="J1327" t="inlineStr">
        <is>
          <t>2661-5076</t>
        </is>
      </c>
      <c r="K1327" t="inlineStr">
        <is>
          <t>Jorge Villalta</t>
        </is>
      </c>
      <c r="L1327" t="inlineStr">
        <is>
          <t>Douglas Ramírez Romero</t>
        </is>
      </c>
      <c r="M1327" t="inlineStr">
        <is>
          <t>09442743-4</t>
        </is>
      </c>
      <c r="N1327" t="inlineStr">
        <is>
          <t>7669-3172</t>
        </is>
      </c>
      <c r="O1327" t="inlineStr">
        <is>
          <t>Consumidor final</t>
        </is>
      </c>
      <c r="P1327" t="inlineStr">
        <is>
          <t>AZU-001</t>
        </is>
      </c>
      <c r="Q1327" t="inlineStr">
        <is>
          <t>Azúcar blanca 2.5kg</t>
        </is>
      </c>
      <c r="R1327" t="inlineStr">
        <is>
          <t>Abarrotes</t>
        </is>
      </c>
      <c r="S1327" t="inlineStr">
        <is>
          <t>Granos del Pacífico</t>
        </is>
      </c>
      <c r="T1327" t="inlineStr">
        <is>
          <t>2234-8890</t>
        </is>
      </c>
      <c r="U1327" t="n">
        <v>3.1</v>
      </c>
      <c r="V1327" t="n">
        <v>4</v>
      </c>
      <c r="W1327" t="n">
        <v>0</v>
      </c>
      <c r="X1327">
        <f>IFERROR(U1327*V1327*(1-W1327/100),"")</f>
        <v/>
      </c>
      <c r="Y1327">
        <f>IFERROR(ROUND(X1327*0.13,2),"")</f>
        <v/>
      </c>
      <c r="Z1327">
        <f>IFERROR(X1327+Y1327,"")</f>
        <v/>
      </c>
      <c r="AA1327" t="inlineStr">
        <is>
          <t>Efectivo</t>
        </is>
      </c>
      <c r="AB1327" t="inlineStr"/>
    </row>
    <row r="1328">
      <c r="A1328" t="inlineStr">
        <is>
          <t>F-11499</t>
        </is>
      </c>
      <c r="B1328" s="3" t="n">
        <v>46241</v>
      </c>
      <c r="C1328" t="inlineStr">
        <is>
          <t>Factura</t>
        </is>
      </c>
      <c r="D1328" t="inlineStr">
        <is>
          <t>SS02</t>
        </is>
      </c>
      <c r="E1328" t="inlineStr">
        <is>
          <t>ESCALON</t>
        </is>
      </c>
      <c r="F1328" t="inlineStr">
        <is>
          <t>Paseo General Escalón #3910</t>
        </is>
      </c>
      <c r="G1328" t="inlineStr">
        <is>
          <t>San Salvador</t>
        </is>
      </c>
      <c r="H1328" t="inlineStr">
        <is>
          <t>San Salvador</t>
        </is>
      </c>
      <c r="I1328" t="inlineStr">
        <is>
          <t>Claudia Menjívar</t>
        </is>
      </c>
      <c r="J1328" t="inlineStr">
        <is>
          <t>2264-1190</t>
        </is>
      </c>
      <c r="K1328" t="inlineStr">
        <is>
          <t>Fátima Rosales</t>
        </is>
      </c>
      <c r="L1328" t="inlineStr">
        <is>
          <t>Carlos Mejía García</t>
        </is>
      </c>
      <c r="M1328" t="inlineStr">
        <is>
          <t>07315753-2</t>
        </is>
      </c>
      <c r="N1328" t="inlineStr">
        <is>
          <t>2800-1990</t>
        </is>
      </c>
      <c r="O1328" t="inlineStr">
        <is>
          <t>Consumidor final</t>
        </is>
      </c>
      <c r="P1328" t="inlineStr">
        <is>
          <t>PAN-002</t>
        </is>
      </c>
      <c r="Q1328" t="inlineStr">
        <is>
          <t>Semita alta</t>
        </is>
      </c>
      <c r="R1328" t="inlineStr">
        <is>
          <t>Panadería</t>
        </is>
      </c>
      <c r="S1328" t="inlineStr">
        <is>
          <t>Panificadora Ilopango</t>
        </is>
      </c>
      <c r="T1328" t="inlineStr">
        <is>
          <t>2295-0081</t>
        </is>
      </c>
      <c r="U1328" t="n">
        <v>1.75</v>
      </c>
      <c r="V1328" t="n">
        <v>12</v>
      </c>
      <c r="W1328" t="n">
        <v>0</v>
      </c>
      <c r="X1328">
        <f>IFERROR(U1328*V1328*(1-W1328/100),"")</f>
        <v/>
      </c>
      <c r="Y1328">
        <f>IFERROR(ROUND(X1328*0.13,2),"")</f>
        <v/>
      </c>
      <c r="Z1328">
        <f>IFERROR(X1328+Y1328,"")</f>
        <v/>
      </c>
      <c r="AA1328" t="inlineStr">
        <is>
          <t>Efectivo</t>
        </is>
      </c>
      <c r="AB1328" t="inlineStr"/>
    </row>
    <row r="1329">
      <c r="A1329" t="inlineStr">
        <is>
          <t>F-11499</t>
        </is>
      </c>
      <c r="B1329" s="3" t="n">
        <v>46241</v>
      </c>
      <c r="C1329" t="inlineStr">
        <is>
          <t>Factura</t>
        </is>
      </c>
      <c r="D1329" t="inlineStr">
        <is>
          <t>SS02</t>
        </is>
      </c>
      <c r="E1329" t="inlineStr">
        <is>
          <t>Escalon</t>
        </is>
      </c>
      <c r="F1329" t="inlineStr">
        <is>
          <t>Paseo General Escalón #3910</t>
        </is>
      </c>
      <c r="G1329" t="inlineStr">
        <is>
          <t>San Salvador</t>
        </is>
      </c>
      <c r="H1329" t="inlineStr">
        <is>
          <t>San Salvador</t>
        </is>
      </c>
      <c r="I1329" t="inlineStr">
        <is>
          <t>Claudia Menjívar</t>
        </is>
      </c>
      <c r="J1329" t="inlineStr">
        <is>
          <t>2264-1190</t>
        </is>
      </c>
      <c r="K1329" t="inlineStr">
        <is>
          <t>Fátima Rosales</t>
        </is>
      </c>
      <c r="L1329" t="inlineStr">
        <is>
          <t>Carlos Mejía García</t>
        </is>
      </c>
      <c r="M1329" t="inlineStr">
        <is>
          <t>07315753-2</t>
        </is>
      </c>
      <c r="N1329" t="inlineStr">
        <is>
          <t>2800-1990</t>
        </is>
      </c>
      <c r="O1329" t="inlineStr">
        <is>
          <t>Consumidor final</t>
        </is>
      </c>
      <c r="P1329" t="inlineStr">
        <is>
          <t>CAF-001</t>
        </is>
      </c>
      <c r="Q1329" t="inlineStr">
        <is>
          <t>Café molido 400g</t>
        </is>
      </c>
      <c r="R1329" t="inlineStr">
        <is>
          <t>Abarrotes</t>
        </is>
      </c>
      <c r="S1329" t="inlineStr">
        <is>
          <t>Café Volcán S.A.</t>
        </is>
      </c>
      <c r="T1329" t="inlineStr">
        <is>
          <t>2510-3344</t>
        </is>
      </c>
      <c r="U1329" t="inlineStr">
        <is>
          <t>4,25</t>
        </is>
      </c>
      <c r="V1329" t="n">
        <v>1</v>
      </c>
      <c r="W1329" t="n">
        <v>0</v>
      </c>
      <c r="X1329">
        <f>IFERROR(U1329*V1329*(1-W1329/100),"")</f>
        <v/>
      </c>
      <c r="Y1329">
        <f>IFERROR(ROUND(X1329*0.13,2),"")</f>
        <v/>
      </c>
      <c r="Z1329">
        <f>IFERROR(X1329+Y1329,"")</f>
        <v/>
      </c>
      <c r="AA1329" t="inlineStr">
        <is>
          <t>Efectivo</t>
        </is>
      </c>
      <c r="AB1329" t="inlineStr"/>
    </row>
    <row r="1330">
      <c r="A1330" t="inlineStr">
        <is>
          <t>F-11502</t>
        </is>
      </c>
      <c r="B1330" t="inlineStr">
        <is>
          <t>19/09/2026</t>
        </is>
      </c>
      <c r="C1330" t="inlineStr">
        <is>
          <t>Factura</t>
        </is>
      </c>
      <c r="D1330" t="inlineStr">
        <is>
          <t>SA01</t>
        </is>
      </c>
      <c r="E1330" t="inlineStr">
        <is>
          <t>STA ANA</t>
        </is>
      </c>
      <c r="F1330" t="inlineStr">
        <is>
          <t>Av. Independencia Sur #12</t>
        </is>
      </c>
      <c r="G1330" t="inlineStr">
        <is>
          <t>Santa Ana</t>
        </is>
      </c>
      <c r="H1330" t="inlineStr">
        <is>
          <t>Santa Ana</t>
        </is>
      </c>
      <c r="I1330" t="inlineStr">
        <is>
          <t>Verónica Sandoval</t>
        </is>
      </c>
      <c r="J1330" t="inlineStr">
        <is>
          <t>2440-9921</t>
        </is>
      </c>
      <c r="K1330" t="inlineStr">
        <is>
          <t>Sofía Cáceres</t>
        </is>
      </c>
      <c r="L1330" t="inlineStr">
        <is>
          <t>Ana Pérez Rivera</t>
        </is>
      </c>
      <c r="M1330" t="inlineStr">
        <is>
          <t>00820199-8</t>
        </is>
      </c>
      <c r="N1330" t="inlineStr">
        <is>
          <t>7205-8035</t>
        </is>
      </c>
      <c r="O1330" t="inlineStr">
        <is>
          <t>Consumidor final</t>
        </is>
      </c>
      <c r="P1330" t="inlineStr">
        <is>
          <t>HAR-001</t>
        </is>
      </c>
      <c r="Q1330" t="inlineStr">
        <is>
          <t>Harina de maíz 2lb</t>
        </is>
      </c>
      <c r="R1330" t="inlineStr">
        <is>
          <t>Abarrotes</t>
        </is>
      </c>
      <c r="S1330" t="inlineStr">
        <is>
          <t>Granos del Pacífico</t>
        </is>
      </c>
      <c r="T1330" t="inlineStr">
        <is>
          <t>2234-8890</t>
        </is>
      </c>
      <c r="U1330" t="n">
        <v>1.35</v>
      </c>
      <c r="V1330" t="n">
        <v>4</v>
      </c>
      <c r="W1330" t="n">
        <v>0</v>
      </c>
      <c r="X1330">
        <f>IFERROR(U1330*V1330*(1-W1330/100),"")</f>
        <v/>
      </c>
      <c r="Y1330">
        <f>IFERROR(ROUND(X1330*0.13,2),"")</f>
        <v/>
      </c>
      <c r="Z1330">
        <f>IFERROR(X1330+Y1330,"")</f>
        <v/>
      </c>
      <c r="AA1330" t="inlineStr">
        <is>
          <t>Efectivo</t>
        </is>
      </c>
      <c r="AB1330" t="inlineStr"/>
    </row>
    <row r="1331">
      <c r="A1331" t="inlineStr">
        <is>
          <t>F-11502</t>
        </is>
      </c>
      <c r="B1331" s="3" t="n">
        <v>46284</v>
      </c>
      <c r="C1331" t="inlineStr">
        <is>
          <t>Factura</t>
        </is>
      </c>
      <c r="D1331" t="inlineStr">
        <is>
          <t>SA01</t>
        </is>
      </c>
      <c r="E1331" t="inlineStr">
        <is>
          <t>Santa  Ana</t>
        </is>
      </c>
      <c r="F1331" t="inlineStr">
        <is>
          <t>Av. Independencia Sur #12</t>
        </is>
      </c>
      <c r="G1331" t="inlineStr">
        <is>
          <t>Santa Ana</t>
        </is>
      </c>
      <c r="H1331" t="inlineStr">
        <is>
          <t>Santa Ana</t>
        </is>
      </c>
      <c r="I1331" t="inlineStr">
        <is>
          <t>Verónica Sandoval</t>
        </is>
      </c>
      <c r="J1331" t="inlineStr">
        <is>
          <t>2440-9921</t>
        </is>
      </c>
      <c r="K1331" t="inlineStr">
        <is>
          <t>Sofía Cáceres</t>
        </is>
      </c>
      <c r="L1331" t="inlineStr">
        <is>
          <t>Ana Pérez Rivera</t>
        </is>
      </c>
      <c r="M1331" t="inlineStr"/>
      <c r="N1331" t="inlineStr">
        <is>
          <t>7205-8035</t>
        </is>
      </c>
      <c r="O1331" t="inlineStr">
        <is>
          <t>Consumidor final</t>
        </is>
      </c>
      <c r="P1331" t="inlineStr">
        <is>
          <t>LAC-002</t>
        </is>
      </c>
      <c r="Q1331" t="inlineStr">
        <is>
          <t>Crema 500ml</t>
        </is>
      </c>
      <c r="R1331" t="inlineStr">
        <is>
          <t>Lacteos</t>
        </is>
      </c>
      <c r="S1331" t="inlineStr">
        <is>
          <t>Lácteos Chalate</t>
        </is>
      </c>
      <c r="T1331" t="inlineStr">
        <is>
          <t>7120-4455</t>
        </is>
      </c>
      <c r="U1331" t="n">
        <v>2.25</v>
      </c>
      <c r="V1331" t="n">
        <v>2</v>
      </c>
      <c r="W1331" t="n">
        <v>0</v>
      </c>
      <c r="X1331">
        <f>IFERROR(U1331*V1331*(1-W1331/100),"")</f>
        <v/>
      </c>
      <c r="Y1331">
        <f>IFERROR(ROUND(X1331*0.13,2),"")</f>
        <v/>
      </c>
      <c r="Z1331">
        <f>IFERROR(X1331+Y1331,"")</f>
        <v/>
      </c>
      <c r="AA1331" t="inlineStr">
        <is>
          <t>Efectivo</t>
        </is>
      </c>
      <c r="AB1331" t="inlineStr">
        <is>
          <t>precio especial autorizado por gerente</t>
        </is>
      </c>
    </row>
    <row r="1332">
      <c r="A1332" t="inlineStr">
        <is>
          <t>F-11502</t>
        </is>
      </c>
      <c r="B1332" s="3" t="n">
        <v>46284</v>
      </c>
      <c r="C1332" t="inlineStr">
        <is>
          <t>Factura</t>
        </is>
      </c>
      <c r="D1332" t="inlineStr">
        <is>
          <t>SA01</t>
        </is>
      </c>
      <c r="E1332" t="inlineStr">
        <is>
          <t>Santa Ana</t>
        </is>
      </c>
      <c r="F1332" t="inlineStr">
        <is>
          <t>Av. Independencia Sur #12</t>
        </is>
      </c>
      <c r="G1332" t="inlineStr">
        <is>
          <t>Santa Ana</t>
        </is>
      </c>
      <c r="H1332" t="inlineStr">
        <is>
          <t>Santa Ana</t>
        </is>
      </c>
      <c r="I1332" t="inlineStr">
        <is>
          <t>Verónica Sandoval</t>
        </is>
      </c>
      <c r="J1332" t="inlineStr">
        <is>
          <t>2440-9921</t>
        </is>
      </c>
      <c r="K1332" t="inlineStr">
        <is>
          <t>Sofía Cáceres</t>
        </is>
      </c>
      <c r="L1332" t="inlineStr">
        <is>
          <t>Ana Pérez Rivera</t>
        </is>
      </c>
      <c r="M1332" t="inlineStr">
        <is>
          <t>00820199-8</t>
        </is>
      </c>
      <c r="N1332" t="inlineStr">
        <is>
          <t>7205-8035</t>
        </is>
      </c>
      <c r="O1332" t="inlineStr">
        <is>
          <t>Consumidor final</t>
        </is>
      </c>
      <c r="P1332" t="inlineStr">
        <is>
          <t>BEB-003</t>
        </is>
      </c>
      <c r="Q1332" t="inlineStr">
        <is>
          <t>Horchata en polvo 400g</t>
        </is>
      </c>
      <c r="R1332" t="inlineStr">
        <is>
          <t>Bebidas</t>
        </is>
      </c>
      <c r="S1332" t="inlineStr">
        <is>
          <t>Bebidas Izalco</t>
        </is>
      </c>
      <c r="T1332" t="inlineStr">
        <is>
          <t>2450-7700</t>
        </is>
      </c>
      <c r="U1332" t="n">
        <v>2.6</v>
      </c>
      <c r="V1332" t="n">
        <v>2</v>
      </c>
      <c r="W1332" t="n">
        <v>0</v>
      </c>
      <c r="X1332">
        <f>IFERROR(U1332*V1332*(1-W1332/100),"")</f>
        <v/>
      </c>
      <c r="Y1332">
        <f>IFERROR(ROUND(X1332*0.13,2),"")</f>
        <v/>
      </c>
      <c r="Z1332">
        <f>IFERROR(X1332+Y1332,"")</f>
        <v/>
      </c>
      <c r="AA1332" t="inlineStr">
        <is>
          <t>Efectivo</t>
        </is>
      </c>
      <c r="AB1332" t="inlineStr">
        <is>
          <t>Llamar al 7788-1234 antes de entregar</t>
        </is>
      </c>
    </row>
    <row r="1333">
      <c r="A1333" t="inlineStr">
        <is>
          <t>F-11502</t>
        </is>
      </c>
      <c r="B1333" s="3" t="n">
        <v>46284</v>
      </c>
      <c r="C1333" t="inlineStr">
        <is>
          <t>Factura</t>
        </is>
      </c>
      <c r="D1333" t="inlineStr">
        <is>
          <t>SA01</t>
        </is>
      </c>
      <c r="E1333" t="inlineStr">
        <is>
          <t>STA ANA</t>
        </is>
      </c>
      <c r="F1333" t="inlineStr">
        <is>
          <t>Av. Independencia Sur #12</t>
        </is>
      </c>
      <c r="G1333" t="inlineStr">
        <is>
          <t>Santa Ana</t>
        </is>
      </c>
      <c r="H1333" t="inlineStr">
        <is>
          <t>Santa Ana</t>
        </is>
      </c>
      <c r="I1333" t="inlineStr">
        <is>
          <t>Verónica Sandoval</t>
        </is>
      </c>
      <c r="J1333" t="inlineStr">
        <is>
          <t>2440-9921</t>
        </is>
      </c>
      <c r="K1333" t="inlineStr">
        <is>
          <t>Sofía Cáceres</t>
        </is>
      </c>
      <c r="L1333" t="inlineStr">
        <is>
          <t>Ana Pérez Rivera</t>
        </is>
      </c>
      <c r="M1333" t="inlineStr">
        <is>
          <t>00820199-8</t>
        </is>
      </c>
      <c r="N1333" t="inlineStr">
        <is>
          <t>7205-8035</t>
        </is>
      </c>
      <c r="O1333" t="inlineStr">
        <is>
          <t>Consumidor final</t>
        </is>
      </c>
      <c r="P1333" t="inlineStr">
        <is>
          <t>CAF-002</t>
        </is>
      </c>
      <c r="Q1333" t="inlineStr">
        <is>
          <t>Café en grano 1lb</t>
        </is>
      </c>
      <c r="R1333" t="inlineStr">
        <is>
          <t>Abarrotes</t>
        </is>
      </c>
      <c r="S1333" t="inlineStr">
        <is>
          <t>Café Volcán S.A.</t>
        </is>
      </c>
      <c r="T1333" t="inlineStr">
        <is>
          <t>2510-3344</t>
        </is>
      </c>
      <c r="U1333" t="n">
        <v>6.75</v>
      </c>
      <c r="V1333" t="n">
        <v>3</v>
      </c>
      <c r="W1333" t="n">
        <v>0</v>
      </c>
      <c r="X1333">
        <f>IFERROR(U1333*V1333*(1-W1333/100),"")</f>
        <v/>
      </c>
      <c r="Y1333">
        <f>IFERROR(ROUND(X1333*0.13,2),"")</f>
        <v/>
      </c>
      <c r="Z1333">
        <f>IFERROR(X1333+Y1333,"")</f>
        <v/>
      </c>
      <c r="AA1333" t="inlineStr">
        <is>
          <t>Efectivo</t>
        </is>
      </c>
      <c r="AB1333" t="inlineStr"/>
    </row>
    <row r="1334">
      <c r="A1334" t="inlineStr">
        <is>
          <t>F-11504</t>
        </is>
      </c>
      <c r="B1334" s="3" t="n">
        <v>46265</v>
      </c>
      <c r="C1334" t="inlineStr">
        <is>
          <t>FCF</t>
        </is>
      </c>
      <c r="D1334" t="inlineStr">
        <is>
          <t>US01</t>
        </is>
      </c>
      <c r="E1334" t="inlineStr">
        <is>
          <t>Usulután</t>
        </is>
      </c>
      <c r="F1334" t="inlineStr">
        <is>
          <t>2a Av. Norte #9</t>
        </is>
      </c>
      <c r="G1334" t="inlineStr">
        <is>
          <t>Usulután</t>
        </is>
      </c>
      <c r="H1334" t="inlineStr">
        <is>
          <t>Usulután</t>
        </is>
      </c>
      <c r="I1334" t="inlineStr">
        <is>
          <t>Nelson Fuentes</t>
        </is>
      </c>
      <c r="J1334" t="inlineStr">
        <is>
          <t>2662-8810</t>
        </is>
      </c>
      <c r="K1334" t="inlineStr">
        <is>
          <t>Miguel Bonilla</t>
        </is>
      </c>
      <c r="L1334" t="inlineStr">
        <is>
          <t>José López Pérez</t>
        </is>
      </c>
      <c r="M1334" t="inlineStr">
        <is>
          <t>07894436-0</t>
        </is>
      </c>
      <c r="N1334" t="inlineStr">
        <is>
          <t>2795-9333</t>
        </is>
      </c>
      <c r="O1334" t="inlineStr">
        <is>
          <t>Consumidor final</t>
        </is>
      </c>
      <c r="P1334" t="inlineStr">
        <is>
          <t>CAF-002</t>
        </is>
      </c>
      <c r="Q1334" t="inlineStr">
        <is>
          <t>Café en grano 1lb</t>
        </is>
      </c>
      <c r="R1334" t="inlineStr">
        <is>
          <t>Abarrotes</t>
        </is>
      </c>
      <c r="S1334" t="inlineStr">
        <is>
          <t>Café Volcán S.A.</t>
        </is>
      </c>
      <c r="T1334" t="inlineStr">
        <is>
          <t>2510-3344</t>
        </is>
      </c>
      <c r="U1334" t="n">
        <v>6.75</v>
      </c>
      <c r="V1334" t="n">
        <v>3</v>
      </c>
      <c r="W1334" t="n">
        <v>0</v>
      </c>
      <c r="X1334">
        <f>IFERROR(U1334*V1334*(1-W1334/100),"")</f>
        <v/>
      </c>
      <c r="Y1334">
        <f>IFERROR(ROUND(X1334*0.13,2),"")</f>
        <v/>
      </c>
      <c r="Z1334">
        <f>IFERROR(X1334+Y1334,"")</f>
        <v/>
      </c>
      <c r="AA1334" t="inlineStr">
        <is>
          <t>Efectivo</t>
        </is>
      </c>
      <c r="AB1334" t="inlineStr">
        <is>
          <t>Cliente frecuente</t>
        </is>
      </c>
    </row>
    <row r="1335">
      <c r="A1335" t="inlineStr">
        <is>
          <t>F-11504</t>
        </is>
      </c>
      <c r="B1335" t="inlineStr">
        <is>
          <t>31/08/2026</t>
        </is>
      </c>
      <c r="C1335" t="inlineStr">
        <is>
          <t>FCF</t>
        </is>
      </c>
      <c r="D1335" t="inlineStr">
        <is>
          <t>US01</t>
        </is>
      </c>
      <c r="E1335" t="inlineStr">
        <is>
          <t>Usulután</t>
        </is>
      </c>
      <c r="F1335" t="inlineStr">
        <is>
          <t>2a Av. Norte #9</t>
        </is>
      </c>
      <c r="G1335" t="inlineStr">
        <is>
          <t>Usulután</t>
        </is>
      </c>
      <c r="H1335" t="inlineStr">
        <is>
          <t>Usulután</t>
        </is>
      </c>
      <c r="I1335" t="inlineStr">
        <is>
          <t>Nelson Fuentes</t>
        </is>
      </c>
      <c r="J1335" t="inlineStr">
        <is>
          <t>2662-8810</t>
        </is>
      </c>
      <c r="K1335" t="inlineStr">
        <is>
          <t>Miguel Bonilla</t>
        </is>
      </c>
      <c r="L1335" t="inlineStr">
        <is>
          <t>José López Pérez</t>
        </is>
      </c>
      <c r="M1335" t="inlineStr">
        <is>
          <t>07894436-0</t>
        </is>
      </c>
      <c r="N1335" t="inlineStr">
        <is>
          <t>2795-9333</t>
        </is>
      </c>
      <c r="O1335" t="inlineStr">
        <is>
          <t>Consumidor final</t>
        </is>
      </c>
      <c r="P1335" t="inlineStr">
        <is>
          <t>HIG-001</t>
        </is>
      </c>
      <c r="Q1335" t="inlineStr">
        <is>
          <t>Detergente 1kg</t>
        </is>
      </c>
      <c r="R1335" t="inlineStr">
        <is>
          <t>Limpieza</t>
        </is>
      </c>
      <c r="S1335" t="inlineStr">
        <is>
          <t>Higiene Total C.A.</t>
        </is>
      </c>
      <c r="T1335" t="inlineStr">
        <is>
          <t>2207-5566</t>
        </is>
      </c>
      <c r="U1335" t="inlineStr">
        <is>
          <t>$3.45</t>
        </is>
      </c>
      <c r="V1335" t="n">
        <v>4</v>
      </c>
      <c r="W1335" t="n">
        <v>0</v>
      </c>
      <c r="X1335">
        <f>IFERROR(U1335*V1335*(1-W1335/100),"")</f>
        <v/>
      </c>
      <c r="Y1335">
        <f>IFERROR(ROUND(X1335*0.13,2),"")</f>
        <v/>
      </c>
      <c r="Z1335">
        <f>IFERROR(X1335+Y1335,"")</f>
        <v/>
      </c>
      <c r="AA1335" t="inlineStr">
        <is>
          <t>Efectivo</t>
        </is>
      </c>
      <c r="AB1335" t="inlineStr">
        <is>
          <t>Llamar al 7788-1234 antes de entregar</t>
        </is>
      </c>
    </row>
    <row r="1336">
      <c r="A1336" t="inlineStr">
        <is>
          <t>F-11504</t>
        </is>
      </c>
      <c r="B1336" t="inlineStr">
        <is>
          <t>2026-08-31</t>
        </is>
      </c>
      <c r="C1336" t="inlineStr">
        <is>
          <t>FCF</t>
        </is>
      </c>
      <c r="D1336" t="inlineStr">
        <is>
          <t>US01</t>
        </is>
      </c>
      <c r="E1336" t="inlineStr">
        <is>
          <t>Usulután</t>
        </is>
      </c>
      <c r="F1336" t="inlineStr">
        <is>
          <t>2a Av. Norte #9</t>
        </is>
      </c>
      <c r="G1336" t="inlineStr">
        <is>
          <t>Usulután</t>
        </is>
      </c>
      <c r="H1336" t="inlineStr">
        <is>
          <t>Usulután</t>
        </is>
      </c>
      <c r="I1336" t="inlineStr">
        <is>
          <t>Nelson Fuentes</t>
        </is>
      </c>
      <c r="J1336" t="inlineStr">
        <is>
          <t>2662-8810</t>
        </is>
      </c>
      <c r="K1336" t="inlineStr">
        <is>
          <t>Miguel Bonilla</t>
        </is>
      </c>
      <c r="L1336" t="inlineStr">
        <is>
          <t>José López Pérez</t>
        </is>
      </c>
      <c r="M1336" t="inlineStr"/>
      <c r="N1336" t="inlineStr">
        <is>
          <t>2795-9333</t>
        </is>
      </c>
      <c r="O1336" t="inlineStr">
        <is>
          <t>Consumidor final</t>
        </is>
      </c>
      <c r="P1336" t="inlineStr">
        <is>
          <t>ARR-001</t>
        </is>
      </c>
      <c r="Q1336" t="inlineStr">
        <is>
          <t>Arroz blanco 5lb</t>
        </is>
      </c>
      <c r="R1336" t="inlineStr">
        <is>
          <t>Granos básicos</t>
        </is>
      </c>
      <c r="S1336" t="inlineStr">
        <is>
          <t>Granos del Pacífico</t>
        </is>
      </c>
      <c r="T1336" t="inlineStr">
        <is>
          <t>2234-8890</t>
        </is>
      </c>
      <c r="U1336" t="n">
        <v>3.95</v>
      </c>
      <c r="V1336" t="n">
        <v>1</v>
      </c>
      <c r="W1336" t="n">
        <v>0</v>
      </c>
      <c r="X1336">
        <f>IFERROR(U1336*V1336*(1-W1336/100),"")</f>
        <v/>
      </c>
      <c r="Y1336">
        <f>IFERROR(ROUND(X1336*0.13,2),"")</f>
        <v/>
      </c>
      <c r="Z1336">
        <f>IFERROR(X1336+Y1336,"")</f>
        <v/>
      </c>
      <c r="AA1336" t="inlineStr">
        <is>
          <t>Efectivo</t>
        </is>
      </c>
      <c r="AB1336" t="inlineStr">
        <is>
          <t>pagó con billete de $100</t>
        </is>
      </c>
    </row>
    <row r="1337">
      <c r="A1337" t="inlineStr">
        <is>
          <t>F-11505</t>
        </is>
      </c>
      <c r="B1337" t="inlineStr">
        <is>
          <t>2026-07-24</t>
        </is>
      </c>
      <c r="C1337" t="inlineStr">
        <is>
          <t>Factura</t>
        </is>
      </c>
      <c r="D1337" t="inlineStr">
        <is>
          <t>SS01</t>
        </is>
      </c>
      <c r="E1337" t="inlineStr">
        <is>
          <t>S.S. Centro</t>
        </is>
      </c>
      <c r="F1337" t="inlineStr">
        <is>
          <t>4a Calle Poniente #215</t>
        </is>
      </c>
      <c r="G1337" t="inlineStr">
        <is>
          <t>San Salvador</t>
        </is>
      </c>
      <c r="H1337" t="inlineStr">
        <is>
          <t>San Salvador</t>
        </is>
      </c>
      <c r="I1337" t="inlineStr">
        <is>
          <t>Roberto Alfaro</t>
        </is>
      </c>
      <c r="J1337" t="inlineStr">
        <is>
          <t>2221-4580</t>
        </is>
      </c>
      <c r="K1337" t="inlineStr">
        <is>
          <t>José Martínez</t>
        </is>
      </c>
      <c r="L1337" t="inlineStr">
        <is>
          <t>Carmen Flores Sorto</t>
        </is>
      </c>
      <c r="M1337" t="inlineStr">
        <is>
          <t>02579994-7</t>
        </is>
      </c>
      <c r="N1337" t="inlineStr">
        <is>
          <t>2462-9572</t>
        </is>
      </c>
      <c r="O1337" t="inlineStr">
        <is>
          <t>Consumidor final</t>
        </is>
      </c>
      <c r="P1337" t="inlineStr">
        <is>
          <t>PAN-002</t>
        </is>
      </c>
      <c r="Q1337" t="inlineStr">
        <is>
          <t>Semita alta</t>
        </is>
      </c>
      <c r="R1337" t="inlineStr">
        <is>
          <t>Panadería</t>
        </is>
      </c>
      <c r="S1337" t="inlineStr">
        <is>
          <t>Panificadora Ilopango</t>
        </is>
      </c>
      <c r="T1337" t="inlineStr">
        <is>
          <t>2295-0081</t>
        </is>
      </c>
      <c r="U1337" t="n">
        <v>1.75</v>
      </c>
      <c r="V1337" t="n">
        <v>2</v>
      </c>
      <c r="W1337" t="n">
        <v>0</v>
      </c>
      <c r="X1337">
        <f>IFERROR(U1337*V1337*(1-W1337/100),"")</f>
        <v/>
      </c>
      <c r="Y1337">
        <f>IFERROR(ROUND(X1337*0.13,2),"")</f>
        <v/>
      </c>
      <c r="Z1337">
        <f>IFERROR(X1337+Y1337,"")</f>
        <v/>
      </c>
      <c r="AA1337" t="inlineStr">
        <is>
          <t>Tarjeta</t>
        </is>
      </c>
      <c r="AB1337" t="inlineStr"/>
    </row>
    <row r="1338">
      <c r="A1338" t="inlineStr">
        <is>
          <t>F-11505</t>
        </is>
      </c>
      <c r="B1338" t="inlineStr">
        <is>
          <t>24/07/2026</t>
        </is>
      </c>
      <c r="C1338" t="inlineStr">
        <is>
          <t>Factura</t>
        </is>
      </c>
      <c r="D1338" t="inlineStr">
        <is>
          <t>SS01</t>
        </is>
      </c>
      <c r="E1338" t="inlineStr">
        <is>
          <t xml:space="preserve">san salvador centro </t>
        </is>
      </c>
      <c r="F1338" t="inlineStr">
        <is>
          <t>4a Calle Poniente #215</t>
        </is>
      </c>
      <c r="G1338" t="inlineStr">
        <is>
          <t>San Salvador</t>
        </is>
      </c>
      <c r="H1338" t="inlineStr">
        <is>
          <t>San Salvador</t>
        </is>
      </c>
      <c r="I1338" t="inlineStr">
        <is>
          <t>Roberto Alfaro</t>
        </is>
      </c>
      <c r="J1338" t="inlineStr">
        <is>
          <t>2221-4580</t>
        </is>
      </c>
      <c r="K1338" t="inlineStr">
        <is>
          <t>José Martínez</t>
        </is>
      </c>
      <c r="L1338" t="inlineStr">
        <is>
          <t>CARMEN FLORES SORTO</t>
        </is>
      </c>
      <c r="M1338" t="inlineStr">
        <is>
          <t>02579994-7</t>
        </is>
      </c>
      <c r="N1338" t="inlineStr">
        <is>
          <t>2462-9572</t>
        </is>
      </c>
      <c r="O1338" t="inlineStr">
        <is>
          <t>Consumidor final</t>
        </is>
      </c>
      <c r="P1338" t="inlineStr">
        <is>
          <t>LAC-001</t>
        </is>
      </c>
      <c r="Q1338" t="inlineStr">
        <is>
          <t>Quesillo 1lb</t>
        </is>
      </c>
      <c r="R1338" t="inlineStr">
        <is>
          <t>Lacteos</t>
        </is>
      </c>
      <c r="S1338" t="inlineStr">
        <is>
          <t>Lácteos Chalate</t>
        </is>
      </c>
      <c r="T1338" t="inlineStr">
        <is>
          <t>2335-1020</t>
        </is>
      </c>
      <c r="U1338" t="n">
        <v>3.8</v>
      </c>
      <c r="V1338" t="n">
        <v>4</v>
      </c>
      <c r="W1338" t="n">
        <v>0</v>
      </c>
      <c r="X1338">
        <f>IFERROR(U1338*V1338*(1-W1338/100),"")</f>
        <v/>
      </c>
      <c r="Y1338">
        <f>IFERROR(ROUND(X1338*0.13,2),"")</f>
        <v/>
      </c>
      <c r="Z1338">
        <f>IFERROR(X1338+Y1338,"")</f>
        <v/>
      </c>
      <c r="AA1338" t="inlineStr">
        <is>
          <t>Tarjeta</t>
        </is>
      </c>
      <c r="AB1338" t="inlineStr"/>
    </row>
    <row r="1339">
      <c r="A1339" t="inlineStr">
        <is>
          <t>F-11506</t>
        </is>
      </c>
      <c r="B1339" s="3" t="n">
        <v>46246</v>
      </c>
      <c r="C1339" t="inlineStr">
        <is>
          <t>Factura</t>
        </is>
      </c>
      <c r="D1339" t="inlineStr">
        <is>
          <t>SS02</t>
        </is>
      </c>
      <c r="E1339" t="inlineStr">
        <is>
          <t>Col. Escalón</t>
        </is>
      </c>
      <c r="F1339" t="inlineStr">
        <is>
          <t>Paseo General Escalón #3910</t>
        </is>
      </c>
      <c r="G1339" t="inlineStr">
        <is>
          <t>San Salvador</t>
        </is>
      </c>
      <c r="H1339" t="inlineStr">
        <is>
          <t>San Salvador</t>
        </is>
      </c>
      <c r="I1339" t="inlineStr">
        <is>
          <t>Claudia Menjívar</t>
        </is>
      </c>
      <c r="J1339" t="inlineStr">
        <is>
          <t>2264-1190</t>
        </is>
      </c>
      <c r="K1339" t="inlineStr">
        <is>
          <t>Fátima Rosales</t>
        </is>
      </c>
      <c r="L1339" t="inlineStr">
        <is>
          <t>José López Pérez</t>
        </is>
      </c>
      <c r="M1339" t="inlineStr">
        <is>
          <t>07894436-0</t>
        </is>
      </c>
      <c r="N1339" t="inlineStr">
        <is>
          <t>2795-9333</t>
        </is>
      </c>
      <c r="O1339" t="inlineStr">
        <is>
          <t>Consumidor final</t>
        </is>
      </c>
      <c r="P1339" t="inlineStr">
        <is>
          <t>HIG-003</t>
        </is>
      </c>
      <c r="Q1339" t="inlineStr">
        <is>
          <t>Jabón de lavar barra</t>
        </is>
      </c>
      <c r="R1339" t="inlineStr">
        <is>
          <t>Limpieza</t>
        </is>
      </c>
      <c r="S1339" t="inlineStr">
        <is>
          <t>Higiene Total C.A.</t>
        </is>
      </c>
      <c r="T1339" t="inlineStr">
        <is>
          <t>2207-5566</t>
        </is>
      </c>
      <c r="U1339" t="n">
        <v>0.75</v>
      </c>
      <c r="V1339" t="n">
        <v>12</v>
      </c>
      <c r="W1339" t="n">
        <v>0</v>
      </c>
      <c r="X1339">
        <f>IFERROR(U1339*V1339*(1-W1339/100),"")</f>
        <v/>
      </c>
      <c r="Y1339">
        <f>IFERROR(ROUND(X1339*0.13,2),"")</f>
        <v/>
      </c>
      <c r="Z1339">
        <f>IFERROR(X1339+Y1339,"")</f>
        <v/>
      </c>
      <c r="AA1339" t="inlineStr">
        <is>
          <t>Tarjeta</t>
        </is>
      </c>
      <c r="AB1339" t="inlineStr"/>
    </row>
    <row r="1340">
      <c r="A1340" t="inlineStr">
        <is>
          <t>F-11506</t>
        </is>
      </c>
      <c r="B1340" s="3" t="n">
        <v>46246</v>
      </c>
      <c r="C1340" t="inlineStr">
        <is>
          <t>Factura</t>
        </is>
      </c>
      <c r="D1340" t="inlineStr">
        <is>
          <t>SS02</t>
        </is>
      </c>
      <c r="E1340" t="inlineStr">
        <is>
          <t>Escalón</t>
        </is>
      </c>
      <c r="F1340" t="inlineStr">
        <is>
          <t>Paseo General Escalón #3910</t>
        </is>
      </c>
      <c r="G1340" t="inlineStr">
        <is>
          <t>San Salvador</t>
        </is>
      </c>
      <c r="H1340" t="inlineStr">
        <is>
          <t>San Salvador</t>
        </is>
      </c>
      <c r="I1340" t="inlineStr">
        <is>
          <t>Claudia Menjívar</t>
        </is>
      </c>
      <c r="J1340" t="inlineStr">
        <is>
          <t>2264-1190</t>
        </is>
      </c>
      <c r="K1340" t="inlineStr">
        <is>
          <t>Fátima Rosales</t>
        </is>
      </c>
      <c r="L1340" t="inlineStr">
        <is>
          <t>José López Pérez</t>
        </is>
      </c>
      <c r="M1340" t="inlineStr">
        <is>
          <t>07894436-0</t>
        </is>
      </c>
      <c r="N1340" t="inlineStr">
        <is>
          <t>2795-9333</t>
        </is>
      </c>
      <c r="O1340" t="inlineStr">
        <is>
          <t>Consumidor final</t>
        </is>
      </c>
      <c r="P1340" t="inlineStr">
        <is>
          <t>HIG-001</t>
        </is>
      </c>
      <c r="Q1340" t="inlineStr">
        <is>
          <t>Detergente 1kg</t>
        </is>
      </c>
      <c r="R1340" t="inlineStr">
        <is>
          <t>Limpieza</t>
        </is>
      </c>
      <c r="S1340" t="inlineStr">
        <is>
          <t>Higiene Total C.A.</t>
        </is>
      </c>
      <c r="T1340" t="inlineStr">
        <is>
          <t>2207-5566</t>
        </is>
      </c>
      <c r="U1340" t="n">
        <v>3.45</v>
      </c>
      <c r="V1340" t="n">
        <v>1</v>
      </c>
      <c r="W1340" t="n">
        <v>0</v>
      </c>
      <c r="X1340">
        <f>IFERROR(U1340*V1340*(1-W1340/100),"")</f>
        <v/>
      </c>
      <c r="Y1340">
        <f>IFERROR(ROUND(X1340*0.13,2),"")</f>
        <v/>
      </c>
      <c r="Z1340">
        <f>IFERROR(X1340+Y1340,"")</f>
        <v/>
      </c>
      <c r="AA1340" t="inlineStr">
        <is>
          <t>Tarjeta</t>
        </is>
      </c>
      <c r="AB1340" t="inlineStr">
        <is>
          <t>pagó con billete de $100</t>
        </is>
      </c>
    </row>
    <row r="1341">
      <c r="A1341" t="inlineStr">
        <is>
          <t>F-11506</t>
        </is>
      </c>
      <c r="B1341" s="3" t="n">
        <v>46246</v>
      </c>
      <c r="C1341" t="inlineStr">
        <is>
          <t>Factura</t>
        </is>
      </c>
      <c r="D1341" t="inlineStr">
        <is>
          <t>SS02</t>
        </is>
      </c>
      <c r="E1341" t="inlineStr">
        <is>
          <t>Escalon</t>
        </is>
      </c>
      <c r="F1341" t="inlineStr">
        <is>
          <t>Paseo General Escalón #3910</t>
        </is>
      </c>
      <c r="G1341" t="inlineStr">
        <is>
          <t>San Salvador</t>
        </is>
      </c>
      <c r="H1341" t="inlineStr">
        <is>
          <t>San Salvador</t>
        </is>
      </c>
      <c r="I1341" t="inlineStr">
        <is>
          <t>Claudia Menjívar</t>
        </is>
      </c>
      <c r="J1341" t="inlineStr">
        <is>
          <t>2264-1190</t>
        </is>
      </c>
      <c r="K1341" t="inlineStr">
        <is>
          <t>Fátima Rosales</t>
        </is>
      </c>
      <c r="L1341" t="inlineStr">
        <is>
          <t>José López Pérez</t>
        </is>
      </c>
      <c r="M1341" t="inlineStr"/>
      <c r="N1341" t="inlineStr">
        <is>
          <t>2795-9333</t>
        </is>
      </c>
      <c r="O1341" t="inlineStr">
        <is>
          <t>Consumidor final</t>
        </is>
      </c>
      <c r="P1341" t="inlineStr">
        <is>
          <t>BEB-003</t>
        </is>
      </c>
      <c r="Q1341" t="inlineStr">
        <is>
          <t>Horchata en polvo 400g</t>
        </is>
      </c>
      <c r="R1341" t="inlineStr">
        <is>
          <t>Bebidas</t>
        </is>
      </c>
      <c r="S1341" t="inlineStr">
        <is>
          <t>Bebidas Izalco</t>
        </is>
      </c>
      <c r="T1341" t="inlineStr">
        <is>
          <t>2450-7700</t>
        </is>
      </c>
      <c r="U1341" t="n">
        <v>2.6</v>
      </c>
      <c r="V1341" t="n">
        <v>24</v>
      </c>
      <c r="W1341" t="n">
        <v>0</v>
      </c>
      <c r="X1341">
        <f>IFERROR(U1341*V1341*(1-W1341/100),"")</f>
        <v/>
      </c>
      <c r="Y1341">
        <f>IFERROR(ROUND(X1341*0.13,2),"")</f>
        <v/>
      </c>
      <c r="Z1341">
        <f>IFERROR(X1341+Y1341,"")</f>
        <v/>
      </c>
      <c r="AA1341" t="inlineStr">
        <is>
          <t>Tarjeta</t>
        </is>
      </c>
      <c r="AB1341" t="inlineStr"/>
    </row>
    <row r="1342">
      <c r="A1342" t="inlineStr">
        <is>
          <t>F-11506</t>
        </is>
      </c>
      <c r="B1342" s="3" t="n">
        <v>46246</v>
      </c>
      <c r="C1342" t="inlineStr">
        <is>
          <t>Factura</t>
        </is>
      </c>
      <c r="D1342" t="inlineStr">
        <is>
          <t>SS02</t>
        </is>
      </c>
      <c r="E1342" t="inlineStr">
        <is>
          <t>Col. Escalón</t>
        </is>
      </c>
      <c r="F1342" t="inlineStr">
        <is>
          <t>Paseo General Escalón #3910</t>
        </is>
      </c>
      <c r="G1342" t="inlineStr">
        <is>
          <t>San Salvador</t>
        </is>
      </c>
      <c r="H1342" t="inlineStr">
        <is>
          <t>San Salvador</t>
        </is>
      </c>
      <c r="I1342" t="inlineStr">
        <is>
          <t>Claudia Menjívar</t>
        </is>
      </c>
      <c r="J1342" t="inlineStr">
        <is>
          <t>2264-1190</t>
        </is>
      </c>
      <c r="K1342" t="inlineStr">
        <is>
          <t>Fátima Rosales</t>
        </is>
      </c>
      <c r="L1342" t="inlineStr">
        <is>
          <t>José López Pérez</t>
        </is>
      </c>
      <c r="M1342" t="inlineStr">
        <is>
          <t>07894436-0</t>
        </is>
      </c>
      <c r="N1342" t="inlineStr">
        <is>
          <t>2795-9333</t>
        </is>
      </c>
      <c r="O1342" t="inlineStr">
        <is>
          <t>Consumidor final</t>
        </is>
      </c>
      <c r="P1342" t="inlineStr">
        <is>
          <t>CAF-002</t>
        </is>
      </c>
      <c r="Q1342" t="inlineStr">
        <is>
          <t>Café en grano 1lb</t>
        </is>
      </c>
      <c r="R1342" t="inlineStr">
        <is>
          <t>Abarrotes</t>
        </is>
      </c>
      <c r="S1342" t="inlineStr">
        <is>
          <t>Café Volcán S.A.</t>
        </is>
      </c>
      <c r="T1342" t="inlineStr">
        <is>
          <t>2510-3344</t>
        </is>
      </c>
      <c r="U1342" t="n">
        <v>6.75</v>
      </c>
      <c r="V1342" t="n">
        <v>1</v>
      </c>
      <c r="W1342" t="n">
        <v>0</v>
      </c>
      <c r="X1342">
        <f>IFERROR(U1342*V1342*(1-W1342/100),"")</f>
        <v/>
      </c>
      <c r="Y1342">
        <f>IFERROR(ROUND(X1342*0.13,2),"")</f>
        <v/>
      </c>
      <c r="Z1342">
        <f>IFERROR(X1342+Y1342,"")</f>
        <v/>
      </c>
      <c r="AA1342" t="inlineStr">
        <is>
          <t>Tarjeta</t>
        </is>
      </c>
      <c r="AB1342" t="inlineStr"/>
    </row>
    <row r="1343">
      <c r="A1343" t="inlineStr">
        <is>
          <t>F-11509</t>
        </is>
      </c>
      <c r="B1343" t="inlineStr">
        <is>
          <t>2026-09-15</t>
        </is>
      </c>
      <c r="C1343" t="inlineStr">
        <is>
          <t>factura</t>
        </is>
      </c>
      <c r="D1343" t="inlineStr">
        <is>
          <t>SS02</t>
        </is>
      </c>
      <c r="E1343" t="inlineStr">
        <is>
          <t>Escalon</t>
        </is>
      </c>
      <c r="F1343" t="inlineStr">
        <is>
          <t>Paseo General Escalón #3910</t>
        </is>
      </c>
      <c r="G1343" t="inlineStr">
        <is>
          <t>San Salvador</t>
        </is>
      </c>
      <c r="H1343" t="inlineStr">
        <is>
          <t>San Salvador</t>
        </is>
      </c>
      <c r="I1343" t="inlineStr">
        <is>
          <t>Claudia Menjívar</t>
        </is>
      </c>
      <c r="J1343" t="inlineStr">
        <is>
          <t>2264-1190</t>
        </is>
      </c>
      <c r="K1343" t="inlineStr">
        <is>
          <t>Fátima Rosales</t>
        </is>
      </c>
      <c r="L1343" t="inlineStr">
        <is>
          <t>Brenda Pérez Martínez</t>
        </is>
      </c>
      <c r="M1343" t="inlineStr">
        <is>
          <t>09183075-6</t>
        </is>
      </c>
      <c r="N1343" t="inlineStr">
        <is>
          <t>2300-3840</t>
        </is>
      </c>
      <c r="O1343" t="inlineStr">
        <is>
          <t>Consumidor final</t>
        </is>
      </c>
      <c r="P1343" t="inlineStr">
        <is>
          <t>BEB-003</t>
        </is>
      </c>
      <c r="Q1343" t="inlineStr">
        <is>
          <t>Horchata en polvo 400g</t>
        </is>
      </c>
      <c r="R1343" t="inlineStr">
        <is>
          <t>Bebidas</t>
        </is>
      </c>
      <c r="S1343" t="inlineStr">
        <is>
          <t>Bebidas Izalco</t>
        </is>
      </c>
      <c r="T1343" t="inlineStr">
        <is>
          <t>2450-7700</t>
        </is>
      </c>
      <c r="U1343" t="n">
        <v>2.6</v>
      </c>
      <c r="V1343" t="n">
        <v>1</v>
      </c>
      <c r="W1343" t="n">
        <v>0</v>
      </c>
      <c r="X1343">
        <f>IFERROR(U1343*V1343*(1-W1343/100),"")</f>
        <v/>
      </c>
      <c r="Y1343">
        <f>IFERROR(ROUND(X1343*0.13,2),"")</f>
        <v/>
      </c>
      <c r="Z1343">
        <f>IFERROR(X1343+Y1343,"")</f>
        <v/>
      </c>
      <c r="AA1343" t="inlineStr">
        <is>
          <t>efectivo</t>
        </is>
      </c>
      <c r="AB1343" t="inlineStr"/>
    </row>
    <row r="1344">
      <c r="A1344" t="inlineStr">
        <is>
          <t>F-11512</t>
        </is>
      </c>
      <c r="B1344" s="3" t="n">
        <v>46273</v>
      </c>
      <c r="C1344" t="inlineStr">
        <is>
          <t>FCF</t>
        </is>
      </c>
      <c r="D1344" t="inlineStr">
        <is>
          <t>SO01</t>
        </is>
      </c>
      <c r="E1344" t="inlineStr">
        <is>
          <t>Sonsonate</t>
        </is>
      </c>
      <c r="F1344" t="inlineStr">
        <is>
          <t>Calle Obispo Marroquín #3</t>
        </is>
      </c>
      <c r="G1344" t="inlineStr">
        <is>
          <t>Sonsonate</t>
        </is>
      </c>
      <c r="H1344" t="inlineStr">
        <is>
          <t>Sonsonate</t>
        </is>
      </c>
      <c r="I1344" t="inlineStr">
        <is>
          <t>Ernesto Chávez</t>
        </is>
      </c>
      <c r="J1344" t="inlineStr">
        <is>
          <t>2451-2288</t>
        </is>
      </c>
      <c r="K1344" t="inlineStr">
        <is>
          <t>Ricardo Funes</t>
        </is>
      </c>
      <c r="L1344" t="inlineStr">
        <is>
          <t>Silvia Martínez Hernández</t>
        </is>
      </c>
      <c r="M1344" t="inlineStr">
        <is>
          <t>05821993-5</t>
        </is>
      </c>
      <c r="N1344" t="inlineStr">
        <is>
          <t>2126-9362</t>
        </is>
      </c>
      <c r="O1344" t="inlineStr">
        <is>
          <t>Consumidor final</t>
        </is>
      </c>
      <c r="P1344" t="inlineStr">
        <is>
          <t>HIG-002</t>
        </is>
      </c>
      <c r="Q1344" t="inlineStr">
        <is>
          <t>Papel higiénico 4 rollos</t>
        </is>
      </c>
      <c r="R1344" t="inlineStr">
        <is>
          <t>Higiene</t>
        </is>
      </c>
      <c r="S1344" t="inlineStr">
        <is>
          <t>Higiene Total C.A.</t>
        </is>
      </c>
      <c r="T1344" t="inlineStr">
        <is>
          <t>2207-5566</t>
        </is>
      </c>
      <c r="U1344" t="n">
        <v>2.15</v>
      </c>
      <c r="V1344" t="n">
        <v>1</v>
      </c>
      <c r="W1344" t="n">
        <v>0</v>
      </c>
      <c r="X1344">
        <f>IFERROR(U1344*V1344*(1-W1344/100),"")</f>
        <v/>
      </c>
      <c r="Y1344">
        <f>IFERROR(ROUND(X1344*0.13,2),"")</f>
        <v/>
      </c>
      <c r="Z1344">
        <f>IFERROR(X1344+Y1344,"")</f>
        <v/>
      </c>
      <c r="AA1344" t="inlineStr">
        <is>
          <t>Transferencia</t>
        </is>
      </c>
      <c r="AB1344" t="inlineStr"/>
    </row>
    <row r="1345">
      <c r="A1345" t="inlineStr">
        <is>
          <t>F-11512</t>
        </is>
      </c>
      <c r="B1345" s="3" t="n">
        <v>46273</v>
      </c>
      <c r="C1345" t="inlineStr">
        <is>
          <t>FCF</t>
        </is>
      </c>
      <c r="D1345" t="inlineStr">
        <is>
          <t>SO01</t>
        </is>
      </c>
      <c r="E1345" t="inlineStr">
        <is>
          <t>SONSONATE</t>
        </is>
      </c>
      <c r="F1345" t="inlineStr">
        <is>
          <t>Calle Obispo Marroquín #3</t>
        </is>
      </c>
      <c r="G1345" t="inlineStr">
        <is>
          <t>Sonsonate</t>
        </is>
      </c>
      <c r="H1345" t="inlineStr">
        <is>
          <t>Sonsonate</t>
        </is>
      </c>
      <c r="I1345" t="inlineStr">
        <is>
          <t>Ernesto Chávez</t>
        </is>
      </c>
      <c r="J1345" t="inlineStr">
        <is>
          <t>2451-2288</t>
        </is>
      </c>
      <c r="K1345" t="inlineStr">
        <is>
          <t>Ricardo Funes</t>
        </is>
      </c>
      <c r="L1345" t="inlineStr">
        <is>
          <t>Silvia Martínez Hernández</t>
        </is>
      </c>
      <c r="M1345" t="inlineStr">
        <is>
          <t>05821993-5</t>
        </is>
      </c>
      <c r="N1345" t="inlineStr">
        <is>
          <t>2126-9362</t>
        </is>
      </c>
      <c r="O1345" t="inlineStr">
        <is>
          <t>Consumidor final</t>
        </is>
      </c>
      <c r="P1345" t="inlineStr">
        <is>
          <t>HIG-001</t>
        </is>
      </c>
      <c r="Q1345" t="inlineStr">
        <is>
          <t>Detergente 1kg</t>
        </is>
      </c>
      <c r="R1345" t="inlineStr">
        <is>
          <t>limpieza</t>
        </is>
      </c>
      <c r="S1345" t="inlineStr">
        <is>
          <t>Higiene Total C.A.</t>
        </is>
      </c>
      <c r="T1345" t="inlineStr">
        <is>
          <t>2207-5566</t>
        </is>
      </c>
      <c r="U1345" t="inlineStr">
        <is>
          <t>3,45</t>
        </is>
      </c>
      <c r="V1345" t="n">
        <v>4</v>
      </c>
      <c r="W1345" t="n">
        <v>0</v>
      </c>
      <c r="X1345">
        <f>IFERROR(U1345*V1345*(1-W1345/100),"")</f>
        <v/>
      </c>
      <c r="Y1345">
        <f>IFERROR(ROUND(X1345*0.13,2),"")</f>
        <v/>
      </c>
      <c r="Z1345">
        <f>IFERROR(X1345+Y1345,"")</f>
        <v/>
      </c>
      <c r="AA1345" t="inlineStr">
        <is>
          <t>Transferencia</t>
        </is>
      </c>
      <c r="AB1345" t="inlineStr">
        <is>
          <t>Cliente frecuente</t>
        </is>
      </c>
    </row>
    <row r="1346">
      <c r="A1346" t="inlineStr">
        <is>
          <t>F-11512</t>
        </is>
      </c>
      <c r="B1346" s="3" t="n">
        <v>46273</v>
      </c>
      <c r="C1346" t="inlineStr">
        <is>
          <t>FCF</t>
        </is>
      </c>
      <c r="D1346" t="inlineStr">
        <is>
          <t>SO01</t>
        </is>
      </c>
      <c r="E1346" t="inlineStr">
        <is>
          <t>SONSONATE</t>
        </is>
      </c>
      <c r="F1346" t="inlineStr">
        <is>
          <t>Calle Obispo Marroquín #3</t>
        </is>
      </c>
      <c r="G1346" t="inlineStr">
        <is>
          <t>Sonsonate</t>
        </is>
      </c>
      <c r="H1346" t="inlineStr">
        <is>
          <t>Sonsonate</t>
        </is>
      </c>
      <c r="I1346" t="inlineStr">
        <is>
          <t>Ernesto Chávez</t>
        </is>
      </c>
      <c r="J1346" t="inlineStr">
        <is>
          <t>2451-2288</t>
        </is>
      </c>
      <c r="K1346" t="inlineStr">
        <is>
          <t>Ricardo Funes</t>
        </is>
      </c>
      <c r="L1346" t="inlineStr">
        <is>
          <t>Silvia Martínez Hernández</t>
        </is>
      </c>
      <c r="M1346" t="inlineStr">
        <is>
          <t>05821993-5</t>
        </is>
      </c>
      <c r="N1346" t="inlineStr">
        <is>
          <t>2126-9362</t>
        </is>
      </c>
      <c r="O1346" t="inlineStr">
        <is>
          <t>Consumidor final</t>
        </is>
      </c>
      <c r="P1346" t="inlineStr">
        <is>
          <t>LAC-002</t>
        </is>
      </c>
      <c r="Q1346" t="inlineStr">
        <is>
          <t>Crema 500ml</t>
        </is>
      </c>
      <c r="R1346" t="inlineStr">
        <is>
          <t>Lácteos</t>
        </is>
      </c>
      <c r="S1346" t="inlineStr">
        <is>
          <t>Lácteos Chalate</t>
        </is>
      </c>
      <c r="T1346" t="inlineStr">
        <is>
          <t>7120-4455</t>
        </is>
      </c>
      <c r="U1346" t="n">
        <v>2.25</v>
      </c>
      <c r="V1346" t="n">
        <v>2</v>
      </c>
      <c r="W1346" t="n">
        <v>0</v>
      </c>
      <c r="X1346">
        <f>IFERROR(U1346*V1346*(1-W1346/100),"")</f>
        <v/>
      </c>
      <c r="Y1346">
        <f>IFERROR(ROUND(X1346*0.13,2),"")</f>
        <v/>
      </c>
      <c r="Z1346">
        <f>IFERROR(X1346+Y1346,"")</f>
        <v/>
      </c>
      <c r="AA1346" t="inlineStr">
        <is>
          <t>Transferencia</t>
        </is>
      </c>
      <c r="AB1346" t="inlineStr"/>
    </row>
    <row r="1347">
      <c r="A1347" t="inlineStr">
        <is>
          <t>F-11512</t>
        </is>
      </c>
      <c r="B1347" t="inlineStr">
        <is>
          <t>08/09/2026</t>
        </is>
      </c>
      <c r="C1347" t="inlineStr">
        <is>
          <t>FCF</t>
        </is>
      </c>
      <c r="D1347" t="inlineStr">
        <is>
          <t>SO01</t>
        </is>
      </c>
      <c r="E1347" t="inlineStr">
        <is>
          <t>SONSONATE</t>
        </is>
      </c>
      <c r="F1347" t="inlineStr">
        <is>
          <t>Calle Obispo Marroquín #3</t>
        </is>
      </c>
      <c r="G1347" t="inlineStr">
        <is>
          <t>Sonsonate</t>
        </is>
      </c>
      <c r="H1347" t="inlineStr">
        <is>
          <t>Sonsonate</t>
        </is>
      </c>
      <c r="I1347" t="inlineStr">
        <is>
          <t>Ernesto Chávez</t>
        </is>
      </c>
      <c r="J1347" t="inlineStr">
        <is>
          <t>2451-2288</t>
        </is>
      </c>
      <c r="K1347" t="inlineStr">
        <is>
          <t>Ricardo Funes</t>
        </is>
      </c>
      <c r="L1347" t="inlineStr">
        <is>
          <t>Silvia Martínez Hernández</t>
        </is>
      </c>
      <c r="M1347" t="inlineStr">
        <is>
          <t>05821993-5</t>
        </is>
      </c>
      <c r="N1347" t="inlineStr">
        <is>
          <t>2126-9362</t>
        </is>
      </c>
      <c r="O1347" t="inlineStr">
        <is>
          <t>Consumidor final</t>
        </is>
      </c>
      <c r="P1347" t="inlineStr">
        <is>
          <t>PAN-002</t>
        </is>
      </c>
      <c r="Q1347" t="inlineStr">
        <is>
          <t>Semita alta</t>
        </is>
      </c>
      <c r="R1347" t="inlineStr">
        <is>
          <t>Panadería</t>
        </is>
      </c>
      <c r="S1347" t="inlineStr">
        <is>
          <t>Panificadora Ilopango</t>
        </is>
      </c>
      <c r="T1347" t="inlineStr">
        <is>
          <t>2295-0081</t>
        </is>
      </c>
      <c r="U1347" t="n">
        <v>1.75</v>
      </c>
      <c r="V1347" t="n">
        <v>6</v>
      </c>
      <c r="W1347" t="n">
        <v>0</v>
      </c>
      <c r="X1347">
        <f>IFERROR(U1347*V1347*(1-W1347/100),"")</f>
        <v/>
      </c>
      <c r="Y1347">
        <f>IFERROR(ROUND(X1347*0.13,2),"")</f>
        <v/>
      </c>
      <c r="Z1347">
        <f>IFERROR(X1347+Y1347,"")</f>
        <v/>
      </c>
      <c r="AA1347" t="inlineStr">
        <is>
          <t>Transferencia</t>
        </is>
      </c>
      <c r="AB1347" t="inlineStr">
        <is>
          <t>Cliente frecuente</t>
        </is>
      </c>
    </row>
    <row r="1349">
      <c r="A1349" s="5" t="inlineStr">
        <is>
          <t>TOTAL GENERAL</t>
        </is>
      </c>
      <c r="Z1349">
        <f>SUM(Z5:Z1347)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Factura</t>
        </is>
      </c>
      <c r="B1" s="2" t="inlineStr">
        <is>
          <t>Fecha venta</t>
        </is>
      </c>
      <c r="C1" s="2" t="inlineStr">
        <is>
          <t>DTE</t>
        </is>
      </c>
      <c r="D1" s="2" t="inlineStr">
        <is>
          <t>Sucursal</t>
        </is>
      </c>
      <c r="E1" s="2" t="inlineStr">
        <is>
          <t>Gerente</t>
        </is>
      </c>
      <c r="F1" s="2" t="inlineStr">
        <is>
          <t>Vendedor</t>
        </is>
      </c>
      <c r="G1" s="2" t="inlineStr">
        <is>
          <t>Cliente</t>
        </is>
      </c>
      <c r="H1" s="2" t="inlineStr">
        <is>
          <t>SKU</t>
        </is>
      </c>
      <c r="I1" s="2" t="inlineStr">
        <is>
          <t>Producto</t>
        </is>
      </c>
      <c r="J1" s="2" t="inlineStr">
        <is>
          <t>Categoria</t>
        </is>
      </c>
      <c r="K1" s="2" t="inlineStr">
        <is>
          <t>Precio</t>
        </is>
      </c>
      <c r="L1" s="2" t="inlineStr">
        <is>
          <t>Cant</t>
        </is>
      </c>
      <c r="M1" s="2" t="inlineStr">
        <is>
          <t>Total</t>
        </is>
      </c>
    </row>
    <row r="2">
      <c r="A2" t="inlineStr">
        <is>
          <t>F-11514</t>
        </is>
      </c>
      <c r="B2" t="inlineStr">
        <is>
          <t>07/10/2026</t>
        </is>
      </c>
      <c r="C2" t="inlineStr">
        <is>
          <t>Factura</t>
        </is>
      </c>
      <c r="D2" t="inlineStr">
        <is>
          <t>Usulután</t>
        </is>
      </c>
      <c r="E2" t="inlineStr">
        <is>
          <t>Nelson Fuentes</t>
        </is>
      </c>
      <c r="F2" t="inlineStr">
        <is>
          <t>Miguel Bonilla</t>
        </is>
      </c>
      <c r="G2" t="inlineStr">
        <is>
          <t>Rosa Quintanilla Alvarado</t>
        </is>
      </c>
      <c r="H2" t="inlineStr">
        <is>
          <t>PAN-001</t>
        </is>
      </c>
      <c r="I2" t="inlineStr">
        <is>
          <t>Pan francés bolsa 10u</t>
        </is>
      </c>
      <c r="J2" t="inlineStr">
        <is>
          <t>Panadería</t>
        </is>
      </c>
      <c r="K2" t="n">
        <v>1</v>
      </c>
      <c r="L2" t="n">
        <v>1</v>
      </c>
      <c r="M2" t="n">
        <v>1.13</v>
      </c>
    </row>
    <row r="3">
      <c r="A3" t="inlineStr">
        <is>
          <t>F-11515</t>
        </is>
      </c>
      <c r="B3" t="inlineStr">
        <is>
          <t>07/10/2026</t>
        </is>
      </c>
      <c r="C3" t="inlineStr">
        <is>
          <t>CCF</t>
        </is>
      </c>
      <c r="D3" t="inlineStr">
        <is>
          <t>Col. Escalón</t>
        </is>
      </c>
      <c r="E3" t="inlineStr">
        <is>
          <t>Claudia Menjívar</t>
        </is>
      </c>
      <c r="F3" t="inlineStr">
        <is>
          <t>Fátima Rosales</t>
        </is>
      </c>
      <c r="G3" t="inlineStr">
        <is>
          <t>Silvia Cornejo Guevara</t>
        </is>
      </c>
      <c r="H3" t="inlineStr">
        <is>
          <t>LAC-002</t>
        </is>
      </c>
      <c r="I3" t="inlineStr">
        <is>
          <t>Crema 500ml</t>
        </is>
      </c>
      <c r="J3" t="inlineStr">
        <is>
          <t>Lácteos</t>
        </is>
      </c>
      <c r="K3" t="n">
        <v>2.25</v>
      </c>
      <c r="L3" t="n">
        <v>3</v>
      </c>
      <c r="M3" t="n">
        <v>7.63</v>
      </c>
    </row>
    <row r="4">
      <c r="A4" t="inlineStr">
        <is>
          <t>F-11516</t>
        </is>
      </c>
      <c r="B4" t="inlineStr">
        <is>
          <t>04/10/2026</t>
        </is>
      </c>
      <c r="C4" t="inlineStr">
        <is>
          <t>Factura</t>
        </is>
      </c>
      <c r="D4" t="inlineStr">
        <is>
          <t>Sta. Tecla</t>
        </is>
      </c>
      <c r="E4" t="inlineStr">
        <is>
          <t>Óscar Rivas</t>
        </is>
      </c>
      <c r="F4" t="inlineStr">
        <is>
          <t>Andrea Pineda</t>
        </is>
      </c>
      <c r="G4" t="inlineStr">
        <is>
          <t>Walter Quintanilla Rivera</t>
        </is>
      </c>
      <c r="H4" t="inlineStr">
        <is>
          <t>PAN-002</t>
        </is>
      </c>
      <c r="I4" t="inlineStr">
        <is>
          <t>Semita alta</t>
        </is>
      </c>
      <c r="J4" t="inlineStr">
        <is>
          <t>Panadería</t>
        </is>
      </c>
      <c r="K4" t="n">
        <v>1.75</v>
      </c>
      <c r="L4" t="n">
        <v>6</v>
      </c>
      <c r="M4" t="n">
        <v>11.86</v>
      </c>
    </row>
    <row r="5">
      <c r="A5" t="inlineStr">
        <is>
          <t>F-11517</t>
        </is>
      </c>
      <c r="B5" t="inlineStr">
        <is>
          <t>09/10/2026</t>
        </is>
      </c>
      <c r="C5" t="inlineStr">
        <is>
          <t>CCF</t>
        </is>
      </c>
      <c r="D5" t="inlineStr">
        <is>
          <t>soyapango</t>
        </is>
      </c>
      <c r="E5" t="inlineStr">
        <is>
          <t>Karla Henríquez</t>
        </is>
      </c>
      <c r="F5" t="inlineStr">
        <is>
          <t>Marta Gómez</t>
        </is>
      </c>
      <c r="G5" t="inlineStr">
        <is>
          <t>Luis Alvarado Flores</t>
        </is>
      </c>
      <c r="H5" t="inlineStr">
        <is>
          <t>HIG-002</t>
        </is>
      </c>
      <c r="I5" t="inlineStr">
        <is>
          <t>Papel higiénico 4 rollos</t>
        </is>
      </c>
      <c r="J5" t="inlineStr">
        <is>
          <t>Higiene</t>
        </is>
      </c>
      <c r="K5" t="n">
        <v>2.15</v>
      </c>
      <c r="L5" t="n">
        <v>6</v>
      </c>
      <c r="M5" t="n">
        <v>14.58</v>
      </c>
    </row>
    <row r="6">
      <c r="A6" t="inlineStr">
        <is>
          <t>F-11518</t>
        </is>
      </c>
      <c r="B6" t="inlineStr">
        <is>
          <t>03/10/2026</t>
        </is>
      </c>
      <c r="C6" t="inlineStr">
        <is>
          <t>CCF</t>
        </is>
      </c>
      <c r="D6" t="inlineStr">
        <is>
          <t>STA ANA</t>
        </is>
      </c>
      <c r="E6" t="inlineStr">
        <is>
          <t>Verónica Sandoval</t>
        </is>
      </c>
      <c r="F6" t="inlineStr">
        <is>
          <t>Sofía Cáceres</t>
        </is>
      </c>
      <c r="G6" t="inlineStr">
        <is>
          <t>Hotel Brisas del Mar</t>
        </is>
      </c>
      <c r="H6" t="inlineStr">
        <is>
          <t>HIG-002</t>
        </is>
      </c>
      <c r="I6" t="inlineStr">
        <is>
          <t>Papel higiénico 4 rollos</t>
        </is>
      </c>
      <c r="J6" t="inlineStr">
        <is>
          <t>Higiene</t>
        </is>
      </c>
      <c r="K6" t="n">
        <v>2.15</v>
      </c>
      <c r="L6" t="n">
        <v>6</v>
      </c>
      <c r="M6" t="n">
        <v>14.58</v>
      </c>
    </row>
    <row r="7">
      <c r="A7" t="inlineStr">
        <is>
          <t>F-11519</t>
        </is>
      </c>
      <c r="B7" t="inlineStr">
        <is>
          <t>06/10/2026</t>
        </is>
      </c>
      <c r="C7" t="inlineStr">
        <is>
          <t>Factura</t>
        </is>
      </c>
      <c r="D7" t="inlineStr">
        <is>
          <t>Santa Ana</t>
        </is>
      </c>
      <c r="E7" t="inlineStr">
        <is>
          <t>Verónica Sandoval</t>
        </is>
      </c>
      <c r="F7" t="inlineStr">
        <is>
          <t>Diego Zelaya</t>
        </is>
      </c>
      <c r="G7" t="inlineStr">
        <is>
          <t>Patricia Guevara Quintanilla</t>
        </is>
      </c>
      <c r="H7" t="inlineStr">
        <is>
          <t>BEB-001</t>
        </is>
      </c>
      <c r="I7" t="inlineStr">
        <is>
          <t>Gaseosa 2.5L</t>
        </is>
      </c>
      <c r="J7" t="inlineStr">
        <is>
          <t>Bebidas</t>
        </is>
      </c>
      <c r="K7" t="n">
        <v>1.95</v>
      </c>
      <c r="L7" t="n">
        <v>3</v>
      </c>
      <c r="M7" t="n">
        <v>6.61</v>
      </c>
    </row>
    <row r="8">
      <c r="A8" t="inlineStr">
        <is>
          <t>F-11520</t>
        </is>
      </c>
      <c r="B8" t="inlineStr">
        <is>
          <t>03/10/2026</t>
        </is>
      </c>
      <c r="C8" t="inlineStr">
        <is>
          <t>Factura</t>
        </is>
      </c>
      <c r="D8" t="inlineStr">
        <is>
          <t>SAN MIGUEL</t>
        </is>
      </c>
      <c r="E8" t="inlineStr">
        <is>
          <t>Iris Portillo</t>
        </is>
      </c>
      <c r="F8" t="inlineStr">
        <is>
          <t>Jorge Villalta</t>
        </is>
      </c>
      <c r="G8" t="inlineStr">
        <is>
          <t>Carlos Castillo Argueta</t>
        </is>
      </c>
      <c r="H8" t="inlineStr">
        <is>
          <t>BEB-003</t>
        </is>
      </c>
      <c r="I8" t="inlineStr">
        <is>
          <t>Horchata en polvo 400g</t>
        </is>
      </c>
      <c r="J8" t="inlineStr">
        <is>
          <t>Bebidas</t>
        </is>
      </c>
      <c r="K8" t="n">
        <v>2.6</v>
      </c>
      <c r="L8" t="n">
        <v>3</v>
      </c>
      <c r="M8" t="n">
        <v>8.81</v>
      </c>
    </row>
    <row r="9">
      <c r="A9" t="inlineStr">
        <is>
          <t>F-11521</t>
        </is>
      </c>
      <c r="B9" t="inlineStr">
        <is>
          <t>08/10/2026</t>
        </is>
      </c>
      <c r="C9" t="inlineStr">
        <is>
          <t>CCF</t>
        </is>
      </c>
      <c r="D9" t="inlineStr">
        <is>
          <t>Sta. Tecla</t>
        </is>
      </c>
      <c r="E9" t="inlineStr">
        <is>
          <t>Óscar Rivas</t>
        </is>
      </c>
      <c r="F9" t="inlineStr">
        <is>
          <t>Luis Escobar</t>
        </is>
      </c>
      <c r="G9" t="inlineStr">
        <is>
          <t>Silvia Mejía Sorto</t>
        </is>
      </c>
      <c r="H9" t="inlineStr">
        <is>
          <t>BEB-003</t>
        </is>
      </c>
      <c r="I9" t="inlineStr">
        <is>
          <t>Horchata en polvo 400g</t>
        </is>
      </c>
      <c r="J9" t="inlineStr">
        <is>
          <t>Bebidas</t>
        </is>
      </c>
      <c r="K9" t="n">
        <v>2.6</v>
      </c>
      <c r="L9" t="n">
        <v>3</v>
      </c>
      <c r="M9" t="n">
        <v>8.81</v>
      </c>
    </row>
    <row r="10">
      <c r="A10" t="inlineStr">
        <is>
          <t>F-11522</t>
        </is>
      </c>
      <c r="B10" t="inlineStr">
        <is>
          <t>04/10/2026</t>
        </is>
      </c>
      <c r="C10" t="inlineStr">
        <is>
          <t>CCF</t>
        </is>
      </c>
      <c r="D10" t="inlineStr">
        <is>
          <t>Soyapango</t>
        </is>
      </c>
      <c r="E10" t="inlineStr">
        <is>
          <t>Karla Henríquez</t>
        </is>
      </c>
      <c r="F10" t="inlineStr">
        <is>
          <t>Carlos Molina</t>
        </is>
      </c>
      <c r="G10" t="inlineStr">
        <is>
          <t>Rosa García López</t>
        </is>
      </c>
      <c r="H10" t="inlineStr">
        <is>
          <t>PAN-001</t>
        </is>
      </c>
      <c r="I10" t="inlineStr">
        <is>
          <t>Pan francés bolsa 10u</t>
        </is>
      </c>
      <c r="J10" t="inlineStr">
        <is>
          <t>Panadería</t>
        </is>
      </c>
      <c r="K10" t="n">
        <v>1</v>
      </c>
      <c r="L10" t="n">
        <v>1</v>
      </c>
      <c r="M10" t="n">
        <v>1.13</v>
      </c>
    </row>
    <row r="11">
      <c r="A11" t="inlineStr">
        <is>
          <t>F-11523</t>
        </is>
      </c>
      <c r="B11" t="inlineStr">
        <is>
          <t>03/10/2026</t>
        </is>
      </c>
      <c r="C11" t="inlineStr">
        <is>
          <t>Factura</t>
        </is>
      </c>
      <c r="D11" t="inlineStr">
        <is>
          <t>Santa Tecla</t>
        </is>
      </c>
      <c r="E11" t="inlineStr">
        <is>
          <t>Óscar Rivas</t>
        </is>
      </c>
      <c r="F11" t="inlineStr">
        <is>
          <t>Luis Escobar</t>
        </is>
      </c>
      <c r="G11" t="inlineStr">
        <is>
          <t>René Alvarado Lemus</t>
        </is>
      </c>
      <c r="H11" t="inlineStr">
        <is>
          <t>HAR-001</t>
        </is>
      </c>
      <c r="I11" t="inlineStr">
        <is>
          <t>Harina de maíz 2lb</t>
        </is>
      </c>
      <c r="J11" t="inlineStr">
        <is>
          <t>Abarrotes</t>
        </is>
      </c>
      <c r="K11" t="n">
        <v>1.35</v>
      </c>
      <c r="L11" t="n">
        <v>6</v>
      </c>
      <c r="M11" t="n">
        <v>9.15</v>
      </c>
    </row>
    <row r="12">
      <c r="A12" t="inlineStr">
        <is>
          <t>F-11524</t>
        </is>
      </c>
      <c r="B12" t="inlineStr">
        <is>
          <t>04/10/2026</t>
        </is>
      </c>
      <c r="C12" t="inlineStr">
        <is>
          <t>Factura</t>
        </is>
      </c>
      <c r="D12" t="inlineStr">
        <is>
          <t>Santa  Ana</t>
        </is>
      </c>
      <c r="E12" t="inlineStr">
        <is>
          <t>Verónica Sandoval</t>
        </is>
      </c>
      <c r="F12" t="inlineStr">
        <is>
          <t>Sofía Cáceres</t>
        </is>
      </c>
      <c r="G12" t="inlineStr">
        <is>
          <t>Douglas Pérez Guevara</t>
        </is>
      </c>
      <c r="H12" t="inlineStr">
        <is>
          <t>PAN-001</t>
        </is>
      </c>
      <c r="I12" t="inlineStr">
        <is>
          <t>Pan francés bolsa 10u</t>
        </is>
      </c>
      <c r="J12" t="inlineStr">
        <is>
          <t>Panadería</t>
        </is>
      </c>
      <c r="K12" t="n">
        <v>1</v>
      </c>
      <c r="L12" t="n">
        <v>1</v>
      </c>
      <c r="M12" t="n">
        <v>1.13</v>
      </c>
    </row>
    <row r="13">
      <c r="A13" t="inlineStr">
        <is>
          <t>F-11525</t>
        </is>
      </c>
      <c r="B13" t="inlineStr">
        <is>
          <t>01/10/2026</t>
        </is>
      </c>
      <c r="C13" t="inlineStr">
        <is>
          <t>CCF</t>
        </is>
      </c>
      <c r="D13" t="inlineStr">
        <is>
          <t xml:space="preserve">SOYAPANGO </t>
        </is>
      </c>
      <c r="E13" t="inlineStr">
        <is>
          <t>Karla Henríquez</t>
        </is>
      </c>
      <c r="F13" t="inlineStr">
        <is>
          <t>Marta Gómez</t>
        </is>
      </c>
      <c r="G13" t="inlineStr">
        <is>
          <t>Carlos Romero García</t>
        </is>
      </c>
      <c r="H13" t="inlineStr">
        <is>
          <t>LAC-001</t>
        </is>
      </c>
      <c r="I13" t="inlineStr">
        <is>
          <t>Quesillo 1lb</t>
        </is>
      </c>
      <c r="J13" t="inlineStr">
        <is>
          <t>Lácteos</t>
        </is>
      </c>
      <c r="K13" t="n">
        <v>3.8</v>
      </c>
      <c r="L13" t="n">
        <v>3</v>
      </c>
      <c r="M13" t="n">
        <v>12.88</v>
      </c>
    </row>
    <row r="14">
      <c r="A14" t="inlineStr">
        <is>
          <t>F-11526</t>
        </is>
      </c>
      <c r="B14" t="inlineStr">
        <is>
          <t>04/10/2026</t>
        </is>
      </c>
      <c r="C14" t="inlineStr">
        <is>
          <t>CCF</t>
        </is>
      </c>
      <c r="D14" t="inlineStr">
        <is>
          <t>SONSONATE</t>
        </is>
      </c>
      <c r="E14" t="inlineStr">
        <is>
          <t>Ernesto Chávez</t>
        </is>
      </c>
      <c r="F14" t="inlineStr">
        <is>
          <t>Ricardo Funes</t>
        </is>
      </c>
      <c r="G14" t="inlineStr">
        <is>
          <t>Carlos Castillo Argueta</t>
        </is>
      </c>
      <c r="H14" t="inlineStr">
        <is>
          <t>HIG-003</t>
        </is>
      </c>
      <c r="I14" t="inlineStr">
        <is>
          <t>Jabón de lavar barra</t>
        </is>
      </c>
      <c r="J14" t="inlineStr">
        <is>
          <t>Limpieza</t>
        </is>
      </c>
      <c r="K14" t="n">
        <v>0.75</v>
      </c>
      <c r="L14" t="n">
        <v>1</v>
      </c>
      <c r="M14" t="n">
        <v>0.85</v>
      </c>
    </row>
    <row r="15">
      <c r="A15" t="inlineStr">
        <is>
          <t>F-11527</t>
        </is>
      </c>
      <c r="B15" t="inlineStr">
        <is>
          <t>06/10/2026</t>
        </is>
      </c>
      <c r="C15" t="inlineStr">
        <is>
          <t>CCF</t>
        </is>
      </c>
      <c r="D15" t="inlineStr">
        <is>
          <t>SONSONATE</t>
        </is>
      </c>
      <c r="E15" t="inlineStr">
        <is>
          <t>Ernesto Chávez</t>
        </is>
      </c>
      <c r="F15" t="inlineStr">
        <is>
          <t>Ricardo Funes</t>
        </is>
      </c>
      <c r="G15" t="inlineStr">
        <is>
          <t>René Flores García</t>
        </is>
      </c>
      <c r="H15" t="inlineStr">
        <is>
          <t>PAN-002</t>
        </is>
      </c>
      <c r="I15" t="inlineStr">
        <is>
          <t>Semita alta</t>
        </is>
      </c>
      <c r="J15" t="inlineStr">
        <is>
          <t>Panadería</t>
        </is>
      </c>
      <c r="K15" t="n">
        <v>1.75</v>
      </c>
      <c r="L15" t="n">
        <v>3</v>
      </c>
      <c r="M15" t="n">
        <v>5.93</v>
      </c>
    </row>
    <row r="16">
      <c r="A16" t="inlineStr">
        <is>
          <t>F-11528</t>
        </is>
      </c>
      <c r="B16" t="inlineStr">
        <is>
          <t>03/10/2026</t>
        </is>
      </c>
      <c r="C16" t="inlineStr">
        <is>
          <t>CCF</t>
        </is>
      </c>
      <c r="D16" t="inlineStr">
        <is>
          <t>Sta. Tecla</t>
        </is>
      </c>
      <c r="E16" t="inlineStr">
        <is>
          <t>Óscar Rivas</t>
        </is>
      </c>
      <c r="F16" t="inlineStr">
        <is>
          <t>Luis Escobar</t>
        </is>
      </c>
      <c r="G16" t="inlineStr">
        <is>
          <t>Edwin Castillo Romero</t>
        </is>
      </c>
      <c r="H16" t="inlineStr">
        <is>
          <t>PAN-001</t>
        </is>
      </c>
      <c r="I16" t="inlineStr">
        <is>
          <t>Pan francés bolsa 10u</t>
        </is>
      </c>
      <c r="J16" t="inlineStr">
        <is>
          <t>Panadería</t>
        </is>
      </c>
      <c r="K16" t="n">
        <v>1</v>
      </c>
      <c r="L16" t="n">
        <v>1</v>
      </c>
      <c r="M16" t="n">
        <v>1.13</v>
      </c>
    </row>
    <row r="17">
      <c r="A17" t="inlineStr">
        <is>
          <t>F-11529</t>
        </is>
      </c>
      <c r="B17" t="inlineStr">
        <is>
          <t>06/10/2026</t>
        </is>
      </c>
      <c r="C17" t="inlineStr">
        <is>
          <t>Factura</t>
        </is>
      </c>
      <c r="D17" t="inlineStr">
        <is>
          <t>SONSONATE</t>
        </is>
      </c>
      <c r="E17" t="inlineStr">
        <is>
          <t>Ernesto Chávez</t>
        </is>
      </c>
      <c r="F17" t="inlineStr">
        <is>
          <t>Ricardo Funes</t>
        </is>
      </c>
      <c r="G17" t="inlineStr">
        <is>
          <t>José Sorto López</t>
        </is>
      </c>
      <c r="H17" t="inlineStr">
        <is>
          <t>BEB-001</t>
        </is>
      </c>
      <c r="I17" t="inlineStr">
        <is>
          <t>Gaseosa 2.5L</t>
        </is>
      </c>
      <c r="J17" t="inlineStr">
        <is>
          <t>Bebidas</t>
        </is>
      </c>
      <c r="K17" t="n">
        <v>1.95</v>
      </c>
      <c r="L17" t="n">
        <v>3</v>
      </c>
      <c r="M17" t="n">
        <v>6.61</v>
      </c>
    </row>
    <row r="18">
      <c r="A18" t="inlineStr">
        <is>
          <t>F-11530</t>
        </is>
      </c>
      <c r="B18" t="inlineStr">
        <is>
          <t>09/10/2026</t>
        </is>
      </c>
      <c r="C18" t="inlineStr">
        <is>
          <t>CCF</t>
        </is>
      </c>
      <c r="D18" t="inlineStr">
        <is>
          <t>S.S. Centro</t>
        </is>
      </c>
      <c r="E18" t="inlineStr">
        <is>
          <t>Roberto Alfaro</t>
        </is>
      </c>
      <c r="F18" t="inlineStr">
        <is>
          <t>José Martínez</t>
        </is>
      </c>
      <c r="G18" t="inlineStr">
        <is>
          <t>Comedor Doña Tere</t>
        </is>
      </c>
      <c r="H18" t="inlineStr">
        <is>
          <t>HIG-002</t>
        </is>
      </c>
      <c r="I18" t="inlineStr">
        <is>
          <t>Papel higiénico 4 rollos</t>
        </is>
      </c>
      <c r="J18" t="inlineStr">
        <is>
          <t>Higiene</t>
        </is>
      </c>
      <c r="K18" t="n">
        <v>2.15</v>
      </c>
      <c r="L18" t="n">
        <v>6</v>
      </c>
      <c r="M18" t="n">
        <v>14.58</v>
      </c>
    </row>
    <row r="19">
      <c r="A19" t="inlineStr">
        <is>
          <t>F-11531</t>
        </is>
      </c>
      <c r="B19" t="inlineStr">
        <is>
          <t>04/10/2026</t>
        </is>
      </c>
      <c r="C19" t="inlineStr">
        <is>
          <t>CCF</t>
        </is>
      </c>
      <c r="D19" t="inlineStr">
        <is>
          <t xml:space="preserve">SOYAPANGO </t>
        </is>
      </c>
      <c r="E19" t="inlineStr">
        <is>
          <t>Karla Henríquez</t>
        </is>
      </c>
      <c r="F19" t="inlineStr">
        <is>
          <t>Marta Gómez</t>
        </is>
      </c>
      <c r="G19" t="inlineStr">
        <is>
          <t>Douglas Hernández García</t>
        </is>
      </c>
      <c r="H19" t="inlineStr">
        <is>
          <t>HIG-003</t>
        </is>
      </c>
      <c r="I19" t="inlineStr">
        <is>
          <t>Jabón de lavar barra</t>
        </is>
      </c>
      <c r="J19" t="inlineStr">
        <is>
          <t>Limpieza</t>
        </is>
      </c>
      <c r="K19" t="n">
        <v>0.75</v>
      </c>
      <c r="L19" t="n">
        <v>6</v>
      </c>
      <c r="M19" t="n">
        <v>5.08</v>
      </c>
    </row>
    <row r="20">
      <c r="A20" t="inlineStr">
        <is>
          <t>F-11532</t>
        </is>
      </c>
      <c r="B20" t="inlineStr">
        <is>
          <t>07/10/2026</t>
        </is>
      </c>
      <c r="C20" t="inlineStr">
        <is>
          <t>CCF</t>
        </is>
      </c>
      <c r="D20" t="inlineStr">
        <is>
          <t>Usulutan</t>
        </is>
      </c>
      <c r="E20" t="inlineStr">
        <is>
          <t>Nelson Fuentes</t>
        </is>
      </c>
      <c r="F20" t="inlineStr">
        <is>
          <t>Miguel Bonilla</t>
        </is>
      </c>
      <c r="G20" t="inlineStr">
        <is>
          <t>Rosa Quintanilla Alvarado</t>
        </is>
      </c>
      <c r="H20" t="inlineStr">
        <is>
          <t>BEB-002</t>
        </is>
      </c>
      <c r="I20" t="inlineStr">
        <is>
          <t>Agua purificada 1 galón</t>
        </is>
      </c>
      <c r="J20" t="inlineStr">
        <is>
          <t>Bebidas</t>
        </is>
      </c>
      <c r="K20" t="n">
        <v>1.1</v>
      </c>
      <c r="L20" t="n">
        <v>1</v>
      </c>
      <c r="M20" t="n">
        <v>1.24</v>
      </c>
    </row>
    <row r="21">
      <c r="A21" t="inlineStr">
        <is>
          <t>F-11533</t>
        </is>
      </c>
      <c r="B21" t="inlineStr">
        <is>
          <t>03/10/2026</t>
        </is>
      </c>
      <c r="C21" t="inlineStr">
        <is>
          <t>CCF</t>
        </is>
      </c>
      <c r="D21" t="inlineStr">
        <is>
          <t>SANTA TECLA</t>
        </is>
      </c>
      <c r="E21" t="inlineStr">
        <is>
          <t>Óscar Rivas</t>
        </is>
      </c>
      <c r="F21" t="inlineStr">
        <is>
          <t>Luis Escobar</t>
        </is>
      </c>
      <c r="G21" t="inlineStr">
        <is>
          <t>Xiomara Flores Rivera</t>
        </is>
      </c>
      <c r="H21" t="inlineStr">
        <is>
          <t>ARR-001</t>
        </is>
      </c>
      <c r="I21" t="inlineStr">
        <is>
          <t>Arroz blanco 5lb</t>
        </is>
      </c>
      <c r="J21" t="inlineStr">
        <is>
          <t>Abarrotes</t>
        </is>
      </c>
      <c r="K21" t="n">
        <v>3.95</v>
      </c>
      <c r="L21" t="n">
        <v>2</v>
      </c>
      <c r="M21" t="n">
        <v>8.93</v>
      </c>
    </row>
    <row r="22">
      <c r="A22" t="inlineStr">
        <is>
          <t>F-11534</t>
        </is>
      </c>
      <c r="B22" t="inlineStr">
        <is>
          <t>09/10/2026</t>
        </is>
      </c>
      <c r="C22" t="inlineStr">
        <is>
          <t>Factura</t>
        </is>
      </c>
      <c r="D22" t="inlineStr">
        <is>
          <t>S. Miguel</t>
        </is>
      </c>
      <c r="E22" t="inlineStr">
        <is>
          <t>Iris Portillo</t>
        </is>
      </c>
      <c r="F22" t="inlineStr">
        <is>
          <t>Jorge Villalta</t>
        </is>
      </c>
      <c r="G22" t="inlineStr">
        <is>
          <t>Ana Pérez Rivera</t>
        </is>
      </c>
      <c r="H22" t="inlineStr">
        <is>
          <t>HAR-001</t>
        </is>
      </c>
      <c r="I22" t="inlineStr">
        <is>
          <t>Harina de maíz 2lb</t>
        </is>
      </c>
      <c r="J22" t="inlineStr">
        <is>
          <t>Abarrotes</t>
        </is>
      </c>
      <c r="K22" t="n">
        <v>1.35</v>
      </c>
      <c r="L22" t="n">
        <v>3</v>
      </c>
      <c r="M22" t="n">
        <v>4.58</v>
      </c>
    </row>
    <row r="23">
      <c r="A23" t="inlineStr">
        <is>
          <t>F-11535</t>
        </is>
      </c>
      <c r="B23" t="inlineStr">
        <is>
          <t>02/10/2026</t>
        </is>
      </c>
      <c r="C23" t="inlineStr">
        <is>
          <t>Factura</t>
        </is>
      </c>
      <c r="D23" t="inlineStr">
        <is>
          <t>Sta. Tecla</t>
        </is>
      </c>
      <c r="E23" t="inlineStr">
        <is>
          <t>Óscar Rivas</t>
        </is>
      </c>
      <c r="F23" t="inlineStr">
        <is>
          <t>Luis Escobar</t>
        </is>
      </c>
      <c r="G23" t="inlineStr">
        <is>
          <t>Sandra Guevara Lemus</t>
        </is>
      </c>
      <c r="H23" t="inlineStr">
        <is>
          <t>PAN-002</t>
        </is>
      </c>
      <c r="I23" t="inlineStr">
        <is>
          <t>Semita alta</t>
        </is>
      </c>
      <c r="J23" t="inlineStr">
        <is>
          <t>Panadería</t>
        </is>
      </c>
      <c r="K23" t="n">
        <v>1.75</v>
      </c>
      <c r="L23" t="n">
        <v>2</v>
      </c>
      <c r="M23" t="n">
        <v>3.95</v>
      </c>
    </row>
    <row r="24">
      <c r="A24" t="inlineStr">
        <is>
          <t>F-11536</t>
        </is>
      </c>
      <c r="B24" t="inlineStr">
        <is>
          <t>09/10/2026</t>
        </is>
      </c>
      <c r="C24" t="inlineStr">
        <is>
          <t>CCF</t>
        </is>
      </c>
      <c r="D24" t="inlineStr">
        <is>
          <t>S. Miguel</t>
        </is>
      </c>
      <c r="E24" t="inlineStr">
        <is>
          <t>Iris Portillo</t>
        </is>
      </c>
      <c r="F24" t="inlineStr">
        <is>
          <t>Jorge Villalta</t>
        </is>
      </c>
      <c r="G24" t="inlineStr">
        <is>
          <t>Rosa Argueta Alvarado</t>
        </is>
      </c>
      <c r="H24" t="inlineStr">
        <is>
          <t>CAF-002</t>
        </is>
      </c>
      <c r="I24" t="inlineStr">
        <is>
          <t>Café en grano 1lb</t>
        </is>
      </c>
      <c r="J24" t="inlineStr">
        <is>
          <t>Abarrotes</t>
        </is>
      </c>
      <c r="K24" t="n">
        <v>6.75</v>
      </c>
      <c r="L24" t="n">
        <v>1</v>
      </c>
      <c r="M24" t="n">
        <v>7.63</v>
      </c>
    </row>
    <row r="25">
      <c r="A25" t="inlineStr">
        <is>
          <t>F-11537</t>
        </is>
      </c>
      <c r="B25" t="inlineStr">
        <is>
          <t>06/10/2026</t>
        </is>
      </c>
      <c r="C25" t="inlineStr">
        <is>
          <t>CCF</t>
        </is>
      </c>
      <c r="D25" t="inlineStr">
        <is>
          <t>Pto. La Libertad</t>
        </is>
      </c>
      <c r="E25" t="inlineStr">
        <is>
          <t>Wendy Aguilar</t>
        </is>
      </c>
      <c r="F25" t="inlineStr">
        <is>
          <t>Gabriela Saravia</t>
        </is>
      </c>
      <c r="G25" t="inlineStr">
        <is>
          <t>Mario Lemus Flores</t>
        </is>
      </c>
      <c r="H25" t="inlineStr">
        <is>
          <t>HAR-001</t>
        </is>
      </c>
      <c r="I25" t="inlineStr">
        <is>
          <t>Harina de maíz 2lb</t>
        </is>
      </c>
      <c r="J25" t="inlineStr">
        <is>
          <t>Abarrotes</t>
        </is>
      </c>
      <c r="K25" t="n">
        <v>1.35</v>
      </c>
      <c r="L25" t="n">
        <v>1</v>
      </c>
      <c r="M25" t="n">
        <v>1.53</v>
      </c>
    </row>
    <row r="26">
      <c r="A26" t="inlineStr">
        <is>
          <t>F-11538</t>
        </is>
      </c>
      <c r="B26" t="inlineStr">
        <is>
          <t>08/10/2026</t>
        </is>
      </c>
      <c r="C26" t="inlineStr">
        <is>
          <t>Factura</t>
        </is>
      </c>
      <c r="D26" t="inlineStr">
        <is>
          <t>SAN MIGUEL</t>
        </is>
      </c>
      <c r="E26" t="inlineStr">
        <is>
          <t>Iris Portillo</t>
        </is>
      </c>
      <c r="F26" t="inlineStr">
        <is>
          <t>Jorge Villalta</t>
        </is>
      </c>
      <c r="G26" t="inlineStr">
        <is>
          <t>Edwin Alvarado García</t>
        </is>
      </c>
      <c r="H26" t="inlineStr">
        <is>
          <t>LAC-003</t>
        </is>
      </c>
      <c r="I26" t="inlineStr">
        <is>
          <t>Leche entera 1L</t>
        </is>
      </c>
      <c r="J26" t="inlineStr">
        <is>
          <t>Lácteos</t>
        </is>
      </c>
      <c r="K26" t="n">
        <v>1.2</v>
      </c>
      <c r="L26" t="n">
        <v>1</v>
      </c>
      <c r="M26" t="n">
        <v>1.36</v>
      </c>
    </row>
    <row r="27">
      <c r="A27" t="inlineStr">
        <is>
          <t>F-11539</t>
        </is>
      </c>
      <c r="B27" t="inlineStr">
        <is>
          <t>02/10/2026</t>
        </is>
      </c>
      <c r="C27" t="inlineStr">
        <is>
          <t>CCF</t>
        </is>
      </c>
      <c r="D27" t="inlineStr">
        <is>
          <t>STA ANA</t>
        </is>
      </c>
      <c r="E27" t="inlineStr">
        <is>
          <t>Verónica Sandoval</t>
        </is>
      </c>
      <c r="F27" t="inlineStr">
        <is>
          <t>Diego Zelaya</t>
        </is>
      </c>
      <c r="G27" t="inlineStr">
        <is>
          <t>Luis Alvarado Flores</t>
        </is>
      </c>
      <c r="H27" t="inlineStr">
        <is>
          <t>PAN-001</t>
        </is>
      </c>
      <c r="I27" t="inlineStr">
        <is>
          <t>Pan francés bolsa 10u</t>
        </is>
      </c>
      <c r="J27" t="inlineStr">
        <is>
          <t>Panadería</t>
        </is>
      </c>
      <c r="K27" t="n">
        <v>1</v>
      </c>
      <c r="L27" t="n">
        <v>6</v>
      </c>
      <c r="M27" t="n">
        <v>6.78</v>
      </c>
    </row>
    <row r="28">
      <c r="A28" t="inlineStr">
        <is>
          <t>F-11540</t>
        </is>
      </c>
      <c r="B28" t="inlineStr">
        <is>
          <t>03/10/2026</t>
        </is>
      </c>
      <c r="C28" t="inlineStr">
        <is>
          <t>Factura</t>
        </is>
      </c>
      <c r="D28" t="inlineStr">
        <is>
          <t>ESCALON</t>
        </is>
      </c>
      <c r="E28" t="inlineStr">
        <is>
          <t>Claudia Menjívar</t>
        </is>
      </c>
      <c r="F28" t="inlineStr">
        <is>
          <t>Fátima Rosales</t>
        </is>
      </c>
      <c r="G28" t="inlineStr">
        <is>
          <t>Mario Martínez Sorto</t>
        </is>
      </c>
      <c r="H28" t="inlineStr">
        <is>
          <t>CAF-001</t>
        </is>
      </c>
      <c r="I28" t="inlineStr">
        <is>
          <t>Café molido 400g</t>
        </is>
      </c>
      <c r="J28" t="inlineStr">
        <is>
          <t>Abarrotes</t>
        </is>
      </c>
      <c r="K28" t="n">
        <v>4.5</v>
      </c>
      <c r="L28" t="n">
        <v>1</v>
      </c>
      <c r="M28" t="n">
        <v>5.08</v>
      </c>
    </row>
    <row r="29">
      <c r="A29" t="inlineStr">
        <is>
          <t>F-11541</t>
        </is>
      </c>
      <c r="B29" t="inlineStr">
        <is>
          <t>06/10/2026</t>
        </is>
      </c>
      <c r="C29" t="inlineStr">
        <is>
          <t>CCF</t>
        </is>
      </c>
      <c r="D29" t="inlineStr">
        <is>
          <t>Pto. La Libertad</t>
        </is>
      </c>
      <c r="E29" t="inlineStr">
        <is>
          <t>Wendy Aguilar</t>
        </is>
      </c>
      <c r="F29" t="inlineStr">
        <is>
          <t>Gabriela Saravia</t>
        </is>
      </c>
      <c r="G29" t="inlineStr">
        <is>
          <t>Rosa García López</t>
        </is>
      </c>
      <c r="H29" t="inlineStr">
        <is>
          <t>LAC-003</t>
        </is>
      </c>
      <c r="I29" t="inlineStr">
        <is>
          <t>Leche entera 1L</t>
        </is>
      </c>
      <c r="J29" t="inlineStr">
        <is>
          <t>Lácteos</t>
        </is>
      </c>
      <c r="K29" t="n">
        <v>1.2</v>
      </c>
      <c r="L29" t="n">
        <v>1</v>
      </c>
      <c r="M29" t="n">
        <v>1.36</v>
      </c>
    </row>
    <row r="30">
      <c r="A30" t="inlineStr">
        <is>
          <t>F-11542</t>
        </is>
      </c>
      <c r="B30" t="inlineStr">
        <is>
          <t>06/10/2026</t>
        </is>
      </c>
      <c r="C30" t="inlineStr">
        <is>
          <t>Factura</t>
        </is>
      </c>
      <c r="D30" t="inlineStr">
        <is>
          <t>Sta. Tecla</t>
        </is>
      </c>
      <c r="E30" t="inlineStr">
        <is>
          <t>Óscar Rivas</t>
        </is>
      </c>
      <c r="F30" t="inlineStr">
        <is>
          <t>Andrea Pineda</t>
        </is>
      </c>
      <c r="G30" t="inlineStr">
        <is>
          <t>Xiomara Flores Rivera</t>
        </is>
      </c>
      <c r="H30" t="inlineStr">
        <is>
          <t>LAC-002</t>
        </is>
      </c>
      <c r="I30" t="inlineStr">
        <is>
          <t>Crema 500ml</t>
        </is>
      </c>
      <c r="J30" t="inlineStr">
        <is>
          <t>Lácteos</t>
        </is>
      </c>
      <c r="K30" t="n">
        <v>2.25</v>
      </c>
      <c r="L30" t="n">
        <v>1</v>
      </c>
      <c r="M30" t="n">
        <v>2.54</v>
      </c>
    </row>
    <row r="31">
      <c r="A31" t="inlineStr">
        <is>
          <t>F-11543</t>
        </is>
      </c>
      <c r="B31" t="inlineStr">
        <is>
          <t>03/10/2026</t>
        </is>
      </c>
      <c r="C31" t="inlineStr">
        <is>
          <t>CCF</t>
        </is>
      </c>
      <c r="D31" t="inlineStr">
        <is>
          <t>ESCALON</t>
        </is>
      </c>
      <c r="E31" t="inlineStr">
        <is>
          <t>Claudia Menjívar</t>
        </is>
      </c>
      <c r="F31" t="inlineStr">
        <is>
          <t>Kevin Benítez</t>
        </is>
      </c>
      <c r="G31" t="inlineStr">
        <is>
          <t>Sandra Guevara Lemus</t>
        </is>
      </c>
      <c r="H31" t="inlineStr">
        <is>
          <t>HAR-001</t>
        </is>
      </c>
      <c r="I31" t="inlineStr">
        <is>
          <t>Harina de maíz 2lb</t>
        </is>
      </c>
      <c r="J31" t="inlineStr">
        <is>
          <t>Abarrotes</t>
        </is>
      </c>
      <c r="K31" t="n">
        <v>1.35</v>
      </c>
      <c r="L31" t="n">
        <v>6</v>
      </c>
      <c r="M31" t="n">
        <v>9.15</v>
      </c>
    </row>
    <row r="32">
      <c r="A32" t="inlineStr">
        <is>
          <t>F-11544</t>
        </is>
      </c>
      <c r="B32" t="inlineStr">
        <is>
          <t>07/10/2026</t>
        </is>
      </c>
      <c r="C32" t="inlineStr">
        <is>
          <t>CCF</t>
        </is>
      </c>
      <c r="D32" t="inlineStr">
        <is>
          <t>Sta. Tecla</t>
        </is>
      </c>
      <c r="E32" t="inlineStr">
        <is>
          <t>Óscar Rivas</t>
        </is>
      </c>
      <c r="F32" t="inlineStr">
        <is>
          <t>Luis Escobar</t>
        </is>
      </c>
      <c r="G32" t="inlineStr">
        <is>
          <t>Mario Martínez Sorto</t>
        </is>
      </c>
      <c r="H32" t="inlineStr">
        <is>
          <t>LAC-001</t>
        </is>
      </c>
      <c r="I32" t="inlineStr">
        <is>
          <t>Quesillo 1lb</t>
        </is>
      </c>
      <c r="J32" t="inlineStr">
        <is>
          <t>Lácteos</t>
        </is>
      </c>
      <c r="K32" t="n">
        <v>3.8</v>
      </c>
      <c r="L32" t="n">
        <v>2</v>
      </c>
      <c r="M32" t="n">
        <v>8.59</v>
      </c>
    </row>
    <row r="33">
      <c r="A33" t="inlineStr">
        <is>
          <t>F-11545</t>
        </is>
      </c>
      <c r="B33" t="inlineStr">
        <is>
          <t>08/10/2026</t>
        </is>
      </c>
      <c r="C33" t="inlineStr">
        <is>
          <t>CCF</t>
        </is>
      </c>
      <c r="D33" t="inlineStr">
        <is>
          <t>SAN SALVADOR CENTRO</t>
        </is>
      </c>
      <c r="E33" t="inlineStr">
        <is>
          <t>Roberto Alfaro</t>
        </is>
      </c>
      <c r="F33" t="inlineStr">
        <is>
          <t>José Martínez</t>
        </is>
      </c>
      <c r="G33" t="inlineStr">
        <is>
          <t>Rosa García López</t>
        </is>
      </c>
      <c r="H33" t="inlineStr">
        <is>
          <t>AZU-001</t>
        </is>
      </c>
      <c r="I33" t="inlineStr">
        <is>
          <t>Azúcar blanca 2.5kg</t>
        </is>
      </c>
      <c r="J33" t="inlineStr">
        <is>
          <t>Abarrotes</t>
        </is>
      </c>
      <c r="K33" t="n">
        <v>3.1</v>
      </c>
      <c r="L33" t="n">
        <v>1</v>
      </c>
      <c r="M33" t="n">
        <v>3.5</v>
      </c>
    </row>
    <row r="34">
      <c r="A34" t="inlineStr">
        <is>
          <t>F-11546</t>
        </is>
      </c>
      <c r="B34" t="inlineStr">
        <is>
          <t>08/10/2026</t>
        </is>
      </c>
      <c r="C34" t="inlineStr">
        <is>
          <t>CCF</t>
        </is>
      </c>
      <c r="D34" t="inlineStr">
        <is>
          <t xml:space="preserve">san salvador centro </t>
        </is>
      </c>
      <c r="E34" t="inlineStr">
        <is>
          <t>Roberto Alfaro</t>
        </is>
      </c>
      <c r="F34" t="inlineStr">
        <is>
          <t>Daniela Orellana</t>
        </is>
      </c>
      <c r="G34" t="inlineStr">
        <is>
          <t>Xiomara Flores Rivera</t>
        </is>
      </c>
      <c r="H34" t="inlineStr">
        <is>
          <t>FRI-001</t>
        </is>
      </c>
      <c r="I34" t="inlineStr">
        <is>
          <t>Frijol rojo de seda 2lb</t>
        </is>
      </c>
      <c r="J34" t="inlineStr">
        <is>
          <t>Abarrotes</t>
        </is>
      </c>
      <c r="K34" t="n">
        <v>2.4</v>
      </c>
      <c r="L34" t="n">
        <v>2</v>
      </c>
      <c r="M34" t="n">
        <v>5.42</v>
      </c>
    </row>
    <row r="35">
      <c r="A35" t="inlineStr">
        <is>
          <t>F-11547</t>
        </is>
      </c>
      <c r="B35" t="inlineStr">
        <is>
          <t>06/10/2026</t>
        </is>
      </c>
      <c r="C35" t="inlineStr">
        <is>
          <t>CCF</t>
        </is>
      </c>
      <c r="D35" t="inlineStr">
        <is>
          <t>Col. Escalón</t>
        </is>
      </c>
      <c r="E35" t="inlineStr">
        <is>
          <t>Claudia Menjívar</t>
        </is>
      </c>
      <c r="F35" t="inlineStr">
        <is>
          <t>Kevin Benítez</t>
        </is>
      </c>
      <c r="G35" t="inlineStr">
        <is>
          <t>Walter García Alvarado</t>
        </is>
      </c>
      <c r="H35" t="inlineStr">
        <is>
          <t>HIG-001</t>
        </is>
      </c>
      <c r="I35" t="inlineStr">
        <is>
          <t>Detergente 1kg</t>
        </is>
      </c>
      <c r="J35" t="inlineStr">
        <is>
          <t>Limpieza</t>
        </is>
      </c>
      <c r="K35" t="n">
        <v>3.45</v>
      </c>
      <c r="L35" t="n">
        <v>3</v>
      </c>
      <c r="M35" t="n">
        <v>11.7</v>
      </c>
    </row>
    <row r="36">
      <c r="A36" t="inlineStr">
        <is>
          <t>F-11548</t>
        </is>
      </c>
      <c r="B36" t="inlineStr">
        <is>
          <t>03/10/2026</t>
        </is>
      </c>
      <c r="C36" t="inlineStr">
        <is>
          <t>CCF</t>
        </is>
      </c>
      <c r="D36" t="inlineStr">
        <is>
          <t>Sonsonate</t>
        </is>
      </c>
      <c r="E36" t="inlineStr">
        <is>
          <t>Ernesto Chávez</t>
        </is>
      </c>
      <c r="F36" t="inlineStr">
        <is>
          <t>Ricardo Funes</t>
        </is>
      </c>
      <c r="G36" t="inlineStr">
        <is>
          <t>Carlos Mejía García</t>
        </is>
      </c>
      <c r="H36" t="inlineStr">
        <is>
          <t>AZU-001</t>
        </is>
      </c>
      <c r="I36" t="inlineStr">
        <is>
          <t>Azúcar blanca 2.5kg</t>
        </is>
      </c>
      <c r="J36" t="inlineStr">
        <is>
          <t>Abarrotes</t>
        </is>
      </c>
      <c r="K36" t="n">
        <v>3.1</v>
      </c>
      <c r="L36" t="n">
        <v>1</v>
      </c>
      <c r="M36" t="n">
        <v>3.5</v>
      </c>
    </row>
    <row r="37">
      <c r="A37" t="inlineStr">
        <is>
          <t>F-11549</t>
        </is>
      </c>
      <c r="B37" t="inlineStr">
        <is>
          <t>03/10/2026</t>
        </is>
      </c>
      <c r="C37" t="inlineStr">
        <is>
          <t>CCF</t>
        </is>
      </c>
      <c r="D37" t="inlineStr">
        <is>
          <t>Soyapango</t>
        </is>
      </c>
      <c r="E37" t="inlineStr">
        <is>
          <t>Karla Henríquez</t>
        </is>
      </c>
      <c r="F37" t="inlineStr">
        <is>
          <t>Carlos Molina</t>
        </is>
      </c>
      <c r="G37" t="inlineStr">
        <is>
          <t>Edwin Rivera Guevara</t>
        </is>
      </c>
      <c r="H37" t="inlineStr">
        <is>
          <t>BEB-003</t>
        </is>
      </c>
      <c r="I37" t="inlineStr">
        <is>
          <t>Horchata en polvo 400g</t>
        </is>
      </c>
      <c r="J37" t="inlineStr">
        <is>
          <t>Bebidas</t>
        </is>
      </c>
      <c r="K37" t="n">
        <v>2.6</v>
      </c>
      <c r="L37" t="n">
        <v>2</v>
      </c>
      <c r="M37" t="n">
        <v>5.88</v>
      </c>
    </row>
    <row r="38">
      <c r="A38" t="inlineStr">
        <is>
          <t>F-11550</t>
        </is>
      </c>
      <c r="B38" t="inlineStr">
        <is>
          <t>07/10/2026</t>
        </is>
      </c>
      <c r="C38" t="inlineStr">
        <is>
          <t>CCF</t>
        </is>
      </c>
      <c r="D38" t="inlineStr">
        <is>
          <t xml:space="preserve">SOYAPANGO </t>
        </is>
      </c>
      <c r="E38" t="inlineStr">
        <is>
          <t>Karla Henríquez</t>
        </is>
      </c>
      <c r="F38" t="inlineStr">
        <is>
          <t>Carlos Molina</t>
        </is>
      </c>
      <c r="G38" t="inlineStr">
        <is>
          <t>René Alvarado Lemus</t>
        </is>
      </c>
      <c r="H38" t="inlineStr">
        <is>
          <t>LAC-003</t>
        </is>
      </c>
      <c r="I38" t="inlineStr">
        <is>
          <t>Leche entera 1L</t>
        </is>
      </c>
      <c r="J38" t="inlineStr">
        <is>
          <t>Lácteos</t>
        </is>
      </c>
      <c r="K38" t="n">
        <v>1.2</v>
      </c>
      <c r="L38" t="n">
        <v>2</v>
      </c>
      <c r="M38" t="n">
        <v>2.71</v>
      </c>
    </row>
    <row r="39">
      <c r="A39" t="inlineStr">
        <is>
          <t>F-11551</t>
        </is>
      </c>
      <c r="B39" t="inlineStr">
        <is>
          <t>04/10/2026</t>
        </is>
      </c>
      <c r="C39" t="inlineStr">
        <is>
          <t>Factura</t>
        </is>
      </c>
      <c r="D39" t="inlineStr">
        <is>
          <t>Sonsonate</t>
        </is>
      </c>
      <c r="E39" t="inlineStr">
        <is>
          <t>Ernesto Chávez</t>
        </is>
      </c>
      <c r="F39" t="inlineStr">
        <is>
          <t>Ricardo Funes</t>
        </is>
      </c>
      <c r="G39" t="inlineStr">
        <is>
          <t>Walter Quintanilla Rivera</t>
        </is>
      </c>
      <c r="H39" t="inlineStr">
        <is>
          <t>PAN-003</t>
        </is>
      </c>
      <c r="I39" t="inlineStr">
        <is>
          <t>Quesadilla salvadoreña</t>
        </is>
      </c>
      <c r="J39" t="inlineStr">
        <is>
          <t>Panadería</t>
        </is>
      </c>
      <c r="K39" t="n">
        <v>2.5</v>
      </c>
      <c r="L39" t="n">
        <v>6</v>
      </c>
      <c r="M39" t="n">
        <v>16.95</v>
      </c>
    </row>
    <row r="40">
      <c r="A40" t="inlineStr">
        <is>
          <t>F-11552</t>
        </is>
      </c>
      <c r="B40" t="inlineStr">
        <is>
          <t>05/10/2026</t>
        </is>
      </c>
      <c r="C40" t="inlineStr">
        <is>
          <t>Factura</t>
        </is>
      </c>
      <c r="D40" t="inlineStr">
        <is>
          <t>soyapango</t>
        </is>
      </c>
      <c r="E40" t="inlineStr">
        <is>
          <t>Karla Henríquez</t>
        </is>
      </c>
      <c r="F40" t="inlineStr">
        <is>
          <t>Carlos Molina</t>
        </is>
      </c>
      <c r="G40" t="inlineStr">
        <is>
          <t>Rosa Argueta Alvarado</t>
        </is>
      </c>
      <c r="H40" t="inlineStr">
        <is>
          <t>BEB-002</t>
        </is>
      </c>
      <c r="I40" t="inlineStr">
        <is>
          <t>Agua purificada 1 galón</t>
        </is>
      </c>
      <c r="J40" t="inlineStr">
        <is>
          <t>Bebidas</t>
        </is>
      </c>
      <c r="K40" t="n">
        <v>1.1</v>
      </c>
      <c r="L40" t="n">
        <v>3</v>
      </c>
      <c r="M40" t="n">
        <v>3.73</v>
      </c>
    </row>
    <row r="41">
      <c r="A41" t="inlineStr">
        <is>
          <t>F-11553</t>
        </is>
      </c>
      <c r="B41" t="inlineStr">
        <is>
          <t>04/10/2026</t>
        </is>
      </c>
      <c r="C41" t="inlineStr">
        <is>
          <t>Factura</t>
        </is>
      </c>
      <c r="D41" t="inlineStr">
        <is>
          <t>SONSONATE</t>
        </is>
      </c>
      <c r="E41" t="inlineStr">
        <is>
          <t>Ernesto Chávez</t>
        </is>
      </c>
      <c r="F41" t="inlineStr">
        <is>
          <t>Ricardo Funes</t>
        </is>
      </c>
      <c r="G41" t="inlineStr">
        <is>
          <t>Tienda La Bendición</t>
        </is>
      </c>
      <c r="H41" t="inlineStr">
        <is>
          <t>HIG-003</t>
        </is>
      </c>
      <c r="I41" t="inlineStr">
        <is>
          <t>Jabón de lavar barra</t>
        </is>
      </c>
      <c r="J41" t="inlineStr">
        <is>
          <t>Limpieza</t>
        </is>
      </c>
      <c r="K41" t="n">
        <v>0.75</v>
      </c>
      <c r="L41" t="n">
        <v>3</v>
      </c>
      <c r="M41" t="n">
        <v>2.54</v>
      </c>
    </row>
    <row r="42">
      <c r="A42" t="inlineStr">
        <is>
          <t>F-11554</t>
        </is>
      </c>
      <c r="B42" t="inlineStr">
        <is>
          <t>02/10/2026</t>
        </is>
      </c>
      <c r="C42" t="inlineStr">
        <is>
          <t>CCF</t>
        </is>
      </c>
      <c r="D42" t="inlineStr">
        <is>
          <t>soyapango</t>
        </is>
      </c>
      <c r="E42" t="inlineStr">
        <is>
          <t>Karla Henríquez</t>
        </is>
      </c>
      <c r="F42" t="inlineStr">
        <is>
          <t>Carlos Molina</t>
        </is>
      </c>
      <c r="G42" t="inlineStr">
        <is>
          <t>Restaurante El Guanaco</t>
        </is>
      </c>
      <c r="H42" t="inlineStr">
        <is>
          <t>BEB-001</t>
        </is>
      </c>
      <c r="I42" t="inlineStr">
        <is>
          <t>Gaseosa 2.5L</t>
        </is>
      </c>
      <c r="J42" t="inlineStr">
        <is>
          <t>Bebidas</t>
        </is>
      </c>
      <c r="K42" t="n">
        <v>1.95</v>
      </c>
      <c r="L42" t="n">
        <v>1</v>
      </c>
      <c r="M42" t="n">
        <v>2.2</v>
      </c>
    </row>
    <row r="43">
      <c r="A43" t="inlineStr">
        <is>
          <t>F-11555</t>
        </is>
      </c>
      <c r="B43" t="inlineStr">
        <is>
          <t>05/10/2026</t>
        </is>
      </c>
      <c r="C43" t="inlineStr">
        <is>
          <t>CCF</t>
        </is>
      </c>
      <c r="D43" t="inlineStr">
        <is>
          <t>Sonsonate</t>
        </is>
      </c>
      <c r="E43" t="inlineStr">
        <is>
          <t>Ernesto Chávez</t>
        </is>
      </c>
      <c r="F43" t="inlineStr">
        <is>
          <t>Ricardo Funes</t>
        </is>
      </c>
      <c r="G43" t="inlineStr">
        <is>
          <t>Patricia Argueta Mejía</t>
        </is>
      </c>
      <c r="H43" t="inlineStr">
        <is>
          <t>BEB-002</t>
        </is>
      </c>
      <c r="I43" t="inlineStr">
        <is>
          <t>Agua purificada 1 galón</t>
        </is>
      </c>
      <c r="J43" t="inlineStr">
        <is>
          <t>Bebidas</t>
        </is>
      </c>
      <c r="K43" t="n">
        <v>1.1</v>
      </c>
      <c r="L43" t="n">
        <v>6</v>
      </c>
      <c r="M43" t="n">
        <v>7.46</v>
      </c>
    </row>
    <row r="44">
      <c r="A44" t="inlineStr">
        <is>
          <t>F-11556</t>
        </is>
      </c>
      <c r="B44" t="inlineStr">
        <is>
          <t>09/10/2026</t>
        </is>
      </c>
      <c r="C44" t="inlineStr">
        <is>
          <t>CCF</t>
        </is>
      </c>
      <c r="D44" t="inlineStr">
        <is>
          <t>STA ANA</t>
        </is>
      </c>
      <c r="E44" t="inlineStr">
        <is>
          <t>Verónica Sandoval</t>
        </is>
      </c>
      <c r="F44" t="inlineStr">
        <is>
          <t>Sofía Cáceres</t>
        </is>
      </c>
      <c r="G44" t="inlineStr">
        <is>
          <t>Ana Pérez Rivera</t>
        </is>
      </c>
      <c r="H44" t="inlineStr">
        <is>
          <t>HIG-001</t>
        </is>
      </c>
      <c r="I44" t="inlineStr">
        <is>
          <t>Detergente 1kg</t>
        </is>
      </c>
      <c r="J44" t="inlineStr">
        <is>
          <t>Limpieza</t>
        </is>
      </c>
      <c r="K44" t="n">
        <v>3.45</v>
      </c>
      <c r="L44" t="n">
        <v>2</v>
      </c>
      <c r="M44" t="n">
        <v>7.8</v>
      </c>
    </row>
    <row r="45">
      <c r="A45" t="inlineStr">
        <is>
          <t>F-11557</t>
        </is>
      </c>
      <c r="B45" t="inlineStr">
        <is>
          <t>05/10/2026</t>
        </is>
      </c>
      <c r="C45" t="inlineStr">
        <is>
          <t>Factura</t>
        </is>
      </c>
      <c r="D45" t="inlineStr">
        <is>
          <t>Sonsonate</t>
        </is>
      </c>
      <c r="E45" t="inlineStr">
        <is>
          <t>Ernesto Chávez</t>
        </is>
      </c>
      <c r="F45" t="inlineStr">
        <is>
          <t>Ricardo Funes</t>
        </is>
      </c>
      <c r="G45" t="inlineStr">
        <is>
          <t>René Sorto Quintanilla</t>
        </is>
      </c>
      <c r="H45" t="inlineStr">
        <is>
          <t>FRI-001</t>
        </is>
      </c>
      <c r="I45" t="inlineStr">
        <is>
          <t>Frijol rojo de seda 2lb</t>
        </is>
      </c>
      <c r="J45" t="inlineStr">
        <is>
          <t>Abarrotes</t>
        </is>
      </c>
      <c r="K45" t="n">
        <v>2.4</v>
      </c>
      <c r="L45" t="n">
        <v>3</v>
      </c>
      <c r="M45" t="n">
        <v>8.140000000000001</v>
      </c>
    </row>
    <row r="46">
      <c r="A46" t="inlineStr">
        <is>
          <t>F-11558</t>
        </is>
      </c>
      <c r="B46" t="inlineStr">
        <is>
          <t>06/10/2026</t>
        </is>
      </c>
      <c r="C46" t="inlineStr">
        <is>
          <t>Factura</t>
        </is>
      </c>
      <c r="D46" t="inlineStr">
        <is>
          <t>soyapango</t>
        </is>
      </c>
      <c r="E46" t="inlineStr">
        <is>
          <t>Karla Henríquez</t>
        </is>
      </c>
      <c r="F46" t="inlineStr">
        <is>
          <t>Marta Gómez</t>
        </is>
      </c>
      <c r="G46" t="inlineStr">
        <is>
          <t>Carlos Mejía García</t>
        </is>
      </c>
      <c r="H46" t="inlineStr">
        <is>
          <t>PAN-003</t>
        </is>
      </c>
      <c r="I46" t="inlineStr">
        <is>
          <t>Quesadilla salvadoreña</t>
        </is>
      </c>
      <c r="J46" t="inlineStr">
        <is>
          <t>Panadería</t>
        </is>
      </c>
      <c r="K46" t="n">
        <v>2.5</v>
      </c>
      <c r="L46" t="n">
        <v>1</v>
      </c>
      <c r="M46" t="n">
        <v>2.82</v>
      </c>
    </row>
    <row r="47">
      <c r="A47" t="inlineStr">
        <is>
          <t>F-11559</t>
        </is>
      </c>
      <c r="B47" t="inlineStr">
        <is>
          <t>07/10/2026</t>
        </is>
      </c>
      <c r="C47" t="inlineStr">
        <is>
          <t>Factura</t>
        </is>
      </c>
      <c r="D47" t="inlineStr">
        <is>
          <t>Pto. La Libertad</t>
        </is>
      </c>
      <c r="E47" t="inlineStr">
        <is>
          <t>Wendy Aguilar</t>
        </is>
      </c>
      <c r="F47" t="inlineStr">
        <is>
          <t>Gabriela Saravia</t>
        </is>
      </c>
      <c r="G47" t="inlineStr">
        <is>
          <t>René Alvarado Lemus</t>
        </is>
      </c>
      <c r="H47" t="inlineStr">
        <is>
          <t>CAF-002</t>
        </is>
      </c>
      <c r="I47" t="inlineStr">
        <is>
          <t>Café en grano 1lb</t>
        </is>
      </c>
      <c r="J47" t="inlineStr">
        <is>
          <t>Abarrotes</t>
        </is>
      </c>
      <c r="K47" t="n">
        <v>6.75</v>
      </c>
      <c r="L47" t="n">
        <v>1</v>
      </c>
      <c r="M47" t="n">
        <v>7.63</v>
      </c>
    </row>
    <row r="48">
      <c r="A48" t="inlineStr">
        <is>
          <t>F-11560</t>
        </is>
      </c>
      <c r="B48" t="inlineStr">
        <is>
          <t>01/10/2026</t>
        </is>
      </c>
      <c r="C48" t="inlineStr">
        <is>
          <t>Factura</t>
        </is>
      </c>
      <c r="D48" t="inlineStr">
        <is>
          <t xml:space="preserve">SOYAPANGO </t>
        </is>
      </c>
      <c r="E48" t="inlineStr">
        <is>
          <t>Karla Henríquez</t>
        </is>
      </c>
      <c r="F48" t="inlineStr">
        <is>
          <t>Carlos Molina</t>
        </is>
      </c>
      <c r="G48" t="inlineStr">
        <is>
          <t>Carlos Mejía García</t>
        </is>
      </c>
      <c r="H48" t="inlineStr">
        <is>
          <t>HIG-003</t>
        </is>
      </c>
      <c r="I48" t="inlineStr">
        <is>
          <t>Jabón de lavar barra</t>
        </is>
      </c>
      <c r="J48" t="inlineStr">
        <is>
          <t>Limpieza</t>
        </is>
      </c>
      <c r="K48" t="n">
        <v>0.75</v>
      </c>
      <c r="L48" t="n">
        <v>6</v>
      </c>
      <c r="M48" t="n">
        <v>5.08</v>
      </c>
    </row>
    <row r="49">
      <c r="A49" t="inlineStr">
        <is>
          <t>F-11561</t>
        </is>
      </c>
      <c r="B49" t="inlineStr">
        <is>
          <t>05/10/2026</t>
        </is>
      </c>
      <c r="C49" t="inlineStr">
        <is>
          <t>Factura</t>
        </is>
      </c>
      <c r="D49" t="inlineStr">
        <is>
          <t>Sta. Tecla</t>
        </is>
      </c>
      <c r="E49" t="inlineStr">
        <is>
          <t>Óscar Rivas</t>
        </is>
      </c>
      <c r="F49" t="inlineStr">
        <is>
          <t>Luis Escobar</t>
        </is>
      </c>
      <c r="G49" t="inlineStr">
        <is>
          <t>Sandra Guevara Lemus</t>
        </is>
      </c>
      <c r="H49" t="inlineStr">
        <is>
          <t>PAN-003</t>
        </is>
      </c>
      <c r="I49" t="inlineStr">
        <is>
          <t>Quesadilla salvadoreña</t>
        </is>
      </c>
      <c r="J49" t="inlineStr">
        <is>
          <t>Panadería</t>
        </is>
      </c>
      <c r="K49" t="n">
        <v>2.5</v>
      </c>
      <c r="L49" t="n">
        <v>1</v>
      </c>
      <c r="M49" t="n">
        <v>2.82</v>
      </c>
    </row>
    <row r="50">
      <c r="A50" t="inlineStr">
        <is>
          <t>F-11562</t>
        </is>
      </c>
      <c r="B50" t="inlineStr">
        <is>
          <t>09/10/2026</t>
        </is>
      </c>
      <c r="C50" t="inlineStr">
        <is>
          <t>CCF</t>
        </is>
      </c>
      <c r="D50" t="inlineStr">
        <is>
          <t>Escalon</t>
        </is>
      </c>
      <c r="E50" t="inlineStr">
        <is>
          <t>Claudia Menjívar</t>
        </is>
      </c>
      <c r="F50" t="inlineStr">
        <is>
          <t>Kevin Benítez</t>
        </is>
      </c>
      <c r="G50" t="inlineStr">
        <is>
          <t>Rosa López Castillo</t>
        </is>
      </c>
      <c r="H50" t="inlineStr">
        <is>
          <t>BEB-002</t>
        </is>
      </c>
      <c r="I50" t="inlineStr">
        <is>
          <t>Agua purificada 1 galón</t>
        </is>
      </c>
      <c r="J50" t="inlineStr">
        <is>
          <t>Bebidas</t>
        </is>
      </c>
      <c r="K50" t="n">
        <v>1.1</v>
      </c>
      <c r="L50" t="n">
        <v>3</v>
      </c>
      <c r="M50" t="n">
        <v>3.73</v>
      </c>
    </row>
    <row r="51">
      <c r="A51" t="inlineStr">
        <is>
          <t>F-11563</t>
        </is>
      </c>
      <c r="B51" t="inlineStr">
        <is>
          <t>07/10/2026</t>
        </is>
      </c>
      <c r="C51" t="inlineStr">
        <is>
          <t>CCF</t>
        </is>
      </c>
      <c r="D51" t="inlineStr">
        <is>
          <t>Santa  Ana</t>
        </is>
      </c>
      <c r="E51" t="inlineStr">
        <is>
          <t>Verónica Sandoval</t>
        </is>
      </c>
      <c r="F51" t="inlineStr">
        <is>
          <t>Diego Zelaya</t>
        </is>
      </c>
      <c r="G51" t="inlineStr">
        <is>
          <t>Carmen Flores Sorto</t>
        </is>
      </c>
      <c r="H51" t="inlineStr">
        <is>
          <t>PAN-003</t>
        </is>
      </c>
      <c r="I51" t="inlineStr">
        <is>
          <t>Quesadilla salvadoreña</t>
        </is>
      </c>
      <c r="J51" t="inlineStr">
        <is>
          <t>Panadería</t>
        </is>
      </c>
      <c r="K51" t="n">
        <v>2.5</v>
      </c>
      <c r="L51" t="n">
        <v>6</v>
      </c>
      <c r="M51" t="n">
        <v>16.95</v>
      </c>
    </row>
    <row r="52">
      <c r="A52" t="inlineStr">
        <is>
          <t>F-11564</t>
        </is>
      </c>
      <c r="B52" t="inlineStr">
        <is>
          <t>05/10/2026</t>
        </is>
      </c>
      <c r="C52" t="inlineStr">
        <is>
          <t>CCF</t>
        </is>
      </c>
      <c r="D52" t="inlineStr">
        <is>
          <t>S.S. Centro</t>
        </is>
      </c>
      <c r="E52" t="inlineStr">
        <is>
          <t>Roberto Alfaro</t>
        </is>
      </c>
      <c r="F52" t="inlineStr">
        <is>
          <t>Daniela Orellana</t>
        </is>
      </c>
      <c r="G52" t="inlineStr">
        <is>
          <t>Sandra Lemus Flores</t>
        </is>
      </c>
      <c r="H52" t="inlineStr">
        <is>
          <t>CAF-001</t>
        </is>
      </c>
      <c r="I52" t="inlineStr">
        <is>
          <t>Café molido 400g</t>
        </is>
      </c>
      <c r="J52" t="inlineStr">
        <is>
          <t>Abarrotes</t>
        </is>
      </c>
      <c r="K52" t="n">
        <v>4.5</v>
      </c>
      <c r="L52" t="n">
        <v>2</v>
      </c>
      <c r="M52" t="n">
        <v>10.17</v>
      </c>
    </row>
    <row r="53">
      <c r="A53" t="inlineStr">
        <is>
          <t>F-11565</t>
        </is>
      </c>
      <c r="B53" t="inlineStr">
        <is>
          <t>08/10/2026</t>
        </is>
      </c>
      <c r="C53" t="inlineStr">
        <is>
          <t>CCF</t>
        </is>
      </c>
      <c r="D53" t="inlineStr">
        <is>
          <t>Santa Ana</t>
        </is>
      </c>
      <c r="E53" t="inlineStr">
        <is>
          <t>Verónica Sandoval</t>
        </is>
      </c>
      <c r="F53" t="inlineStr">
        <is>
          <t>Sofía Cáceres</t>
        </is>
      </c>
      <c r="G53" t="inlineStr">
        <is>
          <t>Comedor Doña Tere</t>
        </is>
      </c>
      <c r="H53" t="inlineStr">
        <is>
          <t>BEB-003</t>
        </is>
      </c>
      <c r="I53" t="inlineStr">
        <is>
          <t>Horchata en polvo 400g</t>
        </is>
      </c>
      <c r="J53" t="inlineStr">
        <is>
          <t>Bebidas</t>
        </is>
      </c>
      <c r="K53" t="n">
        <v>2.6</v>
      </c>
      <c r="L53" t="n">
        <v>1</v>
      </c>
      <c r="M53" t="n">
        <v>2.94</v>
      </c>
    </row>
    <row r="54">
      <c r="A54" t="inlineStr">
        <is>
          <t>F-11566</t>
        </is>
      </c>
      <c r="B54" t="inlineStr">
        <is>
          <t>01/10/2026</t>
        </is>
      </c>
      <c r="C54" t="inlineStr">
        <is>
          <t>CCF</t>
        </is>
      </c>
      <c r="D54" t="inlineStr">
        <is>
          <t>S. Miguel</t>
        </is>
      </c>
      <c r="E54" t="inlineStr">
        <is>
          <t>Iris Portillo</t>
        </is>
      </c>
      <c r="F54" t="inlineStr">
        <is>
          <t>Jorge Villalta</t>
        </is>
      </c>
      <c r="G54" t="inlineStr">
        <is>
          <t>Mario Lemus Flores</t>
        </is>
      </c>
      <c r="H54" t="inlineStr">
        <is>
          <t>HIG-002</t>
        </is>
      </c>
      <c r="I54" t="inlineStr">
        <is>
          <t>Papel higiénico 4 rollos</t>
        </is>
      </c>
      <c r="J54" t="inlineStr">
        <is>
          <t>Higiene</t>
        </is>
      </c>
      <c r="K54" t="n">
        <v>2.15</v>
      </c>
      <c r="L54" t="n">
        <v>3</v>
      </c>
      <c r="M54" t="n">
        <v>7.29</v>
      </c>
    </row>
    <row r="55">
      <c r="A55" t="inlineStr">
        <is>
          <t>F-11567</t>
        </is>
      </c>
      <c r="B55" t="inlineStr">
        <is>
          <t>01/10/2026</t>
        </is>
      </c>
      <c r="C55" t="inlineStr">
        <is>
          <t>Factura</t>
        </is>
      </c>
      <c r="D55" t="inlineStr">
        <is>
          <t>Sonsonate</t>
        </is>
      </c>
      <c r="E55" t="inlineStr">
        <is>
          <t>Ernesto Chávez</t>
        </is>
      </c>
      <c r="F55" t="inlineStr">
        <is>
          <t>Ricardo Funes</t>
        </is>
      </c>
      <c r="G55" t="inlineStr">
        <is>
          <t>Rosa Argueta Ramírez</t>
        </is>
      </c>
      <c r="H55" t="inlineStr">
        <is>
          <t>CAF-001</t>
        </is>
      </c>
      <c r="I55" t="inlineStr">
        <is>
          <t>Café molido 400g</t>
        </is>
      </c>
      <c r="J55" t="inlineStr">
        <is>
          <t>Abarrotes</t>
        </is>
      </c>
      <c r="K55" t="n">
        <v>4.5</v>
      </c>
      <c r="L55" t="n">
        <v>1</v>
      </c>
      <c r="M55" t="n">
        <v>5.08</v>
      </c>
    </row>
    <row r="56">
      <c r="A56" t="inlineStr">
        <is>
          <t>F-11568</t>
        </is>
      </c>
      <c r="B56" t="inlineStr">
        <is>
          <t>09/10/2026</t>
        </is>
      </c>
      <c r="C56" t="inlineStr">
        <is>
          <t>CCF</t>
        </is>
      </c>
      <c r="D56" t="inlineStr">
        <is>
          <t>SONSONATE</t>
        </is>
      </c>
      <c r="E56" t="inlineStr">
        <is>
          <t>Ernesto Chávez</t>
        </is>
      </c>
      <c r="F56" t="inlineStr">
        <is>
          <t>Ricardo Funes</t>
        </is>
      </c>
      <c r="G56" t="inlineStr">
        <is>
          <t>Jorge García Hernández</t>
        </is>
      </c>
      <c r="H56" t="inlineStr">
        <is>
          <t>HIG-002</t>
        </is>
      </c>
      <c r="I56" t="inlineStr">
        <is>
          <t>Papel higiénico 4 rollos</t>
        </is>
      </c>
      <c r="J56" t="inlineStr">
        <is>
          <t>Higiene</t>
        </is>
      </c>
      <c r="K56" t="n">
        <v>2.15</v>
      </c>
      <c r="L56" t="n">
        <v>1</v>
      </c>
      <c r="M56" t="n">
        <v>2.43</v>
      </c>
    </row>
    <row r="57">
      <c r="A57" t="inlineStr">
        <is>
          <t>F-11569</t>
        </is>
      </c>
      <c r="B57" t="inlineStr">
        <is>
          <t>05/10/2026</t>
        </is>
      </c>
      <c r="C57" t="inlineStr">
        <is>
          <t>CCF</t>
        </is>
      </c>
      <c r="D57" t="inlineStr">
        <is>
          <t>Usulután</t>
        </is>
      </c>
      <c r="E57" t="inlineStr">
        <is>
          <t>Nelson Fuentes</t>
        </is>
      </c>
      <c r="F57" t="inlineStr">
        <is>
          <t>Miguel Bonilla</t>
        </is>
      </c>
      <c r="G57" t="inlineStr">
        <is>
          <t>Carmen Quintanilla Mejía</t>
        </is>
      </c>
      <c r="H57" t="inlineStr">
        <is>
          <t>PAN-001</t>
        </is>
      </c>
      <c r="I57" t="inlineStr">
        <is>
          <t>Pan francés bolsa 10u</t>
        </is>
      </c>
      <c r="J57" t="inlineStr">
        <is>
          <t>Panadería</t>
        </is>
      </c>
      <c r="K57" t="n">
        <v>1</v>
      </c>
      <c r="L57" t="n">
        <v>2</v>
      </c>
      <c r="M57" t="n">
        <v>2.26</v>
      </c>
    </row>
    <row r="58">
      <c r="A58" t="inlineStr">
        <is>
          <t>F-11570</t>
        </is>
      </c>
      <c r="B58" t="inlineStr">
        <is>
          <t>05/10/2026</t>
        </is>
      </c>
      <c r="C58" t="inlineStr">
        <is>
          <t>Factura</t>
        </is>
      </c>
      <c r="D58" t="inlineStr">
        <is>
          <t>SONSONATE</t>
        </is>
      </c>
      <c r="E58" t="inlineStr">
        <is>
          <t>Ernesto Chávez</t>
        </is>
      </c>
      <c r="F58" t="inlineStr">
        <is>
          <t>Ricardo Funes</t>
        </is>
      </c>
      <c r="G58" t="inlineStr">
        <is>
          <t>María López Lemus</t>
        </is>
      </c>
      <c r="H58" t="inlineStr">
        <is>
          <t>HAR-001</t>
        </is>
      </c>
      <c r="I58" t="inlineStr">
        <is>
          <t>Harina de maíz 2lb</t>
        </is>
      </c>
      <c r="J58" t="inlineStr">
        <is>
          <t>Abarrotes</t>
        </is>
      </c>
      <c r="K58" t="n">
        <v>1.35</v>
      </c>
      <c r="L58" t="n">
        <v>6</v>
      </c>
      <c r="M58" t="n">
        <v>9.15</v>
      </c>
    </row>
    <row r="59">
      <c r="A59" t="inlineStr">
        <is>
          <t>F-11571</t>
        </is>
      </c>
      <c r="B59" t="inlineStr">
        <is>
          <t>01/10/2026</t>
        </is>
      </c>
      <c r="C59" t="inlineStr">
        <is>
          <t>CCF</t>
        </is>
      </c>
      <c r="D59" t="inlineStr">
        <is>
          <t>Sonsonate</t>
        </is>
      </c>
      <c r="E59" t="inlineStr">
        <is>
          <t>Ernesto Chávez</t>
        </is>
      </c>
      <c r="F59" t="inlineStr">
        <is>
          <t>Ricardo Funes</t>
        </is>
      </c>
      <c r="G59" t="inlineStr">
        <is>
          <t>Rosa Romero López</t>
        </is>
      </c>
      <c r="H59" t="inlineStr">
        <is>
          <t>FRI-001</t>
        </is>
      </c>
      <c r="I59" t="inlineStr">
        <is>
          <t>Frijol rojo de seda 2lb</t>
        </is>
      </c>
      <c r="J59" t="inlineStr">
        <is>
          <t>Abarrotes</t>
        </is>
      </c>
      <c r="K59" t="n">
        <v>2.4</v>
      </c>
      <c r="L59" t="n">
        <v>3</v>
      </c>
      <c r="M59" t="n">
        <v>8.140000000000001</v>
      </c>
    </row>
    <row r="60">
      <c r="A60" t="inlineStr">
        <is>
          <t>F-11572</t>
        </is>
      </c>
      <c r="B60" t="inlineStr">
        <is>
          <t>04/10/2026</t>
        </is>
      </c>
      <c r="C60" t="inlineStr">
        <is>
          <t>Factura</t>
        </is>
      </c>
      <c r="D60" t="inlineStr">
        <is>
          <t>Pto. La Libertad</t>
        </is>
      </c>
      <c r="E60" t="inlineStr">
        <is>
          <t>Wendy Aguilar</t>
        </is>
      </c>
      <c r="F60" t="inlineStr">
        <is>
          <t>Gabriela Saravia</t>
        </is>
      </c>
      <c r="G60" t="inlineStr">
        <is>
          <t>Rosa Flores Cornejo</t>
        </is>
      </c>
      <c r="H60" t="inlineStr">
        <is>
          <t>CAF-001</t>
        </is>
      </c>
      <c r="I60" t="inlineStr">
        <is>
          <t>Café molido 400g</t>
        </is>
      </c>
      <c r="J60" t="inlineStr">
        <is>
          <t>Abarrotes</t>
        </is>
      </c>
      <c r="K60" t="n">
        <v>4.5</v>
      </c>
      <c r="L60" t="n">
        <v>6</v>
      </c>
      <c r="M60" t="n">
        <v>30.51</v>
      </c>
    </row>
    <row r="61">
      <c r="A61" t="inlineStr">
        <is>
          <t>F-11573</t>
        </is>
      </c>
      <c r="B61" t="inlineStr">
        <is>
          <t>08/10/2026</t>
        </is>
      </c>
      <c r="C61" t="inlineStr">
        <is>
          <t>Factura</t>
        </is>
      </c>
      <c r="D61" t="inlineStr">
        <is>
          <t>San Miguel</t>
        </is>
      </c>
      <c r="E61" t="inlineStr">
        <is>
          <t>Iris Portillo</t>
        </is>
      </c>
      <c r="F61" t="inlineStr">
        <is>
          <t>Paola Cruz</t>
        </is>
      </c>
      <c r="G61" t="inlineStr">
        <is>
          <t>José López Pérez</t>
        </is>
      </c>
      <c r="H61" t="inlineStr">
        <is>
          <t>PAN-003</t>
        </is>
      </c>
      <c r="I61" t="inlineStr">
        <is>
          <t>Quesadilla salvadoreña</t>
        </is>
      </c>
      <c r="J61" t="inlineStr">
        <is>
          <t>Panadería</t>
        </is>
      </c>
      <c r="K61" t="n">
        <v>2.5</v>
      </c>
      <c r="L61" t="n">
        <v>1</v>
      </c>
      <c r="M61" t="n">
        <v>2.82</v>
      </c>
    </row>
    <row r="62">
      <c r="A62" t="inlineStr">
        <is>
          <t>F-11574</t>
        </is>
      </c>
      <c r="B62" t="inlineStr">
        <is>
          <t>03/10/2026</t>
        </is>
      </c>
      <c r="C62" t="inlineStr">
        <is>
          <t>Factura</t>
        </is>
      </c>
      <c r="D62" t="inlineStr">
        <is>
          <t xml:space="preserve">san salvador centro </t>
        </is>
      </c>
      <c r="E62" t="inlineStr">
        <is>
          <t>Roberto Alfaro</t>
        </is>
      </c>
      <c r="F62" t="inlineStr">
        <is>
          <t>José Martínez</t>
        </is>
      </c>
      <c r="G62" t="inlineStr">
        <is>
          <t>Rosa Quintanilla Alvarado</t>
        </is>
      </c>
      <c r="H62" t="inlineStr">
        <is>
          <t>FRI-001</t>
        </is>
      </c>
      <c r="I62" t="inlineStr">
        <is>
          <t>Frijol rojo de seda 2lb</t>
        </is>
      </c>
      <c r="J62" t="inlineStr">
        <is>
          <t>Abarrotes</t>
        </is>
      </c>
      <c r="K62" t="n">
        <v>2.4</v>
      </c>
      <c r="L62" t="n">
        <v>3</v>
      </c>
      <c r="M62" t="n">
        <v>8.140000000000001</v>
      </c>
    </row>
    <row r="63">
      <c r="A63" t="inlineStr">
        <is>
          <t>F-11575</t>
        </is>
      </c>
      <c r="B63" t="inlineStr">
        <is>
          <t>04/10/2026</t>
        </is>
      </c>
      <c r="C63" t="inlineStr">
        <is>
          <t>CCF</t>
        </is>
      </c>
      <c r="D63" t="inlineStr">
        <is>
          <t>La Libertad Puerto</t>
        </is>
      </c>
      <c r="E63" t="inlineStr">
        <is>
          <t>Wendy Aguilar</t>
        </is>
      </c>
      <c r="F63" t="inlineStr">
        <is>
          <t>Gabriela Saravia</t>
        </is>
      </c>
      <c r="G63" t="inlineStr">
        <is>
          <t>Patricia Guevara Quintanilla</t>
        </is>
      </c>
      <c r="H63" t="inlineStr">
        <is>
          <t>LAC-002</t>
        </is>
      </c>
      <c r="I63" t="inlineStr">
        <is>
          <t>Crema 500ml</t>
        </is>
      </c>
      <c r="J63" t="inlineStr">
        <is>
          <t>Lácteos</t>
        </is>
      </c>
      <c r="K63" t="n">
        <v>2.25</v>
      </c>
      <c r="L63" t="n">
        <v>1</v>
      </c>
      <c r="M63" t="n">
        <v>2.54</v>
      </c>
    </row>
    <row r="64">
      <c r="A64" t="inlineStr">
        <is>
          <t>F-11576</t>
        </is>
      </c>
      <c r="B64" t="inlineStr">
        <is>
          <t>05/10/2026</t>
        </is>
      </c>
      <c r="C64" t="inlineStr">
        <is>
          <t>CCF</t>
        </is>
      </c>
      <c r="D64" t="inlineStr">
        <is>
          <t>SAN MIGUEL</t>
        </is>
      </c>
      <c r="E64" t="inlineStr">
        <is>
          <t>Iris Portillo</t>
        </is>
      </c>
      <c r="F64" t="inlineStr">
        <is>
          <t>Paola Cruz</t>
        </is>
      </c>
      <c r="G64" t="inlineStr">
        <is>
          <t>Carlos Romero García</t>
        </is>
      </c>
      <c r="H64" t="inlineStr">
        <is>
          <t>LAC-002</t>
        </is>
      </c>
      <c r="I64" t="inlineStr">
        <is>
          <t>Crema 500ml</t>
        </is>
      </c>
      <c r="J64" t="inlineStr">
        <is>
          <t>Lácteos</t>
        </is>
      </c>
      <c r="K64" t="n">
        <v>2.25</v>
      </c>
      <c r="L64" t="n">
        <v>6</v>
      </c>
      <c r="M64" t="n">
        <v>15.25</v>
      </c>
    </row>
    <row r="65">
      <c r="A65" t="inlineStr">
        <is>
          <t>F-11577</t>
        </is>
      </c>
      <c r="B65" t="inlineStr">
        <is>
          <t>06/10/2026</t>
        </is>
      </c>
      <c r="C65" t="inlineStr">
        <is>
          <t>Factura</t>
        </is>
      </c>
      <c r="D65" t="inlineStr">
        <is>
          <t>Sta. Tecla</t>
        </is>
      </c>
      <c r="E65" t="inlineStr">
        <is>
          <t>Óscar Rivas</t>
        </is>
      </c>
      <c r="F65" t="inlineStr">
        <is>
          <t>Andrea Pineda</t>
        </is>
      </c>
      <c r="G65" t="inlineStr">
        <is>
          <t>Xiomara Hernández Quintanilla</t>
        </is>
      </c>
      <c r="H65" t="inlineStr">
        <is>
          <t>PAN-003</t>
        </is>
      </c>
      <c r="I65" t="inlineStr">
        <is>
          <t>Quesadilla salvadoreña</t>
        </is>
      </c>
      <c r="J65" t="inlineStr">
        <is>
          <t>Panadería</t>
        </is>
      </c>
      <c r="K65" t="n">
        <v>2.5</v>
      </c>
      <c r="L65" t="n">
        <v>1</v>
      </c>
      <c r="M65" t="n">
        <v>2.82</v>
      </c>
    </row>
    <row r="66">
      <c r="A66" t="inlineStr">
        <is>
          <t>F-11578</t>
        </is>
      </c>
      <c r="B66" t="inlineStr">
        <is>
          <t>08/10/2026</t>
        </is>
      </c>
      <c r="C66" t="inlineStr">
        <is>
          <t>Factura</t>
        </is>
      </c>
      <c r="D66" t="inlineStr">
        <is>
          <t>S.S. Centro</t>
        </is>
      </c>
      <c r="E66" t="inlineStr">
        <is>
          <t>Roberto Alfaro</t>
        </is>
      </c>
      <c r="F66" t="inlineStr">
        <is>
          <t>José Martínez</t>
        </is>
      </c>
      <c r="G66" t="inlineStr">
        <is>
          <t>Xiomara Flores Rivera</t>
        </is>
      </c>
      <c r="H66" t="inlineStr">
        <is>
          <t>BEB-003</t>
        </is>
      </c>
      <c r="I66" t="inlineStr">
        <is>
          <t>Horchata en polvo 400g</t>
        </is>
      </c>
      <c r="J66" t="inlineStr">
        <is>
          <t>Bebidas</t>
        </is>
      </c>
      <c r="K66" t="n">
        <v>2.6</v>
      </c>
      <c r="L66" t="n">
        <v>3</v>
      </c>
      <c r="M66" t="n">
        <v>8.81</v>
      </c>
    </row>
    <row r="67">
      <c r="A67" t="inlineStr">
        <is>
          <t>F-11579</t>
        </is>
      </c>
      <c r="B67" t="inlineStr">
        <is>
          <t>04/10/2026</t>
        </is>
      </c>
      <c r="C67" t="inlineStr">
        <is>
          <t>Factura</t>
        </is>
      </c>
      <c r="D67" t="inlineStr">
        <is>
          <t>Sonsonate</t>
        </is>
      </c>
      <c r="E67" t="inlineStr">
        <is>
          <t>Ernesto Chávez</t>
        </is>
      </c>
      <c r="F67" t="inlineStr">
        <is>
          <t>Ricardo Funes</t>
        </is>
      </c>
      <c r="G67" t="inlineStr">
        <is>
          <t>Comedor Doña Tere</t>
        </is>
      </c>
      <c r="H67" t="inlineStr">
        <is>
          <t>PAN-001</t>
        </is>
      </c>
      <c r="I67" t="inlineStr">
        <is>
          <t>Pan francés bolsa 10u</t>
        </is>
      </c>
      <c r="J67" t="inlineStr">
        <is>
          <t>Panadería</t>
        </is>
      </c>
      <c r="K67" t="n">
        <v>1</v>
      </c>
      <c r="L67" t="n">
        <v>1</v>
      </c>
      <c r="M67" t="n">
        <v>1.13</v>
      </c>
    </row>
    <row r="68">
      <c r="A68" t="inlineStr">
        <is>
          <t>F-11580</t>
        </is>
      </c>
      <c r="B68" t="inlineStr">
        <is>
          <t>06/10/2026</t>
        </is>
      </c>
      <c r="C68" t="inlineStr">
        <is>
          <t>CCF</t>
        </is>
      </c>
      <c r="D68" t="inlineStr">
        <is>
          <t>ESCALON</t>
        </is>
      </c>
      <c r="E68" t="inlineStr">
        <is>
          <t>Claudia Menjívar</t>
        </is>
      </c>
      <c r="F68" t="inlineStr">
        <is>
          <t>Kevin Benítez</t>
        </is>
      </c>
      <c r="G68" t="inlineStr">
        <is>
          <t>Carlos Romero García</t>
        </is>
      </c>
      <c r="H68" t="inlineStr">
        <is>
          <t>LAC-002</t>
        </is>
      </c>
      <c r="I68" t="inlineStr">
        <is>
          <t>Crema 500ml</t>
        </is>
      </c>
      <c r="J68" t="inlineStr">
        <is>
          <t>Lácteos</t>
        </is>
      </c>
      <c r="K68" t="n">
        <v>2.25</v>
      </c>
      <c r="L68" t="n">
        <v>1</v>
      </c>
      <c r="M68" t="n">
        <v>2.54</v>
      </c>
    </row>
    <row r="69">
      <c r="A69" t="inlineStr">
        <is>
          <t>F-11581</t>
        </is>
      </c>
      <c r="B69" t="inlineStr">
        <is>
          <t>01/10/2026</t>
        </is>
      </c>
      <c r="C69" t="inlineStr">
        <is>
          <t>Factura</t>
        </is>
      </c>
      <c r="D69" t="inlineStr">
        <is>
          <t>soyapango</t>
        </is>
      </c>
      <c r="E69" t="inlineStr">
        <is>
          <t>Karla Henríquez</t>
        </is>
      </c>
      <c r="F69" t="inlineStr">
        <is>
          <t>Marta Gómez</t>
        </is>
      </c>
      <c r="G69" t="inlineStr">
        <is>
          <t>Silvia Martínez Hernández</t>
        </is>
      </c>
      <c r="H69" t="inlineStr">
        <is>
          <t>BEB-003</t>
        </is>
      </c>
      <c r="I69" t="inlineStr">
        <is>
          <t>Horchata en polvo 400g</t>
        </is>
      </c>
      <c r="J69" t="inlineStr">
        <is>
          <t>Bebidas</t>
        </is>
      </c>
      <c r="K69" t="n">
        <v>2.6</v>
      </c>
      <c r="L69" t="n">
        <v>1</v>
      </c>
      <c r="M69" t="n">
        <v>2.94</v>
      </c>
    </row>
    <row r="70">
      <c r="A70" t="inlineStr">
        <is>
          <t>F-11582</t>
        </is>
      </c>
      <c r="B70" t="inlineStr">
        <is>
          <t>01/10/2026</t>
        </is>
      </c>
      <c r="C70" t="inlineStr">
        <is>
          <t>Factura</t>
        </is>
      </c>
      <c r="D70" t="inlineStr">
        <is>
          <t>SAN SALVADOR CENTRO</t>
        </is>
      </c>
      <c r="E70" t="inlineStr">
        <is>
          <t>Roberto Alfaro</t>
        </is>
      </c>
      <c r="F70" t="inlineStr">
        <is>
          <t>José Martínez</t>
        </is>
      </c>
      <c r="G70" t="inlineStr">
        <is>
          <t>Sandra Rivera Pérez</t>
        </is>
      </c>
      <c r="H70" t="inlineStr">
        <is>
          <t>HIG-003</t>
        </is>
      </c>
      <c r="I70" t="inlineStr">
        <is>
          <t>Jabón de lavar barra</t>
        </is>
      </c>
      <c r="J70" t="inlineStr">
        <is>
          <t>Limpieza</t>
        </is>
      </c>
      <c r="K70" t="n">
        <v>0.75</v>
      </c>
      <c r="L70" t="n">
        <v>3</v>
      </c>
      <c r="M70" t="n">
        <v>2.54</v>
      </c>
    </row>
    <row r="71">
      <c r="A71" t="inlineStr">
        <is>
          <t>F-11583</t>
        </is>
      </c>
      <c r="B71" t="inlineStr">
        <is>
          <t>07/10/2026</t>
        </is>
      </c>
      <c r="C71" t="inlineStr">
        <is>
          <t>CCF</t>
        </is>
      </c>
      <c r="D71" t="inlineStr">
        <is>
          <t>soyapango</t>
        </is>
      </c>
      <c r="E71" t="inlineStr">
        <is>
          <t>Karla Henríquez</t>
        </is>
      </c>
      <c r="F71" t="inlineStr">
        <is>
          <t>Marta Gómez</t>
        </is>
      </c>
      <c r="G71" t="inlineStr">
        <is>
          <t>Walter Quintanilla Rivera</t>
        </is>
      </c>
      <c r="H71" t="inlineStr">
        <is>
          <t>BEB-001</t>
        </is>
      </c>
      <c r="I71" t="inlineStr">
        <is>
          <t>Gaseosa 2.5L</t>
        </is>
      </c>
      <c r="J71" t="inlineStr">
        <is>
          <t>Bebidas</t>
        </is>
      </c>
      <c r="K71" t="n">
        <v>1.95</v>
      </c>
      <c r="L71" t="n">
        <v>3</v>
      </c>
      <c r="M71" t="n">
        <v>6.61</v>
      </c>
    </row>
    <row r="72">
      <c r="A72" t="inlineStr">
        <is>
          <t>F-11584</t>
        </is>
      </c>
      <c r="B72" t="inlineStr">
        <is>
          <t>05/10/2026</t>
        </is>
      </c>
      <c r="C72" t="inlineStr">
        <is>
          <t>CCF</t>
        </is>
      </c>
      <c r="D72" t="inlineStr">
        <is>
          <t>Escalon</t>
        </is>
      </c>
      <c r="E72" t="inlineStr">
        <is>
          <t>Claudia Menjívar</t>
        </is>
      </c>
      <c r="F72" t="inlineStr">
        <is>
          <t>Fátima Rosales</t>
        </is>
      </c>
      <c r="G72" t="inlineStr">
        <is>
          <t>Edwin Castillo Romero</t>
        </is>
      </c>
      <c r="H72" t="inlineStr">
        <is>
          <t>BEB-002</t>
        </is>
      </c>
      <c r="I72" t="inlineStr">
        <is>
          <t>Agua purificada 1 galón</t>
        </is>
      </c>
      <c r="J72" t="inlineStr">
        <is>
          <t>Bebidas</t>
        </is>
      </c>
      <c r="K72" t="n">
        <v>1.1</v>
      </c>
      <c r="L72" t="n">
        <v>6</v>
      </c>
      <c r="M72" t="n">
        <v>7.46</v>
      </c>
    </row>
    <row r="73">
      <c r="A73" t="inlineStr">
        <is>
          <t>F-11585</t>
        </is>
      </c>
      <c r="B73" t="inlineStr">
        <is>
          <t>06/10/2026</t>
        </is>
      </c>
      <c r="C73" t="inlineStr">
        <is>
          <t>CCF</t>
        </is>
      </c>
      <c r="D73" t="inlineStr">
        <is>
          <t xml:space="preserve">san salvador centro </t>
        </is>
      </c>
      <c r="E73" t="inlineStr">
        <is>
          <t>Roberto Alfaro</t>
        </is>
      </c>
      <c r="F73" t="inlineStr">
        <is>
          <t>Daniela Orellana</t>
        </is>
      </c>
      <c r="G73" t="inlineStr">
        <is>
          <t>Luis Alvarado Flores</t>
        </is>
      </c>
      <c r="H73" t="inlineStr">
        <is>
          <t>HIG-001</t>
        </is>
      </c>
      <c r="I73" t="inlineStr">
        <is>
          <t>Detergente 1kg</t>
        </is>
      </c>
      <c r="J73" t="inlineStr">
        <is>
          <t>Limpieza</t>
        </is>
      </c>
      <c r="K73" t="n">
        <v>3.45</v>
      </c>
      <c r="L73" t="n">
        <v>6</v>
      </c>
      <c r="M73" t="n">
        <v>23.39</v>
      </c>
    </row>
    <row r="74">
      <c r="A74" t="inlineStr">
        <is>
          <t>F-11586</t>
        </is>
      </c>
      <c r="B74" t="inlineStr">
        <is>
          <t>08/10/2026</t>
        </is>
      </c>
      <c r="C74" t="inlineStr">
        <is>
          <t>CCF</t>
        </is>
      </c>
      <c r="D74" t="inlineStr">
        <is>
          <t>Usulutan</t>
        </is>
      </c>
      <c r="E74" t="inlineStr">
        <is>
          <t>Nelson Fuentes</t>
        </is>
      </c>
      <c r="F74" t="inlineStr">
        <is>
          <t>Miguel Bonilla</t>
        </is>
      </c>
      <c r="G74" t="inlineStr">
        <is>
          <t>Luis Alvarado Flores</t>
        </is>
      </c>
      <c r="H74" t="inlineStr">
        <is>
          <t>CAF-002</t>
        </is>
      </c>
      <c r="I74" t="inlineStr">
        <is>
          <t>Café en grano 1lb</t>
        </is>
      </c>
      <c r="J74" t="inlineStr">
        <is>
          <t>Abarrotes</t>
        </is>
      </c>
      <c r="K74" t="n">
        <v>6.75</v>
      </c>
      <c r="L74" t="n">
        <v>1</v>
      </c>
      <c r="M74" t="n">
        <v>7.63</v>
      </c>
    </row>
    <row r="75">
      <c r="A75" t="inlineStr">
        <is>
          <t>F-11587</t>
        </is>
      </c>
      <c r="B75" t="inlineStr">
        <is>
          <t>09/10/2026</t>
        </is>
      </c>
      <c r="C75" t="inlineStr">
        <is>
          <t>CCF</t>
        </is>
      </c>
      <c r="D75" t="inlineStr">
        <is>
          <t>Sonsonate</t>
        </is>
      </c>
      <c r="E75" t="inlineStr">
        <is>
          <t>Ernesto Chávez</t>
        </is>
      </c>
      <c r="F75" t="inlineStr">
        <is>
          <t>Ricardo Funes</t>
        </is>
      </c>
      <c r="G75" t="inlineStr">
        <is>
          <t>María Castillo Martínez</t>
        </is>
      </c>
      <c r="H75" t="inlineStr">
        <is>
          <t>PAN-003</t>
        </is>
      </c>
      <c r="I75" t="inlineStr">
        <is>
          <t>Quesadilla salvadoreña</t>
        </is>
      </c>
      <c r="J75" t="inlineStr">
        <is>
          <t>Panadería</t>
        </is>
      </c>
      <c r="K75" t="n">
        <v>2.5</v>
      </c>
      <c r="L75" t="n">
        <v>1</v>
      </c>
      <c r="M75" t="n">
        <v>2.82</v>
      </c>
    </row>
    <row r="76">
      <c r="A76" t="inlineStr">
        <is>
          <t>F-11588</t>
        </is>
      </c>
      <c r="B76" t="inlineStr">
        <is>
          <t>09/10/2026</t>
        </is>
      </c>
      <c r="C76" t="inlineStr">
        <is>
          <t>Factura</t>
        </is>
      </c>
      <c r="D76" t="inlineStr">
        <is>
          <t>Santa Tecla</t>
        </is>
      </c>
      <c r="E76" t="inlineStr">
        <is>
          <t>Óscar Rivas</t>
        </is>
      </c>
      <c r="F76" t="inlineStr">
        <is>
          <t>Luis Escobar</t>
        </is>
      </c>
      <c r="G76" t="inlineStr">
        <is>
          <t>Carlos Castillo Argueta</t>
        </is>
      </c>
      <c r="H76" t="inlineStr">
        <is>
          <t>LAC-003</t>
        </is>
      </c>
      <c r="I76" t="inlineStr">
        <is>
          <t>Leche entera 1L</t>
        </is>
      </c>
      <c r="J76" t="inlineStr">
        <is>
          <t>Lácteos</t>
        </is>
      </c>
      <c r="K76" t="n">
        <v>1.2</v>
      </c>
      <c r="L76" t="n">
        <v>2</v>
      </c>
      <c r="M76" t="n">
        <v>2.71</v>
      </c>
    </row>
    <row r="77">
      <c r="A77" t="inlineStr">
        <is>
          <t>F-11589</t>
        </is>
      </c>
      <c r="B77" t="inlineStr">
        <is>
          <t>05/10/2026</t>
        </is>
      </c>
      <c r="C77" t="inlineStr">
        <is>
          <t>Factura</t>
        </is>
      </c>
      <c r="D77" t="inlineStr">
        <is>
          <t>Santa Ana</t>
        </is>
      </c>
      <c r="E77" t="inlineStr">
        <is>
          <t>Verónica Sandoval</t>
        </is>
      </c>
      <c r="F77" t="inlineStr">
        <is>
          <t>Diego Zelaya</t>
        </is>
      </c>
      <c r="G77" t="inlineStr">
        <is>
          <t>María Castillo Martínez</t>
        </is>
      </c>
      <c r="H77" t="inlineStr">
        <is>
          <t>PAN-003</t>
        </is>
      </c>
      <c r="I77" t="inlineStr">
        <is>
          <t>Quesadilla salvadoreña</t>
        </is>
      </c>
      <c r="J77" t="inlineStr">
        <is>
          <t>Panadería</t>
        </is>
      </c>
      <c r="K77" t="n">
        <v>2.5</v>
      </c>
      <c r="L77" t="n">
        <v>1</v>
      </c>
      <c r="M77" t="n">
        <v>2.82</v>
      </c>
    </row>
    <row r="78">
      <c r="A78" t="inlineStr">
        <is>
          <t>F-11590</t>
        </is>
      </c>
      <c r="B78" t="inlineStr">
        <is>
          <t>07/10/2026</t>
        </is>
      </c>
      <c r="C78" t="inlineStr">
        <is>
          <t>CCF</t>
        </is>
      </c>
      <c r="D78" t="inlineStr">
        <is>
          <t>Pto. La Libertad</t>
        </is>
      </c>
      <c r="E78" t="inlineStr">
        <is>
          <t>Wendy Aguilar</t>
        </is>
      </c>
      <c r="F78" t="inlineStr">
        <is>
          <t>Gabriela Saravia</t>
        </is>
      </c>
      <c r="G78" t="inlineStr">
        <is>
          <t>Walter Quintanilla Rivera</t>
        </is>
      </c>
      <c r="H78" t="inlineStr">
        <is>
          <t>HIG-003</t>
        </is>
      </c>
      <c r="I78" t="inlineStr">
        <is>
          <t>Jabón de lavar barra</t>
        </is>
      </c>
      <c r="J78" t="inlineStr">
        <is>
          <t>Limpieza</t>
        </is>
      </c>
      <c r="K78" t="n">
        <v>0.75</v>
      </c>
      <c r="L78" t="n">
        <v>2</v>
      </c>
      <c r="M78" t="n">
        <v>1.69</v>
      </c>
    </row>
    <row r="79">
      <c r="A79" t="inlineStr">
        <is>
          <t>F-11591</t>
        </is>
      </c>
      <c r="B79" t="inlineStr">
        <is>
          <t>05/10/2026</t>
        </is>
      </c>
      <c r="C79" t="inlineStr">
        <is>
          <t>Factura</t>
        </is>
      </c>
      <c r="D79" t="inlineStr">
        <is>
          <t>La Libertad Puerto</t>
        </is>
      </c>
      <c r="E79" t="inlineStr">
        <is>
          <t>Wendy Aguilar</t>
        </is>
      </c>
      <c r="F79" t="inlineStr">
        <is>
          <t>Gabriela Saravia</t>
        </is>
      </c>
      <c r="G79" t="inlineStr">
        <is>
          <t>Patricia Guevara Quintanilla</t>
        </is>
      </c>
      <c r="H79" t="inlineStr">
        <is>
          <t>BEB-002</t>
        </is>
      </c>
      <c r="I79" t="inlineStr">
        <is>
          <t>Agua purificada 1 galón</t>
        </is>
      </c>
      <c r="J79" t="inlineStr">
        <is>
          <t>Bebidas</t>
        </is>
      </c>
      <c r="K79" t="n">
        <v>1.1</v>
      </c>
      <c r="L79" t="n">
        <v>3</v>
      </c>
      <c r="M79" t="n">
        <v>3.73</v>
      </c>
    </row>
    <row r="80">
      <c r="A80" t="inlineStr">
        <is>
          <t>F-11592</t>
        </is>
      </c>
      <c r="B80" t="inlineStr">
        <is>
          <t>09/10/2026</t>
        </is>
      </c>
      <c r="C80" t="inlineStr">
        <is>
          <t>Factura</t>
        </is>
      </c>
      <c r="D80" t="inlineStr">
        <is>
          <t>Santa  Ana</t>
        </is>
      </c>
      <c r="E80" t="inlineStr">
        <is>
          <t>Verónica Sandoval</t>
        </is>
      </c>
      <c r="F80" t="inlineStr">
        <is>
          <t>Diego Zelaya</t>
        </is>
      </c>
      <c r="G80" t="inlineStr">
        <is>
          <t>Xiomara Hernández Quintanilla</t>
        </is>
      </c>
      <c r="H80" t="inlineStr">
        <is>
          <t>HAR-001</t>
        </is>
      </c>
      <c r="I80" t="inlineStr">
        <is>
          <t>Harina de maíz 2lb</t>
        </is>
      </c>
      <c r="J80" t="inlineStr">
        <is>
          <t>Abarrotes</t>
        </is>
      </c>
      <c r="K80" t="n">
        <v>1.35</v>
      </c>
      <c r="L80" t="n">
        <v>2</v>
      </c>
      <c r="M80" t="n">
        <v>3.05</v>
      </c>
    </row>
    <row r="81">
      <c r="A81" t="inlineStr">
        <is>
          <t>F-11593</t>
        </is>
      </c>
      <c r="B81" t="inlineStr">
        <is>
          <t>07/10/2026</t>
        </is>
      </c>
      <c r="C81" t="inlineStr">
        <is>
          <t>Factura</t>
        </is>
      </c>
      <c r="D81" t="inlineStr">
        <is>
          <t>SONSONATE</t>
        </is>
      </c>
      <c r="E81" t="inlineStr">
        <is>
          <t>Ernesto Chávez</t>
        </is>
      </c>
      <c r="F81" t="inlineStr">
        <is>
          <t>Ricardo Funes</t>
        </is>
      </c>
      <c r="G81" t="inlineStr">
        <is>
          <t>Douglas Hernández García</t>
        </is>
      </c>
      <c r="H81" t="inlineStr">
        <is>
          <t>LAC-002</t>
        </is>
      </c>
      <c r="I81" t="inlineStr">
        <is>
          <t>Crema 500ml</t>
        </is>
      </c>
      <c r="J81" t="inlineStr">
        <is>
          <t>Lácteos</t>
        </is>
      </c>
      <c r="K81" t="n">
        <v>2.25</v>
      </c>
      <c r="L81" t="n">
        <v>3</v>
      </c>
      <c r="M81" t="n">
        <v>7.63</v>
      </c>
    </row>
    <row r="82">
      <c r="A82" t="inlineStr">
        <is>
          <t>F-11594</t>
        </is>
      </c>
      <c r="B82" t="inlineStr">
        <is>
          <t>02/10/2026</t>
        </is>
      </c>
      <c r="C82" t="inlineStr">
        <is>
          <t>Factura</t>
        </is>
      </c>
      <c r="D82" t="inlineStr">
        <is>
          <t>Escalón</t>
        </is>
      </c>
      <c r="E82" t="inlineStr">
        <is>
          <t>Claudia Menjívar</t>
        </is>
      </c>
      <c r="F82" t="inlineStr">
        <is>
          <t>Kevin Benítez</t>
        </is>
      </c>
      <c r="G82" t="inlineStr">
        <is>
          <t>Sandra Lemus Flores</t>
        </is>
      </c>
      <c r="H82" t="inlineStr">
        <is>
          <t>LAC-002</t>
        </is>
      </c>
      <c r="I82" t="inlineStr">
        <is>
          <t>Crema 500ml</t>
        </is>
      </c>
      <c r="J82" t="inlineStr">
        <is>
          <t>Lácteos</t>
        </is>
      </c>
      <c r="K82" t="n">
        <v>2.25</v>
      </c>
      <c r="L82" t="n">
        <v>6</v>
      </c>
      <c r="M82" t="n">
        <v>15.25</v>
      </c>
    </row>
    <row r="83">
      <c r="A83" t="inlineStr">
        <is>
          <t>F-11595</t>
        </is>
      </c>
      <c r="B83" t="inlineStr">
        <is>
          <t>08/10/2026</t>
        </is>
      </c>
      <c r="C83" t="inlineStr">
        <is>
          <t>Factura</t>
        </is>
      </c>
      <c r="D83" t="inlineStr">
        <is>
          <t>Soyapango</t>
        </is>
      </c>
      <c r="E83" t="inlineStr">
        <is>
          <t>Karla Henríquez</t>
        </is>
      </c>
      <c r="F83" t="inlineStr">
        <is>
          <t>Marta Gómez</t>
        </is>
      </c>
      <c r="G83" t="inlineStr">
        <is>
          <t>Carlos Romero García</t>
        </is>
      </c>
      <c r="H83" t="inlineStr">
        <is>
          <t>LAC-001</t>
        </is>
      </c>
      <c r="I83" t="inlineStr">
        <is>
          <t>Quesillo 1lb</t>
        </is>
      </c>
      <c r="J83" t="inlineStr">
        <is>
          <t>Lácteos</t>
        </is>
      </c>
      <c r="K83" t="n">
        <v>3.8</v>
      </c>
      <c r="L83" t="n">
        <v>3</v>
      </c>
      <c r="M83" t="n">
        <v>12.88</v>
      </c>
    </row>
    <row r="84">
      <c r="A84" t="inlineStr">
        <is>
          <t>F-11596</t>
        </is>
      </c>
      <c r="B84" t="inlineStr">
        <is>
          <t>01/10/2026</t>
        </is>
      </c>
      <c r="C84" t="inlineStr">
        <is>
          <t>Factura</t>
        </is>
      </c>
      <c r="D84" t="inlineStr">
        <is>
          <t>San Miguel</t>
        </is>
      </c>
      <c r="E84" t="inlineStr">
        <is>
          <t>Iris Portillo</t>
        </is>
      </c>
      <c r="F84" t="inlineStr">
        <is>
          <t>Paola Cruz</t>
        </is>
      </c>
      <c r="G84" t="inlineStr">
        <is>
          <t>Douglas Hernández Argueta</t>
        </is>
      </c>
      <c r="H84" t="inlineStr">
        <is>
          <t>PAN-001</t>
        </is>
      </c>
      <c r="I84" t="inlineStr">
        <is>
          <t>Pan francés bolsa 10u</t>
        </is>
      </c>
      <c r="J84" t="inlineStr">
        <is>
          <t>Panadería</t>
        </is>
      </c>
      <c r="K84" t="n">
        <v>1</v>
      </c>
      <c r="L84" t="n">
        <v>1</v>
      </c>
      <c r="M84" t="n">
        <v>1.13</v>
      </c>
    </row>
    <row r="85">
      <c r="A85" t="inlineStr">
        <is>
          <t>F-11597</t>
        </is>
      </c>
      <c r="B85" t="inlineStr">
        <is>
          <t>06/10/2026</t>
        </is>
      </c>
      <c r="C85" t="inlineStr">
        <is>
          <t>Factura</t>
        </is>
      </c>
      <c r="D85" t="inlineStr">
        <is>
          <t>STA ANA</t>
        </is>
      </c>
      <c r="E85" t="inlineStr">
        <is>
          <t>Verónica Sandoval</t>
        </is>
      </c>
      <c r="F85" t="inlineStr">
        <is>
          <t>Sofía Cáceres</t>
        </is>
      </c>
      <c r="G85" t="inlineStr">
        <is>
          <t>Carmen Flores Sorto</t>
        </is>
      </c>
      <c r="H85" t="inlineStr">
        <is>
          <t>PAN-003</t>
        </is>
      </c>
      <c r="I85" t="inlineStr">
        <is>
          <t>Quesadilla salvadoreña</t>
        </is>
      </c>
      <c r="J85" t="inlineStr">
        <is>
          <t>Panadería</t>
        </is>
      </c>
      <c r="K85" t="n">
        <v>2.5</v>
      </c>
      <c r="L85" t="n">
        <v>6</v>
      </c>
      <c r="M85" t="n">
        <v>16.95</v>
      </c>
    </row>
    <row r="86">
      <c r="A86" t="inlineStr">
        <is>
          <t>F-11598</t>
        </is>
      </c>
      <c r="B86" t="inlineStr">
        <is>
          <t>09/10/2026</t>
        </is>
      </c>
      <c r="C86" t="inlineStr">
        <is>
          <t>CCF</t>
        </is>
      </c>
      <c r="D86" t="inlineStr">
        <is>
          <t>Sta. Tecla</t>
        </is>
      </c>
      <c r="E86" t="inlineStr">
        <is>
          <t>Óscar Rivas</t>
        </is>
      </c>
      <c r="F86" t="inlineStr">
        <is>
          <t>Luis Escobar</t>
        </is>
      </c>
      <c r="G86" t="inlineStr">
        <is>
          <t>Mario Castillo Flores</t>
        </is>
      </c>
      <c r="H86" t="inlineStr">
        <is>
          <t>CAF-002</t>
        </is>
      </c>
      <c r="I86" t="inlineStr">
        <is>
          <t>Café en grano 1lb</t>
        </is>
      </c>
      <c r="J86" t="inlineStr">
        <is>
          <t>Abarrotes</t>
        </is>
      </c>
      <c r="K86" t="n">
        <v>6.75</v>
      </c>
      <c r="L86" t="n">
        <v>3</v>
      </c>
      <c r="M86" t="n">
        <v>22.88</v>
      </c>
    </row>
    <row r="87">
      <c r="A87" t="inlineStr">
        <is>
          <t>F-11599</t>
        </is>
      </c>
      <c r="B87" t="inlineStr">
        <is>
          <t>07/10/2026</t>
        </is>
      </c>
      <c r="C87" t="inlineStr">
        <is>
          <t>CCF</t>
        </is>
      </c>
      <c r="D87" t="inlineStr">
        <is>
          <t xml:space="preserve">SOYAPANGO </t>
        </is>
      </c>
      <c r="E87" t="inlineStr">
        <is>
          <t>Karla Henríquez</t>
        </is>
      </c>
      <c r="F87" t="inlineStr">
        <is>
          <t>Marta Gómez</t>
        </is>
      </c>
      <c r="G87" t="inlineStr">
        <is>
          <t>Sandra Lemus Flores</t>
        </is>
      </c>
      <c r="H87" t="inlineStr">
        <is>
          <t>BEB-003</t>
        </is>
      </c>
      <c r="I87" t="inlineStr">
        <is>
          <t>Horchata en polvo 400g</t>
        </is>
      </c>
      <c r="J87" t="inlineStr">
        <is>
          <t>Bebidas</t>
        </is>
      </c>
      <c r="K87" t="n">
        <v>2.6</v>
      </c>
      <c r="L87" t="n">
        <v>3</v>
      </c>
      <c r="M87" t="n">
        <v>8.81</v>
      </c>
    </row>
    <row r="88">
      <c r="A88" t="inlineStr">
        <is>
          <t>F-11600</t>
        </is>
      </c>
      <c r="B88" t="inlineStr">
        <is>
          <t>04/10/2026</t>
        </is>
      </c>
      <c r="C88" t="inlineStr">
        <is>
          <t>CCF</t>
        </is>
      </c>
      <c r="D88" t="inlineStr">
        <is>
          <t>SAN MIGUEL</t>
        </is>
      </c>
      <c r="E88" t="inlineStr">
        <is>
          <t>Iris Portillo</t>
        </is>
      </c>
      <c r="F88" t="inlineStr">
        <is>
          <t>Jorge Villalta</t>
        </is>
      </c>
      <c r="G88" t="inlineStr">
        <is>
          <t>Minisúper San José</t>
        </is>
      </c>
      <c r="H88" t="inlineStr">
        <is>
          <t>PAN-001</t>
        </is>
      </c>
      <c r="I88" t="inlineStr">
        <is>
          <t>Pan francés bolsa 10u</t>
        </is>
      </c>
      <c r="J88" t="inlineStr">
        <is>
          <t>Panadería</t>
        </is>
      </c>
      <c r="K88" t="n">
        <v>1</v>
      </c>
      <c r="L88" t="n">
        <v>6</v>
      </c>
      <c r="M88" t="n">
        <v>6.78</v>
      </c>
    </row>
    <row r="89">
      <c r="A89" t="inlineStr">
        <is>
          <t>F-11601</t>
        </is>
      </c>
      <c r="B89" t="inlineStr">
        <is>
          <t>02/10/2026</t>
        </is>
      </c>
      <c r="C89" t="inlineStr">
        <is>
          <t>Factura</t>
        </is>
      </c>
      <c r="D89" t="inlineStr">
        <is>
          <t>Sta. Tecla</t>
        </is>
      </c>
      <c r="E89" t="inlineStr">
        <is>
          <t>Óscar Rivas</t>
        </is>
      </c>
      <c r="F89" t="inlineStr">
        <is>
          <t>Luis Escobar</t>
        </is>
      </c>
      <c r="G89" t="inlineStr">
        <is>
          <t>Walter Mejía Castillo</t>
        </is>
      </c>
      <c r="H89" t="inlineStr">
        <is>
          <t>ARR-001</t>
        </is>
      </c>
      <c r="I89" t="inlineStr">
        <is>
          <t>Arroz blanco 5lb</t>
        </is>
      </c>
      <c r="J89" t="inlineStr">
        <is>
          <t>Abarrotes</t>
        </is>
      </c>
      <c r="K89" t="n">
        <v>3.95</v>
      </c>
      <c r="L89" t="n">
        <v>3</v>
      </c>
      <c r="M89" t="n">
        <v>13.39</v>
      </c>
    </row>
    <row r="90">
      <c r="A90" t="inlineStr">
        <is>
          <t>F-11602</t>
        </is>
      </c>
      <c r="B90" t="inlineStr">
        <is>
          <t>02/10/2026</t>
        </is>
      </c>
      <c r="C90" t="inlineStr">
        <is>
          <t>Factura</t>
        </is>
      </c>
      <c r="D90" t="inlineStr">
        <is>
          <t>Col. Escalón</t>
        </is>
      </c>
      <c r="E90" t="inlineStr">
        <is>
          <t>Claudia Menjívar</t>
        </is>
      </c>
      <c r="F90" t="inlineStr">
        <is>
          <t>Fátima Rosales</t>
        </is>
      </c>
      <c r="G90" t="inlineStr">
        <is>
          <t>Xiomara Cornejo Guevara</t>
        </is>
      </c>
      <c r="H90" t="inlineStr">
        <is>
          <t>HIG-002</t>
        </is>
      </c>
      <c r="I90" t="inlineStr">
        <is>
          <t>Papel higiénico 4 rollos</t>
        </is>
      </c>
      <c r="J90" t="inlineStr">
        <is>
          <t>Higiene</t>
        </is>
      </c>
      <c r="K90" t="n">
        <v>2.15</v>
      </c>
      <c r="L90" t="n">
        <v>6</v>
      </c>
      <c r="M90" t="n">
        <v>14.58</v>
      </c>
    </row>
    <row r="91">
      <c r="A91" t="inlineStr">
        <is>
          <t>F-11603</t>
        </is>
      </c>
      <c r="B91" t="inlineStr">
        <is>
          <t>04/10/2026</t>
        </is>
      </c>
      <c r="C91" t="inlineStr">
        <is>
          <t>CCF</t>
        </is>
      </c>
      <c r="D91" t="inlineStr">
        <is>
          <t>Puerto de La Libertad</t>
        </is>
      </c>
      <c r="E91" t="inlineStr">
        <is>
          <t>Wendy Aguilar</t>
        </is>
      </c>
      <c r="F91" t="inlineStr">
        <is>
          <t>Gabriela Saravia</t>
        </is>
      </c>
      <c r="G91" t="inlineStr">
        <is>
          <t>Douglas Ramírez Romero</t>
        </is>
      </c>
      <c r="H91" t="inlineStr">
        <is>
          <t>LAC-001</t>
        </is>
      </c>
      <c r="I91" t="inlineStr">
        <is>
          <t>Quesillo 1lb</t>
        </is>
      </c>
      <c r="J91" t="inlineStr">
        <is>
          <t>Lácteos</t>
        </is>
      </c>
      <c r="K91" t="n">
        <v>3.8</v>
      </c>
      <c r="L91" t="n">
        <v>3</v>
      </c>
      <c r="M91" t="n">
        <v>12.88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Ventas con IVA por sucursal y mes (US$)</t>
        </is>
      </c>
    </row>
    <row r="3">
      <c r="A3" s="2" t="inlineStr">
        <is>
          <t>Sucursal</t>
        </is>
      </c>
      <c r="B3" s="2" t="inlineStr">
        <is>
          <t>Julio</t>
        </is>
      </c>
      <c r="C3" s="2" t="inlineStr">
        <is>
          <t>Agosto</t>
        </is>
      </c>
      <c r="D3" s="2" t="inlineStr">
        <is>
          <t>Septiembre</t>
        </is>
      </c>
      <c r="E3" s="2" t="inlineStr">
        <is>
          <t>Meta Jul</t>
        </is>
      </c>
      <c r="F3" s="2" t="inlineStr">
        <is>
          <t>Meta Ago</t>
        </is>
      </c>
      <c r="G3" s="2" t="inlineStr">
        <is>
          <t>Meta Sep</t>
        </is>
      </c>
      <c r="H3" s="2" t="inlineStr">
        <is>
          <t>Cumplimiento Q3</t>
        </is>
      </c>
    </row>
    <row r="4">
      <c r="A4" t="inlineStr">
        <is>
          <t>San Salvador Centro</t>
        </is>
      </c>
      <c r="B4" t="n">
        <v>4368.02</v>
      </c>
      <c r="C4" t="n">
        <v>2600.16</v>
      </c>
      <c r="D4" t="n">
        <v>3134.19</v>
      </c>
      <c r="E4" t="n">
        <v>7500</v>
      </c>
      <c r="F4" t="n">
        <v>3000</v>
      </c>
      <c r="G4" t="n">
        <v>3000</v>
      </c>
      <c r="H4" s="6">
        <f>SUM(B4:D4)/SUM(E4:G4)</f>
        <v/>
      </c>
    </row>
    <row r="5">
      <c r="A5" t="inlineStr">
        <is>
          <t>Escalón</t>
        </is>
      </c>
      <c r="B5" t="n">
        <v>1853.7</v>
      </c>
      <c r="C5" t="n">
        <v>8339.65</v>
      </c>
      <c r="D5" t="n">
        <v>2412.23</v>
      </c>
      <c r="E5" t="n">
        <v>6000</v>
      </c>
      <c r="F5" t="n">
        <v>4000</v>
      </c>
      <c r="G5" t="n">
        <v>7500</v>
      </c>
      <c r="H5" s="6">
        <f>SUM(B5:D5)/SUM(E5:G5)</f>
        <v/>
      </c>
    </row>
    <row r="6">
      <c r="A6" t="inlineStr">
        <is>
          <t>Santa Tecla</t>
        </is>
      </c>
      <c r="B6" t="n">
        <v>8187.92</v>
      </c>
      <c r="C6" t="n">
        <v>2243.1</v>
      </c>
      <c r="D6" t="n">
        <v>6536.47</v>
      </c>
      <c r="E6" t="n">
        <v>3000</v>
      </c>
      <c r="F6" t="n">
        <v>3000</v>
      </c>
      <c r="G6" t="n">
        <v>5000</v>
      </c>
      <c r="H6" s="6">
        <f>SUM(B6:D6)/SUM(E6:G6)</f>
        <v/>
      </c>
    </row>
    <row r="7">
      <c r="A7" t="inlineStr">
        <is>
          <t>Soyapango</t>
        </is>
      </c>
      <c r="B7" t="n">
        <v>8593.530000000001</v>
      </c>
      <c r="C7" t="n">
        <v>1820.32</v>
      </c>
      <c r="D7" t="n">
        <v>8530.219999999999</v>
      </c>
      <c r="E7" t="n">
        <v>6000</v>
      </c>
      <c r="F7" t="n">
        <v>6000</v>
      </c>
      <c r="G7" t="n">
        <v>6000</v>
      </c>
      <c r="H7" s="6">
        <f>SUM(B7:D7)/SUM(E7:G7)</f>
        <v/>
      </c>
    </row>
    <row r="8">
      <c r="A8" t="inlineStr">
        <is>
          <t>Santa Ana</t>
        </is>
      </c>
      <c r="B8" t="n">
        <v>6397.56</v>
      </c>
      <c r="C8" t="n">
        <v>2144.49</v>
      </c>
      <c r="D8" t="n">
        <v>2390.82</v>
      </c>
      <c r="E8" t="n">
        <v>4000</v>
      </c>
      <c r="F8" t="n">
        <v>3000</v>
      </c>
      <c r="G8" t="n">
        <v>5000</v>
      </c>
      <c r="H8" s="6">
        <f>SUM(B8:D8)/SUM(E8:G8)</f>
        <v/>
      </c>
    </row>
    <row r="9">
      <c r="A9" t="inlineStr">
        <is>
          <t>San Miguel</t>
        </is>
      </c>
      <c r="B9" t="n">
        <v>7053.78</v>
      </c>
      <c r="C9" t="n">
        <v>6167.6</v>
      </c>
      <c r="D9" t="n">
        <v>7651.04</v>
      </c>
      <c r="E9" t="n">
        <v>7500</v>
      </c>
      <c r="F9" t="n">
        <v>5000</v>
      </c>
      <c r="G9" t="n">
        <v>5000</v>
      </c>
      <c r="H9" s="6">
        <f>SUM(B9:D9)/SUM(E9:G9)</f>
        <v/>
      </c>
    </row>
    <row r="10">
      <c r="A10" t="inlineStr">
        <is>
          <t>Sonsonate</t>
        </is>
      </c>
      <c r="B10" t="n">
        <v>4675.13</v>
      </c>
      <c r="C10" t="n">
        <v>2098.73</v>
      </c>
      <c r="D10" t="n">
        <v>8665.610000000001</v>
      </c>
      <c r="E10" t="n">
        <v>7500</v>
      </c>
      <c r="F10" t="n">
        <v>6000</v>
      </c>
      <c r="G10" t="n">
        <v>6000</v>
      </c>
      <c r="H10" s="6">
        <f>SUM(B10:D10)/SUM(E10:G10)</f>
        <v/>
      </c>
    </row>
    <row r="11">
      <c r="A11" t="inlineStr">
        <is>
          <t>Puerto de La Libertad</t>
        </is>
      </c>
      <c r="B11" t="n">
        <v>7875.66</v>
      </c>
      <c r="C11" t="n">
        <v>2984.46</v>
      </c>
      <c r="D11" t="n">
        <v>2974.08</v>
      </c>
      <c r="E11" t="n">
        <v>7500</v>
      </c>
      <c r="F11" t="n">
        <v>3000</v>
      </c>
      <c r="G11" t="n">
        <v>4000</v>
      </c>
      <c r="H11" s="6">
        <f>SUM(B11:D11)/SUM(E11:G11)</f>
        <v/>
      </c>
    </row>
    <row r="12">
      <c r="A12" t="inlineStr">
        <is>
          <t>Usulután</t>
        </is>
      </c>
      <c r="B12" t="n">
        <v>8598.719999999999</v>
      </c>
      <c r="C12" t="n">
        <v>8455.51</v>
      </c>
      <c r="D12" t="n">
        <v>6320.88</v>
      </c>
      <c r="E12" t="n">
        <v>5000</v>
      </c>
      <c r="F12" t="n">
        <v>3000</v>
      </c>
      <c r="G12" t="n">
        <v>3000</v>
      </c>
      <c r="H12" s="6">
        <f>SUM(B12:D12)/SUM(E12:G12)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2026-10-11T07:35:22Z</dcterms:created>
  <dcterms:modified xmlns:dcterms="http://purl.org/dc/terms/" xmlns:xsi="http://www.w3.org/2001/XMLSchema-instance" xsi:type="dcterms:W3CDTF">2026-10-11T07:35:22Z</dcterms:modified>
</cp:coreProperties>
</file>